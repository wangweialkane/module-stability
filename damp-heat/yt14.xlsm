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9ac7371ac5a0a95e/文档/slide/stability/damp-heat/"/>
    </mc:Choice>
  </mc:AlternateContent>
  <xr:revisionPtr revIDLastSave="5" documentId="11_C5CD0353AA5F482D305AFD2F1AE206BB896C2542" xr6:coauthVersionLast="47" xr6:coauthVersionMax="47" xr10:uidLastSave="{10E100FE-D65E-456D-AC77-45B44BC42CC1}"/>
  <bookViews>
    <workbookView xWindow="-108" yWindow="-108" windowWidth="30936" windowHeight="16896" tabRatio="760" activeTab="3" xr2:uid="{00000000-000D-0000-FFFF-FFFF00000000}"/>
  </bookViews>
  <sheets>
    <sheet name="NEW" sheetId="64" r:id="rId1"/>
    <sheet name="20221210T210000" sheetId="65" r:id="rId2"/>
    <sheet name="20221211T090000" sheetId="67" r:id="rId3"/>
    <sheet name="Sheet2" sheetId="63" r:id="rId4"/>
  </sheets>
  <definedNames>
    <definedName name="sheetnames">GET.WORKBOOK(1)&amp;T(NOW())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7" l="1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 s="1"/>
  <c r="BD99" i="67"/>
  <c r="BE99" i="67" s="1"/>
  <c r="BD100" i="67"/>
  <c r="BE100" i="67" s="1"/>
  <c r="BD101" i="67"/>
  <c r="BE101" i="67" s="1"/>
  <c r="BD102" i="67"/>
  <c r="BE102" i="67" s="1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 s="1"/>
  <c r="BD183" i="67"/>
  <c r="BE183" i="67" s="1"/>
  <c r="BD184" i="67"/>
  <c r="BE184" i="67" s="1"/>
  <c r="BD185" i="67"/>
  <c r="BE185" i="67" s="1"/>
  <c r="BD186" i="67"/>
  <c r="BE186" i="67" s="1"/>
  <c r="BD187" i="67"/>
  <c r="BE187" i="67" s="1"/>
  <c r="BD188" i="67"/>
  <c r="BE188" i="67" s="1"/>
  <c r="BD189" i="67"/>
  <c r="BE189" i="67" s="1"/>
  <c r="BD190" i="67"/>
  <c r="BE190" i="67" s="1"/>
  <c r="BD191" i="67"/>
  <c r="BE191" i="67" s="1"/>
  <c r="BD192" i="67"/>
  <c r="BE192" i="67" s="1"/>
  <c r="BD193" i="67"/>
  <c r="BE193" i="67" s="1"/>
  <c r="BD194" i="67"/>
  <c r="BE194" i="67" s="1"/>
  <c r="BD195" i="67"/>
  <c r="BE195" i="67" s="1"/>
  <c r="BD196" i="67"/>
  <c r="BE196" i="67" s="1"/>
  <c r="BD197" i="67"/>
  <c r="BE197" i="67" s="1"/>
  <c r="BD198" i="67"/>
  <c r="BE198" i="67" s="1"/>
  <c r="BD199" i="67"/>
  <c r="BE199" i="67" s="1"/>
  <c r="BD200" i="67"/>
  <c r="BE200" i="67" s="1"/>
  <c r="BD201" i="67"/>
  <c r="BE201" i="67" s="1"/>
  <c r="BD202" i="67"/>
  <c r="BE202" i="67" s="1"/>
  <c r="BD203" i="67"/>
  <c r="BE203" i="67" s="1"/>
  <c r="BD204" i="67"/>
  <c r="BE204" i="67" s="1"/>
  <c r="BD205" i="67"/>
  <c r="BE205" i="67" s="1"/>
  <c r="BD206" i="67"/>
  <c r="BE206" i="67" s="1"/>
  <c r="BD207" i="67"/>
  <c r="BE207" i="67" s="1"/>
  <c r="BD208" i="67"/>
  <c r="BE208" i="67" s="1"/>
  <c r="BD209" i="67"/>
  <c r="BE209" i="67" s="1"/>
  <c r="BD210" i="67"/>
  <c r="BE210" i="67" s="1"/>
  <c r="BD211" i="67"/>
  <c r="BE211" i="67" s="1"/>
  <c r="BD212" i="67"/>
  <c r="BE212" i="67" s="1"/>
  <c r="BD213" i="67"/>
  <c r="BE213" i="67" s="1"/>
  <c r="BD214" i="67"/>
  <c r="BE214" i="67" s="1"/>
  <c r="BD215" i="67"/>
  <c r="BE215" i="67" s="1"/>
  <c r="BD216" i="67"/>
  <c r="BE216" i="67" s="1"/>
  <c r="BD217" i="67"/>
  <c r="BE217" i="67" s="1"/>
  <c r="BD218" i="67"/>
  <c r="BE218" i="67" s="1"/>
  <c r="BD219" i="67"/>
  <c r="BE219" i="67" s="1"/>
  <c r="BD220" i="67"/>
  <c r="BE220" i="67" s="1"/>
  <c r="BD221" i="67"/>
  <c r="BE221" i="67" s="1"/>
  <c r="BD222" i="67"/>
  <c r="BE222" i="67" s="1"/>
  <c r="BD223" i="67"/>
  <c r="BE223" i="67" s="1"/>
  <c r="BD224" i="67"/>
  <c r="BE224" i="67" s="1"/>
  <c r="BD225" i="67"/>
  <c r="BE225" i="67" s="1"/>
  <c r="BD226" i="67"/>
  <c r="BE226" i="67" s="1"/>
  <c r="BD227" i="67"/>
  <c r="BE227" i="67" s="1"/>
  <c r="BD228" i="67"/>
  <c r="BE228" i="67" s="1"/>
  <c r="BD229" i="67"/>
  <c r="BE229" i="67" s="1"/>
  <c r="BD230" i="67"/>
  <c r="BE230" i="67" s="1"/>
  <c r="BD231" i="67"/>
  <c r="BE231" i="67" s="1"/>
  <c r="BD232" i="67"/>
  <c r="BE232" i="67" s="1"/>
  <c r="BD233" i="67"/>
  <c r="BE233" i="67" s="1"/>
  <c r="BD234" i="67"/>
  <c r="BE234" i="67" s="1"/>
  <c r="BD235" i="67"/>
  <c r="BE235" i="67" s="1"/>
  <c r="BD236" i="67"/>
  <c r="BE236" i="67" s="1"/>
  <c r="BD237" i="67"/>
  <c r="BE237" i="67" s="1"/>
  <c r="BD238" i="67"/>
  <c r="BE238" i="67" s="1"/>
  <c r="BD239" i="67"/>
  <c r="BE239" i="67" s="1"/>
  <c r="BD240" i="67"/>
  <c r="BE240" i="67" s="1"/>
  <c r="BD241" i="67"/>
  <c r="BE241" i="67" s="1"/>
  <c r="BD242" i="67"/>
  <c r="BE242" i="67" s="1"/>
  <c r="BD243" i="67"/>
  <c r="BE243" i="67" s="1"/>
  <c r="BD244" i="67"/>
  <c r="BE244" i="67" s="1"/>
  <c r="BD245" i="67"/>
  <c r="BE245" i="67" s="1"/>
  <c r="BD246" i="67"/>
  <c r="BE246" i="67" s="1"/>
  <c r="BD247" i="67"/>
  <c r="BE247" i="67" s="1"/>
  <c r="BD248" i="67"/>
  <c r="BE248" i="67" s="1"/>
  <c r="BD249" i="67"/>
  <c r="BE249" i="67" s="1"/>
  <c r="BD250" i="67"/>
  <c r="BE250" i="67" s="1"/>
  <c r="BD251" i="67"/>
  <c r="BE251" i="67" s="1"/>
  <c r="BD252" i="67"/>
  <c r="BE252" i="67" s="1"/>
  <c r="BD253" i="67"/>
  <c r="BE253" i="67" s="1"/>
  <c r="BD254" i="67"/>
  <c r="BE254" i="67" s="1"/>
  <c r="BD255" i="67"/>
  <c r="BE255" i="67" s="1"/>
  <c r="BD256" i="67"/>
  <c r="BE256" i="67" s="1"/>
  <c r="BD257" i="67"/>
  <c r="BE257" i="67" s="1"/>
  <c r="BD258" i="67"/>
  <c r="BE258" i="67" s="1"/>
  <c r="BD259" i="67"/>
  <c r="BE259" i="67" s="1"/>
  <c r="BD260" i="67"/>
  <c r="BE260" i="67" s="1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 s="1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 s="1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 s="1"/>
  <c r="AV183" i="67"/>
  <c r="AW183" i="67" s="1"/>
  <c r="AV184" i="67"/>
  <c r="AW184" i="67"/>
  <c r="AV185" i="67"/>
  <c r="AW185" i="67" s="1"/>
  <c r="AV186" i="67"/>
  <c r="AW186" i="67"/>
  <c r="AV187" i="67"/>
  <c r="AW187" i="67" s="1"/>
  <c r="AV188" i="67"/>
  <c r="AW188" i="67" s="1"/>
  <c r="AV189" i="67"/>
  <c r="AW189" i="67" s="1"/>
  <c r="AV190" i="67"/>
  <c r="AW190" i="67"/>
  <c r="AV191" i="67"/>
  <c r="AW191" i="67" s="1"/>
  <c r="AV192" i="67"/>
  <c r="AW192" i="67"/>
  <c r="AV193" i="67"/>
  <c r="AW193" i="67" s="1"/>
  <c r="AV194" i="67"/>
  <c r="AW194" i="67" s="1"/>
  <c r="AV195" i="67"/>
  <c r="AW195" i="67" s="1"/>
  <c r="AV196" i="67"/>
  <c r="AW196" i="67"/>
  <c r="AV197" i="67"/>
  <c r="AW197" i="67" s="1"/>
  <c r="AV198" i="67"/>
  <c r="AW198" i="67"/>
  <c r="AV199" i="67"/>
  <c r="AW199" i="67" s="1"/>
  <c r="AV200" i="67"/>
  <c r="AW200" i="67" s="1"/>
  <c r="AV201" i="67"/>
  <c r="AW201" i="67" s="1"/>
  <c r="AV202" i="67"/>
  <c r="AW202" i="67"/>
  <c r="AV203" i="67"/>
  <c r="AW203" i="67" s="1"/>
  <c r="AV204" i="67"/>
  <c r="AW204" i="67"/>
  <c r="AV205" i="67"/>
  <c r="AW205" i="67" s="1"/>
  <c r="AV206" i="67"/>
  <c r="AW206" i="67" s="1"/>
  <c r="AV207" i="67"/>
  <c r="AW207" i="67" s="1"/>
  <c r="AV208" i="67"/>
  <c r="AW208" i="67"/>
  <c r="AV209" i="67"/>
  <c r="AW209" i="67" s="1"/>
  <c r="AV210" i="67"/>
  <c r="AW210" i="67"/>
  <c r="AV211" i="67"/>
  <c r="AW211" i="67" s="1"/>
  <c r="AV212" i="67"/>
  <c r="AW212" i="67" s="1"/>
  <c r="AV213" i="67"/>
  <c r="AW213" i="67" s="1"/>
  <c r="AV214" i="67"/>
  <c r="AW214" i="67"/>
  <c r="AV215" i="67"/>
  <c r="AW215" i="67" s="1"/>
  <c r="AV216" i="67"/>
  <c r="AW216" i="67"/>
  <c r="AV217" i="67"/>
  <c r="AW217" i="67" s="1"/>
  <c r="AV218" i="67"/>
  <c r="AW218" i="67" s="1"/>
  <c r="AV219" i="67"/>
  <c r="AW219" i="67" s="1"/>
  <c r="AV220" i="67"/>
  <c r="AW220" i="67"/>
  <c r="AV221" i="67"/>
  <c r="AW221" i="67" s="1"/>
  <c r="AV222" i="67"/>
  <c r="AW222" i="67" s="1"/>
  <c r="AV223" i="67"/>
  <c r="AW223" i="67" s="1"/>
  <c r="AV224" i="67"/>
  <c r="AW224" i="67" s="1"/>
  <c r="AV225" i="67"/>
  <c r="AW225" i="67" s="1"/>
  <c r="AV226" i="67"/>
  <c r="AW226" i="67" s="1"/>
  <c r="AV227" i="67"/>
  <c r="AW227" i="67" s="1"/>
  <c r="AV228" i="67"/>
  <c r="AW228" i="67" s="1"/>
  <c r="AV229" i="67"/>
  <c r="AW229" i="67" s="1"/>
  <c r="AV230" i="67"/>
  <c r="AW230" i="67" s="1"/>
  <c r="AV231" i="67"/>
  <c r="AW231" i="67" s="1"/>
  <c r="AV232" i="67"/>
  <c r="AW232" i="67" s="1"/>
  <c r="AV233" i="67"/>
  <c r="AW233" i="67" s="1"/>
  <c r="AV234" i="67"/>
  <c r="AW234" i="67" s="1"/>
  <c r="AV235" i="67"/>
  <c r="AW235" i="67" s="1"/>
  <c r="AV236" i="67"/>
  <c r="AW236" i="67" s="1"/>
  <c r="AV237" i="67"/>
  <c r="AW237" i="67" s="1"/>
  <c r="AV238" i="67"/>
  <c r="AW238" i="67" s="1"/>
  <c r="AV239" i="67"/>
  <c r="AW239" i="67" s="1"/>
  <c r="AV240" i="67"/>
  <c r="AW240" i="67" s="1"/>
  <c r="AV241" i="67"/>
  <c r="AW241" i="67" s="1"/>
  <c r="AV242" i="67"/>
  <c r="AW242" i="67" s="1"/>
  <c r="AV243" i="67"/>
  <c r="AW243" i="67" s="1"/>
  <c r="AV244" i="67"/>
  <c r="AW244" i="67" s="1"/>
  <c r="AV245" i="67"/>
  <c r="AW245" i="67" s="1"/>
  <c r="AV246" i="67"/>
  <c r="AW246" i="67" s="1"/>
  <c r="AV247" i="67"/>
  <c r="AW247" i="67" s="1"/>
  <c r="AV248" i="67"/>
  <c r="AW248" i="67" s="1"/>
  <c r="AV249" i="67"/>
  <c r="AW249" i="67" s="1"/>
  <c r="AV250" i="67"/>
  <c r="AW250" i="67" s="1"/>
  <c r="AV251" i="67"/>
  <c r="AW251" i="67" s="1"/>
  <c r="AV252" i="67"/>
  <c r="AW252" i="67" s="1"/>
  <c r="AV253" i="67"/>
  <c r="AW253" i="67" s="1"/>
  <c r="AV254" i="67"/>
  <c r="AW254" i="67" s="1"/>
  <c r="AV255" i="67"/>
  <c r="AW255" i="67" s="1"/>
  <c r="AV256" i="67"/>
  <c r="AW256" i="67" s="1"/>
  <c r="AV257" i="67"/>
  <c r="AW257" i="67" s="1"/>
  <c r="AV258" i="67"/>
  <c r="AW258" i="67" s="1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L12" i="67"/>
  <c r="AM12" i="67"/>
  <c r="AL13" i="67"/>
  <c r="AM13" i="67"/>
  <c r="AL14" i="67"/>
  <c r="AM14" i="67"/>
  <c r="AL15" i="67"/>
  <c r="AM15" i="67"/>
  <c r="AL16" i="67"/>
  <c r="AM16" i="67" s="1"/>
  <c r="AL17" i="67"/>
  <c r="AM17" i="67" s="1"/>
  <c r="AL18" i="67"/>
  <c r="AM18" i="67"/>
  <c r="AL19" i="67"/>
  <c r="AM19" i="67"/>
  <c r="AL20" i="67"/>
  <c r="AM20" i="67"/>
  <c r="AL21" i="67"/>
  <c r="AM21" i="67"/>
  <c r="AL22" i="67"/>
  <c r="AM22" i="67" s="1"/>
  <c r="AL23" i="67"/>
  <c r="AM23" i="67" s="1"/>
  <c r="AL24" i="67"/>
  <c r="AM24" i="67"/>
  <c r="AL25" i="67"/>
  <c r="AM25" i="67"/>
  <c r="AL26" i="67"/>
  <c r="AM26" i="67"/>
  <c r="AL27" i="67"/>
  <c r="AM27" i="67"/>
  <c r="AL28" i="67"/>
  <c r="AM28" i="67" s="1"/>
  <c r="AL29" i="67"/>
  <c r="AM29" i="67" s="1"/>
  <c r="AL30" i="67"/>
  <c r="AM30" i="67"/>
  <c r="AL31" i="67"/>
  <c r="AM31" i="67"/>
  <c r="AL32" i="67"/>
  <c r="AM32" i="67"/>
  <c r="AL33" i="67"/>
  <c r="AM33" i="67"/>
  <c r="AL34" i="67"/>
  <c r="AM34" i="67" s="1"/>
  <c r="AL35" i="67"/>
  <c r="AM35" i="67" s="1"/>
  <c r="AL36" i="67"/>
  <c r="AM36" i="67"/>
  <c r="AL37" i="67"/>
  <c r="AM37" i="67"/>
  <c r="AL38" i="67"/>
  <c r="AM38" i="67"/>
  <c r="AL39" i="67"/>
  <c r="AM39" i="67"/>
  <c r="AL40" i="67"/>
  <c r="AM40" i="67" s="1"/>
  <c r="AL41" i="67"/>
  <c r="AM41" i="67" s="1"/>
  <c r="AL42" i="67"/>
  <c r="AM42" i="67"/>
  <c r="AL43" i="67"/>
  <c r="AM43" i="67"/>
  <c r="AL44" i="67"/>
  <c r="AM44" i="67"/>
  <c r="AL45" i="67"/>
  <c r="AM45" i="67"/>
  <c r="AL46" i="67"/>
  <c r="AM46" i="67" s="1"/>
  <c r="AL47" i="67"/>
  <c r="AM47" i="67" s="1"/>
  <c r="AL48" i="67"/>
  <c r="AM48" i="67"/>
  <c r="AL49" i="67"/>
  <c r="AM49" i="67"/>
  <c r="AL50" i="67"/>
  <c r="AM50" i="67"/>
  <c r="AL51" i="67"/>
  <c r="AM51" i="67"/>
  <c r="AL52" i="67"/>
  <c r="AM52" i="67" s="1"/>
  <c r="AL53" i="67"/>
  <c r="AM53" i="67" s="1"/>
  <c r="AL54" i="67"/>
  <c r="AM54" i="67"/>
  <c r="AL55" i="67"/>
  <c r="AM55" i="67"/>
  <c r="AL56" i="67"/>
  <c r="AM56" i="67"/>
  <c r="AL57" i="67"/>
  <c r="AM57" i="67"/>
  <c r="AL58" i="67"/>
  <c r="AM58" i="67" s="1"/>
  <c r="AL59" i="67"/>
  <c r="AM59" i="67" s="1"/>
  <c r="AL60" i="67"/>
  <c r="AM60" i="67"/>
  <c r="AL61" i="67"/>
  <c r="AM61" i="67"/>
  <c r="AL62" i="67"/>
  <c r="AM62" i="67"/>
  <c r="AL63" i="67"/>
  <c r="AM63" i="67"/>
  <c r="AL64" i="67"/>
  <c r="AM64" i="67" s="1"/>
  <c r="AL65" i="67"/>
  <c r="AM65" i="67" s="1"/>
  <c r="AL66" i="67"/>
  <c r="AM66" i="67"/>
  <c r="AL67" i="67"/>
  <c r="AM67" i="67"/>
  <c r="AL68" i="67"/>
  <c r="AM68" i="67"/>
  <c r="AL69" i="67"/>
  <c r="AM69" i="67"/>
  <c r="AL70" i="67"/>
  <c r="AM70" i="67" s="1"/>
  <c r="AL71" i="67"/>
  <c r="AM71" i="67" s="1"/>
  <c r="AL72" i="67"/>
  <c r="AM72" i="67"/>
  <c r="AL73" i="67"/>
  <c r="AM73" i="67"/>
  <c r="AL74" i="67"/>
  <c r="AM74" i="67"/>
  <c r="AL75" i="67"/>
  <c r="AM75" i="67"/>
  <c r="AL76" i="67"/>
  <c r="AM76" i="67" s="1"/>
  <c r="AL77" i="67"/>
  <c r="AM77" i="67" s="1"/>
  <c r="AL78" i="67"/>
  <c r="AM78" i="67"/>
  <c r="AL79" i="67"/>
  <c r="AM79" i="67"/>
  <c r="AL80" i="67"/>
  <c r="AM80" i="67"/>
  <c r="AL81" i="67"/>
  <c r="AM81" i="67"/>
  <c r="AL82" i="67"/>
  <c r="AM82" i="67" s="1"/>
  <c r="AL83" i="67"/>
  <c r="AM83" i="67" s="1"/>
  <c r="AL84" i="67"/>
  <c r="AM84" i="67"/>
  <c r="AL85" i="67"/>
  <c r="AM85" i="67"/>
  <c r="AL86" i="67"/>
  <c r="AM86" i="67"/>
  <c r="AL87" i="67"/>
  <c r="AM87" i="67"/>
  <c r="AL88" i="67"/>
  <c r="AM88" i="67" s="1"/>
  <c r="AL89" i="67"/>
  <c r="AM89" i="67" s="1"/>
  <c r="AL90" i="67"/>
  <c r="AM90" i="67"/>
  <c r="AL91" i="67"/>
  <c r="AM91" i="67"/>
  <c r="AL92" i="67"/>
  <c r="AM92" i="67"/>
  <c r="AL93" i="67"/>
  <c r="AM93" i="67"/>
  <c r="AL94" i="67"/>
  <c r="AM94" i="67" s="1"/>
  <c r="AL95" i="67"/>
  <c r="AM95" i="67" s="1"/>
  <c r="AL96" i="67"/>
  <c r="AM96" i="67"/>
  <c r="AL97" i="67"/>
  <c r="AM97" i="67"/>
  <c r="AL98" i="67"/>
  <c r="AM98" i="67"/>
  <c r="AL99" i="67"/>
  <c r="AM99" i="67"/>
  <c r="AL100" i="67"/>
  <c r="AM100" i="67" s="1"/>
  <c r="AL101" i="67"/>
  <c r="AM101" i="67" s="1"/>
  <c r="AL102" i="67"/>
  <c r="AM102" i="67"/>
  <c r="AL103" i="67"/>
  <c r="AM103" i="67"/>
  <c r="AL104" i="67"/>
  <c r="AM104" i="67"/>
  <c r="AL105" i="67"/>
  <c r="AM105" i="67"/>
  <c r="AL106" i="67"/>
  <c r="AM106" i="67" s="1"/>
  <c r="AL107" i="67"/>
  <c r="AM107" i="67" s="1"/>
  <c r="AL108" i="67"/>
  <c r="AM108" i="67"/>
  <c r="AL109" i="67"/>
  <c r="AM109" i="67"/>
  <c r="AL110" i="67"/>
  <c r="AM110" i="67"/>
  <c r="AL111" i="67"/>
  <c r="AM111" i="67"/>
  <c r="AL112" i="67"/>
  <c r="AM112" i="67" s="1"/>
  <c r="AL113" i="67"/>
  <c r="AM113" i="67" s="1"/>
  <c r="AL114" i="67"/>
  <c r="AM114" i="67"/>
  <c r="AL115" i="67"/>
  <c r="AM115" i="67"/>
  <c r="AL116" i="67"/>
  <c r="AM116" i="67"/>
  <c r="AL117" i="67"/>
  <c r="AM117" i="67"/>
  <c r="AL118" i="67"/>
  <c r="AM118" i="67" s="1"/>
  <c r="AL119" i="67"/>
  <c r="AM119" i="67" s="1"/>
  <c r="AL120" i="67"/>
  <c r="AM120" i="67"/>
  <c r="AL121" i="67"/>
  <c r="AM121" i="67"/>
  <c r="AL122" i="67"/>
  <c r="AM122" i="67"/>
  <c r="AL123" i="67"/>
  <c r="AM123" i="67"/>
  <c r="AL124" i="67"/>
  <c r="AM124" i="67" s="1"/>
  <c r="AL125" i="67"/>
  <c r="AM125" i="67" s="1"/>
  <c r="AL126" i="67"/>
  <c r="AM126" i="67"/>
  <c r="AL127" i="67"/>
  <c r="AM127" i="67"/>
  <c r="AL128" i="67"/>
  <c r="AM128" i="67"/>
  <c r="AL129" i="67"/>
  <c r="AM129" i="67"/>
  <c r="AL130" i="67"/>
  <c r="AM130" i="67" s="1"/>
  <c r="AL131" i="67"/>
  <c r="AM131" i="67" s="1"/>
  <c r="AL132" i="67"/>
  <c r="AM132" i="67"/>
  <c r="AL133" i="67"/>
  <c r="AM133" i="67"/>
  <c r="AL134" i="67"/>
  <c r="AM134" i="67"/>
  <c r="AL135" i="67"/>
  <c r="AM135" i="67"/>
  <c r="AL136" i="67"/>
  <c r="AM136" i="67" s="1"/>
  <c r="AL137" i="67"/>
  <c r="AM137" i="67" s="1"/>
  <c r="AL138" i="67"/>
  <c r="AM138" i="67"/>
  <c r="AL139" i="67"/>
  <c r="AM139" i="67"/>
  <c r="AL140" i="67"/>
  <c r="AM140" i="67"/>
  <c r="AL141" i="67"/>
  <c r="AM141" i="67"/>
  <c r="AL142" i="67"/>
  <c r="AM142" i="67" s="1"/>
  <c r="AL143" i="67"/>
  <c r="AM143" i="67" s="1"/>
  <c r="AL144" i="67"/>
  <c r="AM144" i="67"/>
  <c r="AL145" i="67"/>
  <c r="AM145" i="67"/>
  <c r="AL146" i="67"/>
  <c r="AM146" i="67"/>
  <c r="AL147" i="67"/>
  <c r="AM147" i="67"/>
  <c r="AL148" i="67"/>
  <c r="AM148" i="67" s="1"/>
  <c r="AL149" i="67"/>
  <c r="AM149" i="67" s="1"/>
  <c r="AL150" i="67"/>
  <c r="AM150" i="67"/>
  <c r="AL151" i="67"/>
  <c r="AM151" i="67"/>
  <c r="AL152" i="67"/>
  <c r="AM152" i="67"/>
  <c r="AL153" i="67"/>
  <c r="AM153" i="67"/>
  <c r="AL154" i="67"/>
  <c r="AM154" i="67" s="1"/>
  <c r="AL155" i="67"/>
  <c r="AM155" i="67" s="1"/>
  <c r="AL156" i="67"/>
  <c r="AM156" i="67"/>
  <c r="AL157" i="67"/>
  <c r="AM157" i="67"/>
  <c r="AL158" i="67"/>
  <c r="AM158" i="67"/>
  <c r="AL159" i="67"/>
  <c r="AM159" i="67"/>
  <c r="AL160" i="67"/>
  <c r="AM160" i="67" s="1"/>
  <c r="AL161" i="67"/>
  <c r="AM161" i="67" s="1"/>
  <c r="AL162" i="67"/>
  <c r="AM162" i="67"/>
  <c r="AL163" i="67"/>
  <c r="AM163" i="67"/>
  <c r="AL164" i="67"/>
  <c r="AM164" i="67"/>
  <c r="AL165" i="67"/>
  <c r="AM165" i="67"/>
  <c r="AL166" i="67"/>
  <c r="AM166" i="67" s="1"/>
  <c r="AL167" i="67"/>
  <c r="AM167" i="67" s="1"/>
  <c r="AL168" i="67"/>
  <c r="AM168" i="67"/>
  <c r="AL169" i="67"/>
  <c r="AM169" i="67"/>
  <c r="AL170" i="67"/>
  <c r="AM170" i="67"/>
  <c r="AL171" i="67"/>
  <c r="AM171" i="67"/>
  <c r="AL172" i="67"/>
  <c r="AM172" i="67" s="1"/>
  <c r="AL173" i="67"/>
  <c r="AM173" i="67" s="1"/>
  <c r="AL174" i="67"/>
  <c r="AM174" i="67"/>
  <c r="AL175" i="67"/>
  <c r="AM175" i="67"/>
  <c r="AL176" i="67"/>
  <c r="AM176" i="67"/>
  <c r="AL177" i="67"/>
  <c r="AM177" i="67"/>
  <c r="AL178" i="67"/>
  <c r="AM178" i="67" s="1"/>
  <c r="AL179" i="67"/>
  <c r="AM179" i="67" s="1"/>
  <c r="AL180" i="67"/>
  <c r="AM180" i="67"/>
  <c r="AL181" i="67"/>
  <c r="AM181" i="67"/>
  <c r="AL182" i="67"/>
  <c r="AM182" i="67"/>
  <c r="AL183" i="67"/>
  <c r="AM183" i="67"/>
  <c r="AL184" i="67"/>
  <c r="AM184" i="67" s="1"/>
  <c r="AL185" i="67"/>
  <c r="AM185" i="67" s="1"/>
  <c r="AL186" i="67"/>
  <c r="AM186" i="67"/>
  <c r="AL187" i="67"/>
  <c r="AM187" i="67"/>
  <c r="AL188" i="67"/>
  <c r="AM188" i="67"/>
  <c r="AL189" i="67"/>
  <c r="AM189" i="67"/>
  <c r="AL190" i="67"/>
  <c r="AM190" i="67" s="1"/>
  <c r="AL191" i="67"/>
  <c r="AM191" i="67" s="1"/>
  <c r="AL192" i="67"/>
  <c r="AM192" i="67"/>
  <c r="AL193" i="67"/>
  <c r="AM193" i="67"/>
  <c r="AL194" i="67"/>
  <c r="AM194" i="67"/>
  <c r="AL195" i="67"/>
  <c r="AM195" i="67"/>
  <c r="AL196" i="67"/>
  <c r="AM196" i="67" s="1"/>
  <c r="AL197" i="67"/>
  <c r="AM197" i="67" s="1"/>
  <c r="AL198" i="67"/>
  <c r="AM198" i="67"/>
  <c r="AL199" i="67"/>
  <c r="AM199" i="67"/>
  <c r="AL200" i="67"/>
  <c r="AM200" i="67"/>
  <c r="AL201" i="67"/>
  <c r="AM201" i="67"/>
  <c r="AL202" i="67"/>
  <c r="AM202" i="67" s="1"/>
  <c r="AL203" i="67"/>
  <c r="AM203" i="67" s="1"/>
  <c r="AL204" i="67"/>
  <c r="AM204" i="67"/>
  <c r="AL205" i="67"/>
  <c r="AM205" i="67"/>
  <c r="AL206" i="67"/>
  <c r="AM206" i="67"/>
  <c r="AL207" i="67"/>
  <c r="AM207" i="67"/>
  <c r="AL208" i="67"/>
  <c r="AM208" i="67" s="1"/>
  <c r="AL209" i="67"/>
  <c r="AM209" i="67" s="1"/>
  <c r="AL210" i="67"/>
  <c r="AM210" i="67"/>
  <c r="AL211" i="67"/>
  <c r="AM211" i="67"/>
  <c r="AL212" i="67"/>
  <c r="AM212" i="67"/>
  <c r="AL213" i="67"/>
  <c r="AM213" i="67"/>
  <c r="AL214" i="67"/>
  <c r="AM214" i="67" s="1"/>
  <c r="AL215" i="67"/>
  <c r="AM215" i="67" s="1"/>
  <c r="AL216" i="67"/>
  <c r="AM216" i="67"/>
  <c r="AL217" i="67"/>
  <c r="AM217" i="67"/>
  <c r="AL218" i="67"/>
  <c r="AM218" i="67"/>
  <c r="AL219" i="67"/>
  <c r="AM219" i="67"/>
  <c r="AL220" i="67"/>
  <c r="AM220" i="67" s="1"/>
  <c r="AL221" i="67"/>
  <c r="AM221" i="67" s="1"/>
  <c r="AL222" i="67"/>
  <c r="AM222" i="67"/>
  <c r="AL223" i="67"/>
  <c r="AM223" i="67"/>
  <c r="AL224" i="67"/>
  <c r="AM224" i="67"/>
  <c r="AL225" i="67"/>
  <c r="AM225" i="67"/>
  <c r="AL226" i="67"/>
  <c r="AM226" i="67" s="1"/>
  <c r="AL227" i="67"/>
  <c r="AM227" i="67" s="1"/>
  <c r="AL228" i="67"/>
  <c r="AM228" i="67"/>
  <c r="AL229" i="67"/>
  <c r="AM229" i="67"/>
  <c r="AL230" i="67"/>
  <c r="AM230" i="67"/>
  <c r="AL231" i="67"/>
  <c r="AM231" i="67"/>
  <c r="AL232" i="67"/>
  <c r="AM232" i="67" s="1"/>
  <c r="AL233" i="67"/>
  <c r="AM233" i="67" s="1"/>
  <c r="AL234" i="67"/>
  <c r="AM234" i="67"/>
  <c r="AL235" i="67"/>
  <c r="AM235" i="67"/>
  <c r="AL236" i="67"/>
  <c r="AM236" i="67"/>
  <c r="AL237" i="67"/>
  <c r="AM237" i="67"/>
  <c r="AL238" i="67"/>
  <c r="AM238" i="67" s="1"/>
  <c r="AL239" i="67"/>
  <c r="AM239" i="67" s="1"/>
  <c r="AL240" i="67"/>
  <c r="AM240" i="67"/>
  <c r="AL241" i="67"/>
  <c r="AM241" i="67"/>
  <c r="AL242" i="67"/>
  <c r="AM242" i="67"/>
  <c r="AL243" i="67"/>
  <c r="AM243" i="67"/>
  <c r="AL244" i="67"/>
  <c r="AM244" i="67" s="1"/>
  <c r="AL245" i="67"/>
  <c r="AM245" i="67" s="1"/>
  <c r="AL246" i="67"/>
  <c r="AM246" i="67"/>
  <c r="AL247" i="67"/>
  <c r="AM247" i="67"/>
  <c r="AL248" i="67"/>
  <c r="AM248" i="67"/>
  <c r="AL249" i="67"/>
  <c r="AM249" i="67"/>
  <c r="AL250" i="67"/>
  <c r="AM250" i="67" s="1"/>
  <c r="AL251" i="67"/>
  <c r="AM251" i="67" s="1"/>
  <c r="AL252" i="67"/>
  <c r="AM252" i="67"/>
  <c r="AL253" i="67"/>
  <c r="AM253" i="67"/>
  <c r="AL254" i="67"/>
  <c r="AM254" i="67"/>
  <c r="AL255" i="67"/>
  <c r="AM255" i="67"/>
  <c r="AL256" i="67"/>
  <c r="AM256" i="67" s="1"/>
  <c r="AL257" i="67"/>
  <c r="AM257" i="67" s="1"/>
  <c r="AL258" i="67"/>
  <c r="AM258" i="67"/>
  <c r="AL259" i="67"/>
  <c r="AM259" i="67"/>
  <c r="AL260" i="67"/>
  <c r="AM260" i="67"/>
  <c r="AL261" i="67"/>
  <c r="AM261" i="67"/>
  <c r="AL262" i="67"/>
  <c r="AM262" i="67" s="1"/>
  <c r="AL263" i="67"/>
  <c r="AM263" i="67" s="1"/>
  <c r="AL264" i="67"/>
  <c r="AM264" i="67"/>
  <c r="AL265" i="67"/>
  <c r="AM265" i="67"/>
  <c r="AL266" i="67"/>
  <c r="AM266" i="67"/>
  <c r="AL267" i="67"/>
  <c r="AM267" i="67"/>
  <c r="AL268" i="67"/>
  <c r="AM268" i="67" s="1"/>
  <c r="AL269" i="67"/>
  <c r="AM269" i="67" s="1"/>
  <c r="AL270" i="67"/>
  <c r="AM270" i="67"/>
  <c r="AL271" i="67"/>
  <c r="AM271" i="67"/>
  <c r="AL272" i="67"/>
  <c r="AM272" i="67"/>
  <c r="AL273" i="67"/>
  <c r="AM273" i="67"/>
  <c r="AL274" i="67"/>
  <c r="AM274" i="67" s="1"/>
  <c r="AL275" i="67"/>
  <c r="AM275" i="67" s="1"/>
  <c r="AL276" i="67"/>
  <c r="AM276" i="67"/>
  <c r="AL277" i="67"/>
  <c r="AM277" i="67"/>
  <c r="AL278" i="67"/>
  <c r="AM278" i="67"/>
  <c r="AL279" i="67"/>
  <c r="AM279" i="67"/>
  <c r="AL280" i="67"/>
  <c r="AM280" i="67" s="1"/>
  <c r="AL281" i="67"/>
  <c r="AM281" i="67" s="1"/>
  <c r="AL282" i="67"/>
  <c r="AM282" i="67"/>
  <c r="AL283" i="67"/>
  <c r="AM283" i="67"/>
  <c r="AL284" i="67"/>
  <c r="AM284" i="67"/>
  <c r="AL285" i="67"/>
  <c r="AM285" i="67"/>
  <c r="AL286" i="67"/>
  <c r="AM286" i="67" s="1"/>
  <c r="AL287" i="67"/>
  <c r="AM287" i="67" s="1"/>
  <c r="AL288" i="67"/>
  <c r="AM288" i="67"/>
  <c r="AL289" i="67"/>
  <c r="AM289" i="67"/>
  <c r="AL290" i="67"/>
  <c r="AM290" i="67"/>
  <c r="AL291" i="67"/>
  <c r="AM291" i="67"/>
  <c r="AL292" i="67"/>
  <c r="AM292" i="67" s="1"/>
  <c r="AL293" i="67"/>
  <c r="AM293" i="67" s="1"/>
  <c r="AL294" i="67"/>
  <c r="AM294" i="67"/>
  <c r="AL295" i="67"/>
  <c r="AM295" i="67"/>
  <c r="AL296" i="67"/>
  <c r="AM296" i="67"/>
  <c r="AL297" i="67"/>
  <c r="AM297" i="67"/>
  <c r="AL298" i="67"/>
  <c r="AM298" i="67" s="1"/>
  <c r="AL299" i="67"/>
  <c r="AM299" i="67" s="1"/>
  <c r="AL300" i="67"/>
  <c r="AM300" i="67"/>
  <c r="AL301" i="67"/>
  <c r="AM301" i="67"/>
  <c r="AL302" i="67"/>
  <c r="AM302" i="67"/>
  <c r="AL303" i="67"/>
  <c r="AM303" i="67"/>
  <c r="AL304" i="67"/>
  <c r="AM304" i="67" s="1"/>
  <c r="AL305" i="67"/>
  <c r="AM305" i="67" s="1"/>
  <c r="AL306" i="67"/>
  <c r="AM306" i="67"/>
  <c r="AL307" i="67"/>
  <c r="AM307" i="67"/>
  <c r="AL308" i="67"/>
  <c r="AM308" i="67"/>
  <c r="AL309" i="67"/>
  <c r="AM309" i="67"/>
  <c r="AL310" i="67"/>
  <c r="AM310" i="67" s="1"/>
  <c r="AL311" i="67"/>
  <c r="AM311" i="67" s="1"/>
  <c r="AL312" i="67"/>
  <c r="AM312" i="67"/>
  <c r="AL313" i="67"/>
  <c r="AM313" i="67"/>
  <c r="AL314" i="67"/>
  <c r="AM314" i="67"/>
  <c r="AL315" i="67"/>
  <c r="AM315" i="67"/>
  <c r="AL316" i="67"/>
  <c r="AM316" i="67" s="1"/>
  <c r="AL317" i="67"/>
  <c r="AM317" i="67" s="1"/>
  <c r="AL318" i="67"/>
  <c r="AM318" i="67"/>
  <c r="AL319" i="67"/>
  <c r="AM319" i="67"/>
  <c r="AL320" i="67"/>
  <c r="AM320" i="67"/>
  <c r="AL321" i="67"/>
  <c r="AM321" i="67"/>
  <c r="AL322" i="67"/>
  <c r="AM322" i="67" s="1"/>
  <c r="AL323" i="67"/>
  <c r="AM323" i="67" s="1"/>
  <c r="AL324" i="67"/>
  <c r="AM324" i="67"/>
  <c r="AL325" i="67"/>
  <c r="AM325" i="67"/>
  <c r="AL326" i="67"/>
  <c r="AM326" i="67"/>
  <c r="AL327" i="67"/>
  <c r="AM327" i="67"/>
  <c r="AL328" i="67"/>
  <c r="AM328" i="67" s="1"/>
  <c r="AL329" i="67"/>
  <c r="AM329" i="67" s="1"/>
  <c r="AL330" i="67"/>
  <c r="AM330" i="67"/>
  <c r="AL331" i="67"/>
  <c r="AM331" i="67"/>
  <c r="AL332" i="67"/>
  <c r="AM332" i="67"/>
  <c r="AL333" i="67"/>
  <c r="AM333" i="67"/>
  <c r="AL334" i="67"/>
  <c r="AM334" i="67" s="1"/>
  <c r="AL335" i="67"/>
  <c r="AM335" i="67" s="1"/>
  <c r="AL336" i="67"/>
  <c r="AM336" i="67"/>
  <c r="AL337" i="67"/>
  <c r="AM337" i="67"/>
  <c r="AL338" i="67"/>
  <c r="AM338" i="67"/>
  <c r="AL339" i="67"/>
  <c r="AM339" i="67"/>
  <c r="AL340" i="67"/>
  <c r="AM340" i="67" s="1"/>
  <c r="AL341" i="67"/>
  <c r="AM341" i="67" s="1"/>
  <c r="AL342" i="67"/>
  <c r="AM342" i="67"/>
  <c r="AL343" i="67"/>
  <c r="AM343" i="67"/>
  <c r="AL344" i="67"/>
  <c r="AM344" i="67"/>
  <c r="AL345" i="67"/>
  <c r="AM345" i="67"/>
  <c r="AL346" i="67"/>
  <c r="AM346" i="67" s="1"/>
  <c r="AL347" i="67"/>
  <c r="AM347" i="67" s="1"/>
  <c r="AL348" i="67"/>
  <c r="AM348" i="67"/>
  <c r="AL349" i="67"/>
  <c r="AM349" i="67"/>
  <c r="AL350" i="67"/>
  <c r="AM350" i="67"/>
  <c r="AL351" i="67"/>
  <c r="AM351" i="67"/>
  <c r="AL352" i="67"/>
  <c r="AM352" i="67" s="1"/>
  <c r="AL353" i="67"/>
  <c r="AM353" i="67" s="1"/>
  <c r="AL354" i="67"/>
  <c r="AM354" i="67"/>
  <c r="AL355" i="67"/>
  <c r="AM355" i="67"/>
  <c r="AL356" i="67"/>
  <c r="AM356" i="67"/>
  <c r="AL357" i="67"/>
  <c r="AM357" i="67"/>
  <c r="AL358" i="67"/>
  <c r="AM358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/>
  <c r="AD183" i="67"/>
  <c r="AE183" i="67"/>
  <c r="AD184" i="67"/>
  <c r="AE184" i="67"/>
  <c r="AD185" i="67"/>
  <c r="AE185" i="67"/>
  <c r="AD186" i="67"/>
  <c r="AE186" i="67" s="1"/>
  <c r="AD187" i="67"/>
  <c r="AE187" i="67" s="1"/>
  <c r="AD188" i="67"/>
  <c r="AE188" i="67"/>
  <c r="AD189" i="67"/>
  <c r="AE189" i="67"/>
  <c r="AD190" i="67"/>
  <c r="AE190" i="67"/>
  <c r="AD191" i="67"/>
  <c r="AE191" i="67"/>
  <c r="AD192" i="67"/>
  <c r="AE192" i="67" s="1"/>
  <c r="AD193" i="67"/>
  <c r="AE193" i="67" s="1"/>
  <c r="AD194" i="67"/>
  <c r="AE194" i="67"/>
  <c r="AD195" i="67"/>
  <c r="AE195" i="67"/>
  <c r="AD196" i="67"/>
  <c r="AE196" i="67"/>
  <c r="AD197" i="67"/>
  <c r="AE197" i="67"/>
  <c r="AD198" i="67"/>
  <c r="AE198" i="67" s="1"/>
  <c r="AD199" i="67"/>
  <c r="AE199" i="67" s="1"/>
  <c r="AD200" i="67"/>
  <c r="AE200" i="67"/>
  <c r="AD201" i="67"/>
  <c r="AE201" i="67"/>
  <c r="AD202" i="67"/>
  <c r="AE202" i="67"/>
  <c r="AD203" i="67"/>
  <c r="AE203" i="67" s="1"/>
  <c r="AD204" i="67"/>
  <c r="AE204" i="67" s="1"/>
  <c r="AD205" i="67"/>
  <c r="AE205" i="67" s="1"/>
  <c r="AD206" i="67"/>
  <c r="AE206" i="67" s="1"/>
  <c r="AD207" i="67"/>
  <c r="AE207" i="67" s="1"/>
  <c r="AD208" i="67"/>
  <c r="AE208" i="67" s="1"/>
  <c r="AD209" i="67"/>
  <c r="AE209" i="67" s="1"/>
  <c r="AD210" i="67"/>
  <c r="AE210" i="67" s="1"/>
  <c r="AD211" i="67"/>
  <c r="AE211" i="67" s="1"/>
  <c r="AD212" i="67"/>
  <c r="AE212" i="67" s="1"/>
  <c r="AD213" i="67"/>
  <c r="AE213" i="67" s="1"/>
  <c r="AD214" i="67"/>
  <c r="AE214" i="67" s="1"/>
  <c r="AD215" i="67"/>
  <c r="AE215" i="67" s="1"/>
  <c r="AD216" i="67"/>
  <c r="AE216" i="67" s="1"/>
  <c r="AD217" i="67"/>
  <c r="AE217" i="67" s="1"/>
  <c r="AD218" i="67"/>
  <c r="AE218" i="67" s="1"/>
  <c r="AD219" i="67"/>
  <c r="AE219" i="67" s="1"/>
  <c r="AD220" i="67"/>
  <c r="AE220" i="67" s="1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 s="1"/>
  <c r="AD229" i="67"/>
  <c r="AE229" i="67" s="1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/>
  <c r="T99" i="67"/>
  <c r="U99" i="67"/>
  <c r="T100" i="67"/>
  <c r="U100" i="67" s="1"/>
  <c r="T101" i="67"/>
  <c r="U101" i="67"/>
  <c r="T102" i="67"/>
  <c r="U102" i="67"/>
  <c r="T103" i="67"/>
  <c r="U103" i="67" s="1"/>
  <c r="T104" i="67"/>
  <c r="U104" i="67" s="1"/>
  <c r="T105" i="67"/>
  <c r="U105" i="67"/>
  <c r="T106" i="67"/>
  <c r="U106" i="67"/>
  <c r="T107" i="67"/>
  <c r="U107" i="67"/>
  <c r="T108" i="67"/>
  <c r="U108" i="67"/>
  <c r="T109" i="67"/>
  <c r="U109" i="67" s="1"/>
  <c r="T110" i="67"/>
  <c r="U110" i="67"/>
  <c r="T111" i="67"/>
  <c r="U111" i="67"/>
  <c r="T112" i="67"/>
  <c r="U112" i="67" s="1"/>
  <c r="T113" i="67"/>
  <c r="U113" i="67"/>
  <c r="T114" i="67"/>
  <c r="U114" i="67"/>
  <c r="T115" i="67"/>
  <c r="U115" i="67" s="1"/>
  <c r="T116" i="67"/>
  <c r="U116" i="67"/>
  <c r="T117" i="67"/>
  <c r="U117" i="67" s="1"/>
  <c r="T118" i="67"/>
  <c r="U118" i="67" s="1"/>
  <c r="T119" i="67"/>
  <c r="U119" i="67"/>
  <c r="T120" i="67"/>
  <c r="U120" i="67"/>
  <c r="T121" i="67"/>
  <c r="U121" i="67" s="1"/>
  <c r="T122" i="67"/>
  <c r="U122" i="67" s="1"/>
  <c r="T123" i="67"/>
  <c r="U123" i="67"/>
  <c r="T124" i="67"/>
  <c r="U124" i="67"/>
  <c r="T125" i="67"/>
  <c r="U125" i="67" s="1"/>
  <c r="T126" i="67"/>
  <c r="U126" i="67"/>
  <c r="T127" i="67"/>
  <c r="U127" i="67" s="1"/>
  <c r="T128" i="67"/>
  <c r="U128" i="67"/>
  <c r="T129" i="67"/>
  <c r="U129" i="67" s="1"/>
  <c r="T130" i="67"/>
  <c r="U130" i="67"/>
  <c r="T131" i="67"/>
  <c r="U131" i="67" s="1"/>
  <c r="T132" i="67"/>
  <c r="U132" i="67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 s="1"/>
  <c r="T183" i="67"/>
  <c r="U183" i="67" s="1"/>
  <c r="T184" i="67"/>
  <c r="U184" i="67" s="1"/>
  <c r="T185" i="67"/>
  <c r="U185" i="67" s="1"/>
  <c r="T186" i="67"/>
  <c r="U186" i="67" s="1"/>
  <c r="T187" i="67"/>
  <c r="U187" i="67" s="1"/>
  <c r="T188" i="67"/>
  <c r="U188" i="67" s="1"/>
  <c r="T189" i="67"/>
  <c r="U189" i="67" s="1"/>
  <c r="T190" i="67"/>
  <c r="U190" i="67" s="1"/>
  <c r="T191" i="67"/>
  <c r="U191" i="67" s="1"/>
  <c r="T192" i="67"/>
  <c r="U192" i="67" s="1"/>
  <c r="T193" i="67"/>
  <c r="U193" i="67" s="1"/>
  <c r="T194" i="67"/>
  <c r="U194" i="67" s="1"/>
  <c r="T195" i="67"/>
  <c r="U195" i="67" s="1"/>
  <c r="T196" i="67"/>
  <c r="U196" i="67" s="1"/>
  <c r="T197" i="67"/>
  <c r="U197" i="67" s="1"/>
  <c r="T198" i="67"/>
  <c r="U198" i="67" s="1"/>
  <c r="T199" i="67"/>
  <c r="U199" i="67" s="1"/>
  <c r="T200" i="67"/>
  <c r="U200" i="67" s="1"/>
  <c r="T201" i="67"/>
  <c r="U201" i="67" s="1"/>
  <c r="T202" i="67"/>
  <c r="U202" i="67" s="1"/>
  <c r="T203" i="67"/>
  <c r="U203" i="67" s="1"/>
  <c r="T204" i="67"/>
  <c r="U204" i="67" s="1"/>
  <c r="T205" i="67"/>
  <c r="U205" i="67" s="1"/>
  <c r="T206" i="67"/>
  <c r="U206" i="67" s="1"/>
  <c r="T207" i="67"/>
  <c r="U207" i="67" s="1"/>
  <c r="T208" i="67"/>
  <c r="U208" i="67" s="1"/>
  <c r="T209" i="67"/>
  <c r="U209" i="67" s="1"/>
  <c r="T210" i="67"/>
  <c r="U210" i="67" s="1"/>
  <c r="T211" i="67"/>
  <c r="U211" i="67" s="1"/>
  <c r="T212" i="67"/>
  <c r="U212" i="67" s="1"/>
  <c r="T213" i="67"/>
  <c r="U213" i="67" s="1"/>
  <c r="T214" i="67"/>
  <c r="U214" i="67" s="1"/>
  <c r="T215" i="67"/>
  <c r="U215" i="67" s="1"/>
  <c r="T216" i="67"/>
  <c r="U216" i="67" s="1"/>
  <c r="T217" i="67"/>
  <c r="U217" i="67"/>
  <c r="T218" i="67"/>
  <c r="U218" i="67"/>
  <c r="T219" i="67"/>
  <c r="U219" i="67"/>
  <c r="T220" i="67"/>
  <c r="U220" i="67"/>
  <c r="T221" i="67"/>
  <c r="U221" i="67" s="1"/>
  <c r="T222" i="67"/>
  <c r="U222" i="67"/>
  <c r="T223" i="67"/>
  <c r="U223" i="67"/>
  <c r="T224" i="67"/>
  <c r="U224" i="67"/>
  <c r="T225" i="67"/>
  <c r="U225" i="67" s="1"/>
  <c r="T226" i="67"/>
  <c r="U226" i="67" s="1"/>
  <c r="T227" i="67"/>
  <c r="U227" i="67" s="1"/>
  <c r="T228" i="67"/>
  <c r="U228" i="67"/>
  <c r="T229" i="67"/>
  <c r="U229" i="67" s="1"/>
  <c r="T230" i="67"/>
  <c r="U230" i="67"/>
  <c r="T231" i="67"/>
  <c r="U231" i="67"/>
  <c r="T232" i="67"/>
  <c r="U232" i="67"/>
  <c r="T233" i="67"/>
  <c r="U233" i="67" s="1"/>
  <c r="T234" i="67"/>
  <c r="U234" i="67"/>
  <c r="T235" i="67"/>
  <c r="U235" i="67"/>
  <c r="T236" i="67"/>
  <c r="U236" i="67"/>
  <c r="T237" i="67"/>
  <c r="U237" i="67" s="1"/>
  <c r="T238" i="67"/>
  <c r="U238" i="67"/>
  <c r="T239" i="67"/>
  <c r="U239" i="67"/>
  <c r="T240" i="67"/>
  <c r="U240" i="67"/>
  <c r="T241" i="67"/>
  <c r="U241" i="67" s="1"/>
  <c r="T242" i="67"/>
  <c r="U242" i="67" s="1"/>
  <c r="T243" i="67"/>
  <c r="U243" i="67" s="1"/>
  <c r="T244" i="67"/>
  <c r="U244" i="67" s="1"/>
  <c r="T245" i="67"/>
  <c r="U245" i="67" s="1"/>
  <c r="T246" i="67"/>
  <c r="U246" i="67" s="1"/>
  <c r="T247" i="67"/>
  <c r="U247" i="67" s="1"/>
  <c r="T248" i="67"/>
  <c r="U248" i="67" s="1"/>
  <c r="T249" i="67"/>
  <c r="U249" i="67" s="1"/>
  <c r="T250" i="67"/>
  <c r="U250" i="67" s="1"/>
  <c r="T251" i="67"/>
  <c r="U251" i="67" s="1"/>
  <c r="T252" i="67"/>
  <c r="U252" i="67" s="1"/>
  <c r="T253" i="67"/>
  <c r="U253" i="67" s="1"/>
  <c r="T254" i="67"/>
  <c r="U254" i="67" s="1"/>
  <c r="T255" i="67"/>
  <c r="U255" i="67" s="1"/>
  <c r="T256" i="67"/>
  <c r="U256" i="67" s="1"/>
  <c r="T257" i="67"/>
  <c r="U257" i="67" s="1"/>
  <c r="T258" i="67"/>
  <c r="U258" i="67" s="1"/>
  <c r="T259" i="67"/>
  <c r="U259" i="67" s="1"/>
  <c r="T260" i="67"/>
  <c r="U260" i="67" s="1"/>
  <c r="T261" i="67"/>
  <c r="U261" i="67" s="1"/>
  <c r="T262" i="67"/>
  <c r="U262" i="67" s="1"/>
  <c r="T263" i="67"/>
  <c r="U263" i="67" s="1"/>
  <c r="T264" i="67"/>
  <c r="U264" i="67" s="1"/>
  <c r="T265" i="67"/>
  <c r="U265" i="67" s="1"/>
  <c r="T266" i="67"/>
  <c r="U266" i="67" s="1"/>
  <c r="T267" i="67"/>
  <c r="U267" i="67" s="1"/>
  <c r="T268" i="67"/>
  <c r="U268" i="67" s="1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/>
  <c r="L100" i="67"/>
  <c r="M100" i="67" s="1"/>
  <c r="L101" i="67"/>
  <c r="M101" i="67" s="1"/>
  <c r="L102" i="67"/>
  <c r="M102" i="67"/>
  <c r="L103" i="67"/>
  <c r="M103" i="67"/>
  <c r="L104" i="67"/>
  <c r="M104" i="67"/>
  <c r="L105" i="67"/>
  <c r="M105" i="67"/>
  <c r="L106" i="67"/>
  <c r="M106" i="67" s="1"/>
  <c r="L107" i="67"/>
  <c r="M107" i="67" s="1"/>
  <c r="L108" i="67"/>
  <c r="M108" i="67" s="1"/>
  <c r="L109" i="67"/>
  <c r="M109" i="67"/>
  <c r="L110" i="67"/>
  <c r="M110" i="67"/>
  <c r="L111" i="67"/>
  <c r="M111" i="67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/>
  <c r="L119" i="67"/>
  <c r="M119" i="67"/>
  <c r="L120" i="67"/>
  <c r="M120" i="67"/>
  <c r="L121" i="67"/>
  <c r="M121" i="67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 s="1"/>
  <c r="L183" i="67"/>
  <c r="M183" i="67" s="1"/>
  <c r="L184" i="67"/>
  <c r="M184" i="67" s="1"/>
  <c r="L185" i="67"/>
  <c r="M185" i="67" s="1"/>
  <c r="L186" i="67"/>
  <c r="M186" i="67" s="1"/>
  <c r="L187" i="67"/>
  <c r="M187" i="67" s="1"/>
  <c r="L188" i="67"/>
  <c r="M188" i="67" s="1"/>
  <c r="L189" i="67"/>
  <c r="M189" i="67" s="1"/>
  <c r="L190" i="67"/>
  <c r="M190" i="67" s="1"/>
  <c r="L191" i="67"/>
  <c r="M191" i="67" s="1"/>
  <c r="L192" i="67"/>
  <c r="M192" i="67" s="1"/>
  <c r="L193" i="67"/>
  <c r="M193" i="67" s="1"/>
  <c r="L194" i="67"/>
  <c r="M194" i="67" s="1"/>
  <c r="L195" i="67"/>
  <c r="M195" i="67" s="1"/>
  <c r="L196" i="67"/>
  <c r="M196" i="67" s="1"/>
  <c r="L197" i="67"/>
  <c r="M197" i="67" s="1"/>
  <c r="L198" i="67"/>
  <c r="M198" i="67" s="1"/>
  <c r="L199" i="67"/>
  <c r="M199" i="67" s="1"/>
  <c r="L200" i="67"/>
  <c r="M200" i="67" s="1"/>
  <c r="L201" i="67"/>
  <c r="M201" i="67" s="1"/>
  <c r="L202" i="67"/>
  <c r="M202" i="67" s="1"/>
  <c r="L203" i="67"/>
  <c r="M203" i="67" s="1"/>
  <c r="L204" i="67"/>
  <c r="M204" i="67" s="1"/>
  <c r="L205" i="67"/>
  <c r="M205" i="67" s="1"/>
  <c r="L206" i="67"/>
  <c r="M206" i="67" s="1"/>
  <c r="L207" i="67"/>
  <c r="M207" i="67" s="1"/>
  <c r="L208" i="67"/>
  <c r="M208" i="67"/>
  <c r="L209" i="67"/>
  <c r="M209" i="67"/>
  <c r="L210" i="67"/>
  <c r="M210" i="67"/>
  <c r="L211" i="67"/>
  <c r="M211" i="67"/>
  <c r="L212" i="67"/>
  <c r="M212" i="67" s="1"/>
  <c r="L213" i="67"/>
  <c r="M213" i="67" s="1"/>
  <c r="L214" i="67"/>
  <c r="M214" i="67"/>
  <c r="L215" i="67"/>
  <c r="M215" i="67"/>
  <c r="L216" i="67"/>
  <c r="M216" i="67"/>
  <c r="L217" i="67"/>
  <c r="M217" i="67"/>
  <c r="L218" i="67"/>
  <c r="M218" i="67" s="1"/>
  <c r="L219" i="67"/>
  <c r="M219" i="67" s="1"/>
  <c r="L220" i="67"/>
  <c r="M220" i="67"/>
  <c r="L221" i="67"/>
  <c r="M221" i="67"/>
  <c r="L222" i="67"/>
  <c r="M222" i="67"/>
  <c r="L223" i="67"/>
  <c r="M223" i="67"/>
  <c r="L224" i="67"/>
  <c r="M224" i="67" s="1"/>
  <c r="L225" i="67"/>
  <c r="M225" i="67" s="1"/>
  <c r="L226" i="67"/>
  <c r="M226" i="67"/>
  <c r="L227" i="67"/>
  <c r="M227" i="67"/>
  <c r="L228" i="67"/>
  <c r="M228" i="67"/>
  <c r="L229" i="67"/>
  <c r="M229" i="67" s="1"/>
  <c r="L230" i="67"/>
  <c r="M230" i="67"/>
  <c r="L231" i="67"/>
  <c r="M231" i="67"/>
  <c r="L232" i="67"/>
  <c r="M232" i="67"/>
  <c r="L233" i="67"/>
  <c r="M233" i="67" s="1"/>
  <c r="L234" i="67"/>
  <c r="M234" i="67" s="1"/>
  <c r="L235" i="67"/>
  <c r="M235" i="67" s="1"/>
  <c r="L236" i="67"/>
  <c r="M236" i="67"/>
  <c r="L237" i="67"/>
  <c r="M237" i="67"/>
  <c r="L238" i="67"/>
  <c r="M238" i="67"/>
  <c r="L239" i="67"/>
  <c r="M239" i="67" s="1"/>
  <c r="L240" i="67"/>
  <c r="M240" i="67" s="1"/>
  <c r="L241" i="67"/>
  <c r="M241" i="67" s="1"/>
  <c r="L242" i="67"/>
  <c r="M242" i="67" s="1"/>
  <c r="L243" i="67"/>
  <c r="M243" i="67" s="1"/>
  <c r="L244" i="67"/>
  <c r="M244" i="67" s="1"/>
  <c r="L245" i="67"/>
  <c r="M245" i="67" s="1"/>
  <c r="L246" i="67"/>
  <c r="M246" i="67" s="1"/>
  <c r="L247" i="67"/>
  <c r="M247" i="67" s="1"/>
  <c r="L248" i="67"/>
  <c r="M248" i="67" s="1"/>
  <c r="L249" i="67"/>
  <c r="M249" i="67" s="1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BE9" i="67" s="1"/>
  <c r="BE7" i="67" s="1"/>
  <c r="AV11" i="67"/>
  <c r="AW11" i="67" s="1"/>
  <c r="AL11" i="67"/>
  <c r="AM11" i="67" s="1"/>
  <c r="AD11" i="67"/>
  <c r="AE11" i="67" s="1"/>
  <c r="T11" i="67"/>
  <c r="U11" i="67" s="1"/>
  <c r="L11" i="67"/>
  <c r="M11" i="67" s="1"/>
  <c r="FG7" i="67"/>
  <c r="FF7" i="67" s="1"/>
  <c r="EY7" i="67"/>
  <c r="EX7" i="67" s="1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N7" i="67"/>
  <c r="CM7" i="67" s="1"/>
  <c r="CF7" i="67"/>
  <c r="BV7" i="67"/>
  <c r="BU7" i="67" s="1"/>
  <c r="BN7" i="67"/>
  <c r="BM7" i="67" s="1"/>
  <c r="BD7" i="67"/>
  <c r="AV7" i="67"/>
  <c r="AU7" i="67" s="1"/>
  <c r="AL7" i="67"/>
  <c r="AD7" i="67"/>
  <c r="AC7" i="67" s="1"/>
  <c r="T7" i="67"/>
  <c r="L7" i="67"/>
  <c r="K7" i="67" s="1"/>
  <c r="FG6" i="67"/>
  <c r="FF6" i="67" s="1"/>
  <c r="EY6" i="67"/>
  <c r="EP6" i="67"/>
  <c r="EO6" i="67"/>
  <c r="EH6" i="67"/>
  <c r="DX6" i="67"/>
  <c r="DW6" i="67" s="1"/>
  <c r="DP6" i="67"/>
  <c r="DF6" i="67"/>
  <c r="DE6" i="67"/>
  <c r="CN6" i="67"/>
  <c r="CM6" i="67" s="1"/>
  <c r="BV6" i="67"/>
  <c r="BU6" i="67" s="1"/>
  <c r="BN6" i="67"/>
  <c r="BD6" i="67"/>
  <c r="AV6" i="67"/>
  <c r="AL6" i="67"/>
  <c r="AK6" i="67" s="1"/>
  <c r="AD6" i="67"/>
  <c r="T6" i="67"/>
  <c r="L6" i="67"/>
  <c r="K6" i="67" s="1"/>
  <c r="EZ5" i="67"/>
  <c r="EQ5" i="67"/>
  <c r="EI5" i="67"/>
  <c r="DY5" i="67"/>
  <c r="DQ5" i="67"/>
  <c r="DG5" i="67"/>
  <c r="CO5" i="67"/>
  <c r="BW5" i="67"/>
  <c r="BO5" i="67"/>
  <c r="EV4" i="67"/>
  <c r="EX4" i="67" s="1"/>
  <c r="EM4" i="67"/>
  <c r="EO4" i="67" s="1"/>
  <c r="EE4" i="67"/>
  <c r="EG4" i="67" s="1"/>
  <c r="DU4" i="67"/>
  <c r="DW4" i="67" s="1"/>
  <c r="DM4" i="67"/>
  <c r="DO4" i="67" s="1"/>
  <c r="DC4" i="67"/>
  <c r="DE4" i="67" s="1"/>
  <c r="CK4" i="67"/>
  <c r="CM4" i="67" s="1"/>
  <c r="BS4" i="67"/>
  <c r="BU4" i="67" s="1"/>
  <c r="BK4" i="67"/>
  <c r="BM4" i="67" s="1"/>
  <c r="AS4" i="67"/>
  <c r="AU4" i="67" s="1"/>
  <c r="AI4" i="67"/>
  <c r="AK4" i="67" s="1"/>
  <c r="AA4" i="67"/>
  <c r="AC4" i="67" s="1"/>
  <c r="FH3" i="67"/>
  <c r="EZ3" i="67"/>
  <c r="EV3" i="67"/>
  <c r="EX3" i="67" s="1"/>
  <c r="EQ3" i="67"/>
  <c r="EI3" i="67"/>
  <c r="EE3" i="67"/>
  <c r="DY3" i="67"/>
  <c r="DU3" i="67"/>
  <c r="DQ3" i="67"/>
  <c r="DO3" i="67"/>
  <c r="DM3" i="67"/>
  <c r="DG3" i="67"/>
  <c r="DC3" i="67"/>
  <c r="CU3" i="67"/>
  <c r="CO3" i="67"/>
  <c r="CK3" i="67"/>
  <c r="BW3" i="67"/>
  <c r="BS3" i="67"/>
  <c r="BO3" i="67"/>
  <c r="BK3" i="67"/>
  <c r="AS3" i="67"/>
  <c r="AU3" i="67" s="1"/>
  <c r="AI3" i="67"/>
  <c r="AA3" i="67"/>
  <c r="A4" i="63" a="1"/>
  <c r="A4" i="63" l="1"/>
  <c r="CY3" i="67"/>
  <c r="S6" i="67"/>
  <c r="AK7" i="67"/>
  <c r="BA3" i="67"/>
  <c r="CC4" i="67"/>
  <c r="CE4" i="67" s="1"/>
  <c r="CG5" i="67"/>
  <c r="AC6" i="67"/>
  <c r="Y2" i="67" s="1"/>
  <c r="FD3" i="67"/>
  <c r="CU4" i="67"/>
  <c r="CW4" i="67" s="1"/>
  <c r="CY5" i="67"/>
  <c r="AU6" i="67"/>
  <c r="I4" i="67"/>
  <c r="K4" i="67" s="1"/>
  <c r="CE7" i="67"/>
  <c r="CC3" i="67"/>
  <c r="CE3" i="67" s="1"/>
  <c r="Q4" i="67"/>
  <c r="S4" i="67" s="1"/>
  <c r="CF6" i="67"/>
  <c r="CW7" i="67"/>
  <c r="I3" i="67"/>
  <c r="K3" i="67" s="1"/>
  <c r="CG3" i="67"/>
  <c r="Q3" i="67"/>
  <c r="S7" i="67"/>
  <c r="EM3" i="67"/>
  <c r="BA4" i="67"/>
  <c r="BC4" i="67" s="1"/>
  <c r="FD4" i="67"/>
  <c r="FF4" i="67" s="1"/>
  <c r="FH5" i="67"/>
  <c r="CX6" i="67"/>
  <c r="BE3" i="67"/>
  <c r="BE5" i="67"/>
  <c r="BC6" i="67"/>
  <c r="BC7" i="67"/>
  <c r="BD9" i="67" s="1"/>
  <c r="B16" i="67" s="1"/>
  <c r="AW9" i="67"/>
  <c r="AQ2" i="67"/>
  <c r="AM9" i="67"/>
  <c r="AG2" i="67"/>
  <c r="AE9" i="67"/>
  <c r="U9" i="67"/>
  <c r="M9" i="67"/>
  <c r="G2" i="67"/>
  <c r="AC3" i="67"/>
  <c r="AA6" i="67" s="1"/>
  <c r="A13" i="67" s="1"/>
  <c r="AS6" i="67"/>
  <c r="A15" i="67" s="1"/>
  <c r="BM3" i="67"/>
  <c r="BK6" i="67" s="1"/>
  <c r="A17" i="67" s="1"/>
  <c r="CC6" i="67"/>
  <c r="A19" i="67" s="1"/>
  <c r="CW3" i="67"/>
  <c r="CU6" i="67" s="1"/>
  <c r="A21" i="67" s="1"/>
  <c r="DM6" i="67"/>
  <c r="EG3" i="67"/>
  <c r="EE6" i="67" s="1"/>
  <c r="EV6" i="67"/>
  <c r="O2" i="67"/>
  <c r="S3" i="67"/>
  <c r="Q6" i="67" s="1"/>
  <c r="AK3" i="67"/>
  <c r="AI6" i="67" s="1"/>
  <c r="BC3" i="67"/>
  <c r="BA6" i="67" s="1"/>
  <c r="BU3" i="67"/>
  <c r="BS6" i="67" s="1"/>
  <c r="CM3" i="67"/>
  <c r="CK6" i="67" s="1"/>
  <c r="DE3" i="67"/>
  <c r="DC6" i="67" s="1"/>
  <c r="A22" i="67" s="1"/>
  <c r="DW3" i="67"/>
  <c r="DU6" i="67" s="1"/>
  <c r="EO3" i="67"/>
  <c r="EM6" i="67" s="1"/>
  <c r="FF3" i="67"/>
  <c r="O4" i="67"/>
  <c r="AQ4" i="67"/>
  <c r="L9" i="67"/>
  <c r="B11" i="67" s="1"/>
  <c r="AD9" i="67"/>
  <c r="B13" i="67" s="1"/>
  <c r="AV9" i="67"/>
  <c r="B15" i="67" s="1"/>
  <c r="T9" i="67"/>
  <c r="B12" i="67" s="1"/>
  <c r="AL9" i="67"/>
  <c r="B14" i="67" s="1"/>
  <c r="BM6" i="67"/>
  <c r="BN9" i="67" s="1"/>
  <c r="B17" i="67" s="1"/>
  <c r="BV9" i="67"/>
  <c r="B18" i="67" s="1"/>
  <c r="CE6" i="67"/>
  <c r="CF9" i="67" s="1"/>
  <c r="CN9" i="67"/>
  <c r="B20" i="67" s="1"/>
  <c r="CW6" i="67"/>
  <c r="CX9" i="67" s="1"/>
  <c r="B21" i="67" s="1"/>
  <c r="DF9" i="67"/>
  <c r="B22" i="67" s="1"/>
  <c r="DO6" i="67"/>
  <c r="DP9" i="67" s="1"/>
  <c r="DP4" i="67" s="1"/>
  <c r="DP2" i="67" s="1"/>
  <c r="DM9" i="67" s="1"/>
  <c r="E23" i="67" s="1"/>
  <c r="DX9" i="67"/>
  <c r="EG6" i="67"/>
  <c r="EH9" i="67" s="1"/>
  <c r="EH4" i="67" s="1"/>
  <c r="EH2" i="67" s="1"/>
  <c r="EE9" i="67" s="1"/>
  <c r="E25" i="67" s="1"/>
  <c r="EP9" i="67"/>
  <c r="EX6" i="67"/>
  <c r="EY9" i="67" s="1"/>
  <c r="FG9" i="67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 s="1"/>
  <c r="BD98" i="65"/>
  <c r="BE98" i="65" s="1"/>
  <c r="BD99" i="65"/>
  <c r="BE99" i="65" s="1"/>
  <c r="BD100" i="65"/>
  <c r="BE100" i="65" s="1"/>
  <c r="BD101" i="65"/>
  <c r="BE101" i="65" s="1"/>
  <c r="BD102" i="65"/>
  <c r="BE102" i="65" s="1"/>
  <c r="BD103" i="65"/>
  <c r="BE103" i="65" s="1"/>
  <c r="BD104" i="65"/>
  <c r="BE104" i="65" s="1"/>
  <c r="BD105" i="65"/>
  <c r="BE105" i="65" s="1"/>
  <c r="BD106" i="65"/>
  <c r="BE106" i="65" s="1"/>
  <c r="BD107" i="65"/>
  <c r="BE107" i="65" s="1"/>
  <c r="BD108" i="65"/>
  <c r="BE108" i="65" s="1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 s="1"/>
  <c r="BD183" i="65"/>
  <c r="BE183" i="65"/>
  <c r="BD184" i="65"/>
  <c r="BE184" i="65"/>
  <c r="BD185" i="65"/>
  <c r="BE185" i="65"/>
  <c r="BD186" i="65"/>
  <c r="BE186" i="65"/>
  <c r="BD187" i="65"/>
  <c r="BE187" i="65"/>
  <c r="BD188" i="65"/>
  <c r="BE188" i="65" s="1"/>
  <c r="BD189" i="65"/>
  <c r="BE189" i="65"/>
  <c r="BD190" i="65"/>
  <c r="BE190" i="65"/>
  <c r="BD191" i="65"/>
  <c r="BE191" i="65"/>
  <c r="BD192" i="65"/>
  <c r="BE192" i="65"/>
  <c r="BD193" i="65"/>
  <c r="BE193" i="65"/>
  <c r="BD194" i="65"/>
  <c r="BE194" i="65" s="1"/>
  <c r="BD195" i="65"/>
  <c r="BE195" i="65"/>
  <c r="BD196" i="65"/>
  <c r="BE196" i="65"/>
  <c r="BD197" i="65"/>
  <c r="BE197" i="65"/>
  <c r="BD198" i="65"/>
  <c r="BE198" i="65"/>
  <c r="BD199" i="65"/>
  <c r="BE199" i="65"/>
  <c r="BD200" i="65"/>
  <c r="BE200" i="65" s="1"/>
  <c r="BD201" i="65"/>
  <c r="BE201" i="65"/>
  <c r="BD202" i="65"/>
  <c r="BE202" i="65"/>
  <c r="BD203" i="65"/>
  <c r="BE203" i="65"/>
  <c r="BD204" i="65"/>
  <c r="BE204" i="65"/>
  <c r="BD205" i="65"/>
  <c r="BE205" i="65"/>
  <c r="BD206" i="65"/>
  <c r="BE206" i="65" s="1"/>
  <c r="BD207" i="65"/>
  <c r="BE207" i="65"/>
  <c r="BD208" i="65"/>
  <c r="BE208" i="65"/>
  <c r="BD209" i="65"/>
  <c r="BE209" i="65"/>
  <c r="BD210" i="65"/>
  <c r="BE210" i="65"/>
  <c r="BD211" i="65"/>
  <c r="BE211" i="65"/>
  <c r="BD212" i="65"/>
  <c r="BE212" i="65" s="1"/>
  <c r="BD213" i="65"/>
  <c r="BE213" i="65"/>
  <c r="BD214" i="65"/>
  <c r="BE214" i="65"/>
  <c r="BD215" i="65"/>
  <c r="BE215" i="65"/>
  <c r="BD216" i="65"/>
  <c r="BE216" i="65"/>
  <c r="BD217" i="65"/>
  <c r="BE217" i="65"/>
  <c r="BD218" i="65"/>
  <c r="BE218" i="65" s="1"/>
  <c r="BD219" i="65"/>
  <c r="BE219" i="65"/>
  <c r="BD220" i="65"/>
  <c r="BE220" i="65"/>
  <c r="BD221" i="65"/>
  <c r="BE221" i="65"/>
  <c r="BD222" i="65"/>
  <c r="BE222" i="65"/>
  <c r="BD223" i="65"/>
  <c r="BE223" i="65"/>
  <c r="BD224" i="65"/>
  <c r="BE224" i="65" s="1"/>
  <c r="BD225" i="65"/>
  <c r="BE225" i="65"/>
  <c r="BD226" i="65"/>
  <c r="BE226" i="65"/>
  <c r="BD227" i="65"/>
  <c r="BE227" i="65" s="1"/>
  <c r="BD228" i="65"/>
  <c r="BE228" i="65" s="1"/>
  <c r="BD229" i="65"/>
  <c r="BE229" i="65" s="1"/>
  <c r="BD230" i="65"/>
  <c r="BE230" i="65"/>
  <c r="BD231" i="65"/>
  <c r="BE231" i="65" s="1"/>
  <c r="BD232" i="65"/>
  <c r="BE232" i="65" s="1"/>
  <c r="BD233" i="65"/>
  <c r="BE233" i="65" s="1"/>
  <c r="BD234" i="65"/>
  <c r="BE234" i="65" s="1"/>
  <c r="BD235" i="65"/>
  <c r="BE235" i="65" s="1"/>
  <c r="BD236" i="65"/>
  <c r="BE236" i="65" s="1"/>
  <c r="BD237" i="65"/>
  <c r="BE237" i="65" s="1"/>
  <c r="BD238" i="65"/>
  <c r="BE238" i="65" s="1"/>
  <c r="BD239" i="65"/>
  <c r="BE239" i="65" s="1"/>
  <c r="BD240" i="65"/>
  <c r="BE240" i="65" s="1"/>
  <c r="BD241" i="65"/>
  <c r="BE241" i="65" s="1"/>
  <c r="BD242" i="65"/>
  <c r="BE242" i="65" s="1"/>
  <c r="BD243" i="65"/>
  <c r="BE243" i="65" s="1"/>
  <c r="BD244" i="65"/>
  <c r="BE244" i="65" s="1"/>
  <c r="BD245" i="65"/>
  <c r="BE245" i="65" s="1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 s="1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 s="1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 s="1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 s="1"/>
  <c r="AV201" i="65"/>
  <c r="AW201" i="65"/>
  <c r="AV202" i="65"/>
  <c r="AW202" i="65"/>
  <c r="AV203" i="65"/>
  <c r="AW203" i="65"/>
  <c r="AV204" i="65"/>
  <c r="AW204" i="65"/>
  <c r="AV205" i="65"/>
  <c r="AW205" i="65"/>
  <c r="AV206" i="65"/>
  <c r="AW206" i="65" s="1"/>
  <c r="AV207" i="65"/>
  <c r="AW207" i="65"/>
  <c r="AV208" i="65"/>
  <c r="AW208" i="65"/>
  <c r="AV209" i="65"/>
  <c r="AW209" i="65"/>
  <c r="AV210" i="65"/>
  <c r="AW210" i="65"/>
  <c r="AV211" i="65"/>
  <c r="AW211" i="65"/>
  <c r="AV212" i="65"/>
  <c r="AW212" i="65" s="1"/>
  <c r="AV213" i="65"/>
  <c r="AW213" i="65"/>
  <c r="AV214" i="65"/>
  <c r="AW214" i="65"/>
  <c r="AV215" i="65"/>
  <c r="AW215" i="65"/>
  <c r="AV216" i="65"/>
  <c r="AW216" i="65"/>
  <c r="AV217" i="65"/>
  <c r="AW217" i="65"/>
  <c r="AV218" i="65"/>
  <c r="AW218" i="65" s="1"/>
  <c r="AV219" i="65"/>
  <c r="AW219" i="65"/>
  <c r="AV220" i="65"/>
  <c r="AW220" i="65"/>
  <c r="AV221" i="65"/>
  <c r="AW221" i="65"/>
  <c r="AV222" i="65"/>
  <c r="AW222" i="65"/>
  <c r="AV223" i="65"/>
  <c r="AW223" i="65"/>
  <c r="AV224" i="65"/>
  <c r="AW224" i="65" s="1"/>
  <c r="AV225" i="65"/>
  <c r="AW225" i="65"/>
  <c r="AV226" i="65"/>
  <c r="AW226" i="65"/>
  <c r="AV227" i="65"/>
  <c r="AW227" i="65"/>
  <c r="AV228" i="65"/>
  <c r="AW228" i="65" s="1"/>
  <c r="AV229" i="65"/>
  <c r="AW229" i="65" s="1"/>
  <c r="AV230" i="65"/>
  <c r="AW230" i="65"/>
  <c r="AV231" i="65"/>
  <c r="AW231" i="65" s="1"/>
  <c r="AV232" i="65"/>
  <c r="AW232" i="65"/>
  <c r="AV233" i="65"/>
  <c r="AW233" i="65" s="1"/>
  <c r="AV234" i="65"/>
  <c r="AW234" i="65" s="1"/>
  <c r="AV235" i="65"/>
  <c r="AW235" i="65" s="1"/>
  <c r="AV236" i="65"/>
  <c r="AW236" i="65" s="1"/>
  <c r="AV237" i="65"/>
  <c r="AW237" i="65" s="1"/>
  <c r="AV238" i="65"/>
  <c r="AW238" i="65" s="1"/>
  <c r="AV239" i="65"/>
  <c r="AW239" i="65" s="1"/>
  <c r="AV240" i="65"/>
  <c r="AW240" i="65" s="1"/>
  <c r="AV241" i="65"/>
  <c r="AW241" i="65" s="1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 s="1"/>
  <c r="AL99" i="65"/>
  <c r="AM99" i="65" s="1"/>
  <c r="AL100" i="65"/>
  <c r="AM100" i="65" s="1"/>
  <c r="AL101" i="65"/>
  <c r="AM101" i="65" s="1"/>
  <c r="AL102" i="65"/>
  <c r="AM102" i="65" s="1"/>
  <c r="AL103" i="65"/>
  <c r="AM103" i="65" s="1"/>
  <c r="AL104" i="65"/>
  <c r="AM104" i="65" s="1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/>
  <c r="AL183" i="65"/>
  <c r="AM183" i="65"/>
  <c r="AL184" i="65"/>
  <c r="AM184" i="65"/>
  <c r="AL185" i="65"/>
  <c r="AM185" i="65"/>
  <c r="AL186" i="65"/>
  <c r="AM186" i="65" s="1"/>
  <c r="AL187" i="65"/>
  <c r="AM187" i="65" s="1"/>
  <c r="AL188" i="65"/>
  <c r="AM188" i="65"/>
  <c r="AL189" i="65"/>
  <c r="AM189" i="65"/>
  <c r="AL190" i="65"/>
  <c r="AM190" i="65"/>
  <c r="AL191" i="65"/>
  <c r="AM191" i="65"/>
  <c r="AL192" i="65"/>
  <c r="AM192" i="65" s="1"/>
  <c r="AL193" i="65"/>
  <c r="AM193" i="65" s="1"/>
  <c r="AL194" i="65"/>
  <c r="AM194" i="65"/>
  <c r="AL195" i="65"/>
  <c r="AM195" i="65"/>
  <c r="AL196" i="65"/>
  <c r="AM196" i="65"/>
  <c r="AL197" i="65"/>
  <c r="AM197" i="65"/>
  <c r="AL198" i="65"/>
  <c r="AM198" i="65" s="1"/>
  <c r="AL199" i="65"/>
  <c r="AM199" i="65" s="1"/>
  <c r="AL200" i="65"/>
  <c r="AM200" i="65"/>
  <c r="AL201" i="65"/>
  <c r="AM201" i="65"/>
  <c r="AL202" i="65"/>
  <c r="AM202" i="65"/>
  <c r="AL203" i="65"/>
  <c r="AM203" i="65"/>
  <c r="AL204" i="65"/>
  <c r="AM204" i="65" s="1"/>
  <c r="AL205" i="65"/>
  <c r="AM205" i="65" s="1"/>
  <c r="AL206" i="65"/>
  <c r="AM206" i="65"/>
  <c r="AL207" i="65"/>
  <c r="AM207" i="65"/>
  <c r="AL208" i="65"/>
  <c r="AM208" i="65"/>
  <c r="AL209" i="65"/>
  <c r="AM209" i="65"/>
  <c r="AL210" i="65"/>
  <c r="AM210" i="65" s="1"/>
  <c r="AL211" i="65"/>
  <c r="AM211" i="65" s="1"/>
  <c r="AL212" i="65"/>
  <c r="AM212" i="65"/>
  <c r="AL213" i="65"/>
  <c r="AM213" i="65"/>
  <c r="AL214" i="65"/>
  <c r="AM214" i="65"/>
  <c r="AL215" i="65"/>
  <c r="AM215" i="65"/>
  <c r="AL216" i="65"/>
  <c r="AM216" i="65" s="1"/>
  <c r="AL217" i="65"/>
  <c r="AM217" i="65" s="1"/>
  <c r="AL218" i="65"/>
  <c r="AM218" i="65"/>
  <c r="AL219" i="65"/>
  <c r="AM219" i="65"/>
  <c r="AL220" i="65"/>
  <c r="AM220" i="65"/>
  <c r="AL221" i="65"/>
  <c r="AM221" i="65"/>
  <c r="AL222" i="65"/>
  <c r="AM222" i="65" s="1"/>
  <c r="AL223" i="65"/>
  <c r="AM223" i="65" s="1"/>
  <c r="AL224" i="65"/>
  <c r="AM224" i="65"/>
  <c r="AL225" i="65"/>
  <c r="AM225" i="65"/>
  <c r="AL226" i="65"/>
  <c r="AM226" i="65"/>
  <c r="AL227" i="65"/>
  <c r="AM227" i="65"/>
  <c r="AL228" i="65"/>
  <c r="AM228" i="65" s="1"/>
  <c r="AL229" i="65"/>
  <c r="AM229" i="65" s="1"/>
  <c r="AL230" i="65"/>
  <c r="AM230" i="65"/>
  <c r="AL231" i="65"/>
  <c r="AM231" i="65"/>
  <c r="AL232" i="65"/>
  <c r="AM232" i="65"/>
  <c r="AL233" i="65"/>
  <c r="AM233" i="65"/>
  <c r="AL234" i="65"/>
  <c r="AM234" i="65" s="1"/>
  <c r="AL235" i="65"/>
  <c r="AM235" i="65" s="1"/>
  <c r="AL236" i="65"/>
  <c r="AM236" i="65"/>
  <c r="AL237" i="65"/>
  <c r="AM237" i="65"/>
  <c r="AL238" i="65"/>
  <c r="AM238" i="65"/>
  <c r="AL239" i="65"/>
  <c r="AM239" i="65"/>
  <c r="AL240" i="65"/>
  <c r="AM240" i="65" s="1"/>
  <c r="AL241" i="65"/>
  <c r="AM241" i="65" s="1"/>
  <c r="AL242" i="65"/>
  <c r="AM242" i="65"/>
  <c r="AL243" i="65"/>
  <c r="AM243" i="65"/>
  <c r="AL244" i="65"/>
  <c r="AM244" i="65"/>
  <c r="AL245" i="65"/>
  <c r="AM245" i="65"/>
  <c r="AL246" i="65"/>
  <c r="AM246" i="65" s="1"/>
  <c r="AL247" i="65"/>
  <c r="AM247" i="65" s="1"/>
  <c r="AL248" i="65"/>
  <c r="AM248" i="65"/>
  <c r="AL249" i="65"/>
  <c r="AM249" i="65"/>
  <c r="AL250" i="65"/>
  <c r="AM250" i="65"/>
  <c r="AL251" i="65"/>
  <c r="AM251" i="65"/>
  <c r="AL252" i="65"/>
  <c r="AM252" i="65" s="1"/>
  <c r="AL253" i="65"/>
  <c r="AM253" i="65" s="1"/>
  <c r="AL254" i="65"/>
  <c r="AM254" i="65"/>
  <c r="AL255" i="65"/>
  <c r="AM255" i="65"/>
  <c r="AL256" i="65"/>
  <c r="AM256" i="65"/>
  <c r="AL257" i="65"/>
  <c r="AM257" i="65"/>
  <c r="AL258" i="65"/>
  <c r="AM258" i="65" s="1"/>
  <c r="AL259" i="65"/>
  <c r="AM259" i="65" s="1"/>
  <c r="AL260" i="65"/>
  <c r="AM260" i="65"/>
  <c r="AL261" i="65"/>
  <c r="AM261" i="65"/>
  <c r="AL262" i="65"/>
  <c r="AM262" i="65"/>
  <c r="AL263" i="65"/>
  <c r="AM263" i="65"/>
  <c r="AL264" i="65"/>
  <c r="AM264" i="65" s="1"/>
  <c r="AL265" i="65"/>
  <c r="AM265" i="65" s="1"/>
  <c r="AL266" i="65"/>
  <c r="AM266" i="65"/>
  <c r="AL267" i="65"/>
  <c r="AM267" i="65"/>
  <c r="AL268" i="65"/>
  <c r="AM268" i="65"/>
  <c r="AL269" i="65"/>
  <c r="AM269" i="65"/>
  <c r="AL270" i="65"/>
  <c r="AM270" i="65" s="1"/>
  <c r="AL271" i="65"/>
  <c r="AM271" i="65" s="1"/>
  <c r="AL272" i="65"/>
  <c r="AM272" i="65"/>
  <c r="AL273" i="65"/>
  <c r="AM273" i="65"/>
  <c r="AL274" i="65"/>
  <c r="AM274" i="65"/>
  <c r="AL275" i="65"/>
  <c r="AM275" i="65"/>
  <c r="AL276" i="65"/>
  <c r="AM276" i="65" s="1"/>
  <c r="AL277" i="65"/>
  <c r="AM277" i="65" s="1"/>
  <c r="AL278" i="65"/>
  <c r="AM278" i="65"/>
  <c r="AL279" i="65"/>
  <c r="AM279" i="65"/>
  <c r="AL280" i="65"/>
  <c r="AM280" i="65"/>
  <c r="AL281" i="65"/>
  <c r="AM281" i="65"/>
  <c r="AL282" i="65"/>
  <c r="AM282" i="65" s="1"/>
  <c r="AL283" i="65"/>
  <c r="AM283" i="65" s="1"/>
  <c r="AL284" i="65"/>
  <c r="AM284" i="65"/>
  <c r="AL285" i="65"/>
  <c r="AM285" i="65"/>
  <c r="AL286" i="65"/>
  <c r="AM286" i="65"/>
  <c r="AL287" i="65"/>
  <c r="AM287" i="65"/>
  <c r="AL288" i="65"/>
  <c r="AM288" i="65" s="1"/>
  <c r="AL289" i="65"/>
  <c r="AM289" i="65" s="1"/>
  <c r="AL290" i="65"/>
  <c r="AM290" i="65"/>
  <c r="AL291" i="65"/>
  <c r="AM291" i="65"/>
  <c r="AL292" i="65"/>
  <c r="AM292" i="65"/>
  <c r="AL293" i="65"/>
  <c r="AM293" i="65"/>
  <c r="AL294" i="65"/>
  <c r="AM294" i="65" s="1"/>
  <c r="AL295" i="65"/>
  <c r="AM295" i="65" s="1"/>
  <c r="AL296" i="65"/>
  <c r="AM296" i="65"/>
  <c r="AL297" i="65"/>
  <c r="AM297" i="65"/>
  <c r="AL298" i="65"/>
  <c r="AM298" i="65"/>
  <c r="AL299" i="65"/>
  <c r="AM299" i="65"/>
  <c r="AL300" i="65"/>
  <c r="AM300" i="65" s="1"/>
  <c r="AL301" i="65"/>
  <c r="AM301" i="65" s="1"/>
  <c r="AL302" i="65"/>
  <c r="AM302" i="65"/>
  <c r="AL303" i="65"/>
  <c r="AM303" i="65"/>
  <c r="AL304" i="65"/>
  <c r="AM304" i="65"/>
  <c r="AL305" i="65"/>
  <c r="AM305" i="65"/>
  <c r="AL306" i="65"/>
  <c r="AM306" i="65" s="1"/>
  <c r="AL307" i="65"/>
  <c r="AM307" i="65" s="1"/>
  <c r="AL308" i="65"/>
  <c r="AM308" i="65"/>
  <c r="AL309" i="65"/>
  <c r="AM309" i="65"/>
  <c r="AL310" i="65"/>
  <c r="AM310" i="65"/>
  <c r="AL311" i="65"/>
  <c r="AM311" i="65"/>
  <c r="AL312" i="65"/>
  <c r="AM312" i="65" s="1"/>
  <c r="AL313" i="65"/>
  <c r="AM313" i="65" s="1"/>
  <c r="AL314" i="65"/>
  <c r="AM314" i="65"/>
  <c r="AL315" i="65"/>
  <c r="AM315" i="65"/>
  <c r="AL316" i="65"/>
  <c r="AM316" i="65"/>
  <c r="AL317" i="65"/>
  <c r="AM317" i="65"/>
  <c r="AL318" i="65"/>
  <c r="AM318" i="65" s="1"/>
  <c r="AL319" i="65"/>
  <c r="AM319" i="65" s="1"/>
  <c r="AL320" i="65"/>
  <c r="AM320" i="65"/>
  <c r="AL321" i="65"/>
  <c r="AM321" i="65"/>
  <c r="AL322" i="65"/>
  <c r="AM322" i="65"/>
  <c r="AL323" i="65"/>
  <c r="AM323" i="65"/>
  <c r="AL324" i="65"/>
  <c r="AM324" i="65" s="1"/>
  <c r="AL325" i="65"/>
  <c r="AM325" i="65" s="1"/>
  <c r="AL326" i="65"/>
  <c r="AM326" i="65"/>
  <c r="AL327" i="65"/>
  <c r="AM327" i="65"/>
  <c r="AL328" i="65"/>
  <c r="AM328" i="65"/>
  <c r="AL329" i="65"/>
  <c r="AM329" i="65"/>
  <c r="AL330" i="65"/>
  <c r="AM330" i="65" s="1"/>
  <c r="AL331" i="65"/>
  <c r="AM331" i="65" s="1"/>
  <c r="AL332" i="65"/>
  <c r="AM332" i="65"/>
  <c r="AL333" i="65"/>
  <c r="AM333" i="65"/>
  <c r="AL334" i="65"/>
  <c r="AM334" i="65"/>
  <c r="AL335" i="65"/>
  <c r="AM335" i="65"/>
  <c r="AL336" i="65"/>
  <c r="AM336" i="65" s="1"/>
  <c r="AL337" i="65"/>
  <c r="AM337" i="65" s="1"/>
  <c r="AL338" i="65"/>
  <c r="AM338" i="65"/>
  <c r="AL339" i="65"/>
  <c r="AM339" i="65"/>
  <c r="AL340" i="65"/>
  <c r="AM340" i="65"/>
  <c r="AL341" i="65"/>
  <c r="AM341" i="65"/>
  <c r="AL342" i="65"/>
  <c r="AM342" i="65" s="1"/>
  <c r="AL343" i="65"/>
  <c r="AM343" i="65" s="1"/>
  <c r="AL344" i="65"/>
  <c r="AM344" i="65"/>
  <c r="AL345" i="65"/>
  <c r="AM345" i="65"/>
  <c r="AL346" i="65"/>
  <c r="AM346" i="65"/>
  <c r="AL347" i="65"/>
  <c r="AM347" i="65"/>
  <c r="AL348" i="65"/>
  <c r="AM348" i="65" s="1"/>
  <c r="AL349" i="65"/>
  <c r="AM349" i="65" s="1"/>
  <c r="AL350" i="65"/>
  <c r="AM350" i="65"/>
  <c r="AL351" i="65"/>
  <c r="AM351" i="65"/>
  <c r="AL352" i="65"/>
  <c r="AM352" i="65"/>
  <c r="AL353" i="65"/>
  <c r="AM353" i="65"/>
  <c r="AL354" i="65"/>
  <c r="AM354" i="65" s="1"/>
  <c r="AL355" i="65"/>
  <c r="AM355" i="65" s="1"/>
  <c r="AL356" i="65"/>
  <c r="AM356" i="65"/>
  <c r="AL357" i="65"/>
  <c r="AM357" i="65"/>
  <c r="AL358" i="65"/>
  <c r="AM358" i="65"/>
  <c r="AL359" i="65"/>
  <c r="AM359" i="65"/>
  <c r="AL360" i="65"/>
  <c r="AM360" i="65" s="1"/>
  <c r="AL361" i="65"/>
  <c r="AM361" i="65" s="1"/>
  <c r="AL362" i="65"/>
  <c r="AM362" i="65"/>
  <c r="AL363" i="65"/>
  <c r="AM363" i="65"/>
  <c r="AL364" i="65"/>
  <c r="AM364" i="65"/>
  <c r="AL365" i="65"/>
  <c r="AM365" i="65"/>
  <c r="AL366" i="65"/>
  <c r="AM366" i="65" s="1"/>
  <c r="AL367" i="65"/>
  <c r="AM367" i="65" s="1"/>
  <c r="AL368" i="65"/>
  <c r="AM368" i="65"/>
  <c r="AL369" i="65"/>
  <c r="AM369" i="65"/>
  <c r="AL370" i="65"/>
  <c r="AM370" i="65"/>
  <c r="AL371" i="65"/>
  <c r="AM371" i="65"/>
  <c r="AL372" i="65"/>
  <c r="AM372" i="65" s="1"/>
  <c r="AL373" i="65"/>
  <c r="AM373" i="65" s="1"/>
  <c r="AL374" i="65"/>
  <c r="AM374" i="65"/>
  <c r="AL375" i="65"/>
  <c r="AM375" i="65"/>
  <c r="AL376" i="65"/>
  <c r="AM376" i="65"/>
  <c r="AL377" i="65"/>
  <c r="AM377" i="65"/>
  <c r="AL378" i="65"/>
  <c r="AM378" i="65" s="1"/>
  <c r="AL379" i="65"/>
  <c r="AM379" i="65" s="1"/>
  <c r="AL380" i="65"/>
  <c r="AM380" i="65"/>
  <c r="AL381" i="65"/>
  <c r="AM381" i="65"/>
  <c r="AL382" i="65"/>
  <c r="AM382" i="65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 s="1"/>
  <c r="AD183" i="65"/>
  <c r="AE183" i="65" s="1"/>
  <c r="AD184" i="65"/>
  <c r="AE184" i="65"/>
  <c r="AD185" i="65"/>
  <c r="AE185" i="65"/>
  <c r="AD186" i="65"/>
  <c r="AE186" i="65"/>
  <c r="AD187" i="65"/>
  <c r="AE187" i="65"/>
  <c r="AD188" i="65"/>
  <c r="AE188" i="65" s="1"/>
  <c r="AD189" i="65"/>
  <c r="AE189" i="65" s="1"/>
  <c r="AD190" i="65"/>
  <c r="AE190" i="65"/>
  <c r="AD191" i="65"/>
  <c r="AE191" i="65"/>
  <c r="AD192" i="65"/>
  <c r="AE192" i="65"/>
  <c r="AD193" i="65"/>
  <c r="AE193" i="65"/>
  <c r="AD194" i="65"/>
  <c r="AE194" i="65" s="1"/>
  <c r="AD195" i="65"/>
  <c r="AE195" i="65" s="1"/>
  <c r="AD196" i="65"/>
  <c r="AE196" i="65"/>
  <c r="AD197" i="65"/>
  <c r="AE197" i="65"/>
  <c r="AD198" i="65"/>
  <c r="AE198" i="65"/>
  <c r="AD199" i="65"/>
  <c r="AE199" i="65"/>
  <c r="AD200" i="65"/>
  <c r="AE200" i="65" s="1"/>
  <c r="AD201" i="65"/>
  <c r="AE201" i="65" s="1"/>
  <c r="AD202" i="65"/>
  <c r="AE202" i="65" s="1"/>
  <c r="AD203" i="65"/>
  <c r="AE203" i="65" s="1"/>
  <c r="AD204" i="65"/>
  <c r="AE204" i="65" s="1"/>
  <c r="AD205" i="65"/>
  <c r="AE205" i="65" s="1"/>
  <c r="AD206" i="65"/>
  <c r="AE206" i="65" s="1"/>
  <c r="AD207" i="65"/>
  <c r="AE207" i="65" s="1"/>
  <c r="AD208" i="65"/>
  <c r="AE208" i="65" s="1"/>
  <c r="AD209" i="65"/>
  <c r="AE209" i="65" s="1"/>
  <c r="AD210" i="65"/>
  <c r="AE210" i="65" s="1"/>
  <c r="AD211" i="65"/>
  <c r="AE211" i="65" s="1"/>
  <c r="AD212" i="65"/>
  <c r="AE212" i="65" s="1"/>
  <c r="AD213" i="65"/>
  <c r="AE213" i="65" s="1"/>
  <c r="AD214" i="65"/>
  <c r="AE214" i="65" s="1"/>
  <c r="AD215" i="65"/>
  <c r="AE215" i="65" s="1"/>
  <c r="AD216" i="65"/>
  <c r="AE216" i="65" s="1"/>
  <c r="AD217" i="65"/>
  <c r="AE217" i="65" s="1"/>
  <c r="AD218" i="65"/>
  <c r="AE218" i="65" s="1"/>
  <c r="AD219" i="65"/>
  <c r="AE219" i="65" s="1"/>
  <c r="AD220" i="65"/>
  <c r="AE220" i="65" s="1"/>
  <c r="AD221" i="65"/>
  <c r="AE221" i="65" s="1"/>
  <c r="AD222" i="65"/>
  <c r="AE222" i="65" s="1"/>
  <c r="AD223" i="65"/>
  <c r="AE223" i="65" s="1"/>
  <c r="AD224" i="65"/>
  <c r="AE224" i="65" s="1"/>
  <c r="AD225" i="65"/>
  <c r="AE225" i="65" s="1"/>
  <c r="AD226" i="65"/>
  <c r="AE226" i="65" s="1"/>
  <c r="AD227" i="65"/>
  <c r="AE227" i="65" s="1"/>
  <c r="AD228" i="65"/>
  <c r="AE228" i="65" s="1"/>
  <c r="AD229" i="65"/>
  <c r="AE229" i="65" s="1"/>
  <c r="AD230" i="65"/>
  <c r="AE230" i="65" s="1"/>
  <c r="AD231" i="65"/>
  <c r="AE231" i="65" s="1"/>
  <c r="AD232" i="65"/>
  <c r="AE232" i="65" s="1"/>
  <c r="AD233" i="65"/>
  <c r="AE233" i="65" s="1"/>
  <c r="AD234" i="65"/>
  <c r="AE234" i="65" s="1"/>
  <c r="AD235" i="65"/>
  <c r="AE235" i="65" s="1"/>
  <c r="AD236" i="65"/>
  <c r="AE236" i="65" s="1"/>
  <c r="AD237" i="65"/>
  <c r="AE237" i="65" s="1"/>
  <c r="AD238" i="65"/>
  <c r="AE238" i="65" s="1"/>
  <c r="AD239" i="65"/>
  <c r="AE239" i="65" s="1"/>
  <c r="AD240" i="65"/>
  <c r="AE240" i="65" s="1"/>
  <c r="AD241" i="65"/>
  <c r="AE241" i="65" s="1"/>
  <c r="AD242" i="65"/>
  <c r="AE242" i="65" s="1"/>
  <c r="AD243" i="65"/>
  <c r="AE243" i="65" s="1"/>
  <c r="AD244" i="65"/>
  <c r="AE244" i="65" s="1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/>
  <c r="AD373" i="65"/>
  <c r="AE373" i="65"/>
  <c r="AD374" i="65"/>
  <c r="AE374" i="65"/>
  <c r="AD375" i="65"/>
  <c r="AE375" i="65" s="1"/>
  <c r="AD376" i="65"/>
  <c r="AE376" i="65"/>
  <c r="AD377" i="65"/>
  <c r="AE377" i="65"/>
  <c r="AD378" i="65"/>
  <c r="AE378" i="65"/>
  <c r="AD379" i="65"/>
  <c r="AE379" i="65"/>
  <c r="AD380" i="65"/>
  <c r="AE380" i="65"/>
  <c r="AD381" i="65"/>
  <c r="AE381" i="65" s="1"/>
  <c r="AD382" i="65"/>
  <c r="AE382" i="65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/>
  <c r="T183" i="65"/>
  <c r="U183" i="65"/>
  <c r="T184" i="65"/>
  <c r="U184" i="65"/>
  <c r="T185" i="65"/>
  <c r="U185" i="65" s="1"/>
  <c r="T186" i="65"/>
  <c r="U186" i="65"/>
  <c r="T187" i="65"/>
  <c r="U187" i="65"/>
  <c r="T188" i="65"/>
  <c r="U188" i="65"/>
  <c r="T189" i="65"/>
  <c r="U189" i="65"/>
  <c r="T190" i="65"/>
  <c r="U190" i="65"/>
  <c r="T191" i="65"/>
  <c r="U191" i="65" s="1"/>
  <c r="T192" i="65"/>
  <c r="U192" i="65"/>
  <c r="T193" i="65"/>
  <c r="U193" i="65"/>
  <c r="T194" i="65"/>
  <c r="U194" i="65"/>
  <c r="T195" i="65"/>
  <c r="U195" i="65"/>
  <c r="T196" i="65"/>
  <c r="U196" i="65"/>
  <c r="T197" i="65"/>
  <c r="U197" i="65" s="1"/>
  <c r="T198" i="65"/>
  <c r="U198" i="65"/>
  <c r="T199" i="65"/>
  <c r="U199" i="65"/>
  <c r="T200" i="65"/>
  <c r="U200" i="65"/>
  <c r="T201" i="65"/>
  <c r="U201" i="65"/>
  <c r="T202" i="65"/>
  <c r="U202" i="65"/>
  <c r="T203" i="65"/>
  <c r="U203" i="65" s="1"/>
  <c r="T204" i="65"/>
  <c r="U204" i="65"/>
  <c r="T205" i="65"/>
  <c r="U205" i="65"/>
  <c r="T206" i="65"/>
  <c r="U206" i="65"/>
  <c r="T207" i="65"/>
  <c r="U207" i="65"/>
  <c r="T208" i="65"/>
  <c r="U208" i="65"/>
  <c r="T209" i="65"/>
  <c r="U209" i="65" s="1"/>
  <c r="T210" i="65"/>
  <c r="U210" i="65"/>
  <c r="T211" i="65"/>
  <c r="U211" i="65"/>
  <c r="T212" i="65"/>
  <c r="U212" i="65"/>
  <c r="T213" i="65"/>
  <c r="U213" i="65"/>
  <c r="T214" i="65"/>
  <c r="U214" i="65"/>
  <c r="T215" i="65"/>
  <c r="U215" i="65" s="1"/>
  <c r="T216" i="65"/>
  <c r="U216" i="65"/>
  <c r="T217" i="65"/>
  <c r="U217" i="65"/>
  <c r="T218" i="65"/>
  <c r="U218" i="65"/>
  <c r="T219" i="65"/>
  <c r="U219" i="65"/>
  <c r="T220" i="65"/>
  <c r="U220" i="65"/>
  <c r="T221" i="65"/>
  <c r="U221" i="65" s="1"/>
  <c r="T222" i="65"/>
  <c r="U222" i="65"/>
  <c r="T223" i="65"/>
  <c r="U223" i="65"/>
  <c r="T224" i="65"/>
  <c r="U224" i="65"/>
  <c r="T225" i="65"/>
  <c r="U225" i="65"/>
  <c r="T226" i="65"/>
  <c r="U226" i="65"/>
  <c r="T227" i="65"/>
  <c r="U227" i="65" s="1"/>
  <c r="T228" i="65"/>
  <c r="U228" i="65"/>
  <c r="T229" i="65"/>
  <c r="U229" i="65"/>
  <c r="T230" i="65"/>
  <c r="U230" i="65"/>
  <c r="T231" i="65"/>
  <c r="U231" i="65"/>
  <c r="T232" i="65"/>
  <c r="U232" i="65"/>
  <c r="T233" i="65"/>
  <c r="U233" i="65" s="1"/>
  <c r="T234" i="65"/>
  <c r="U234" i="65"/>
  <c r="T235" i="65"/>
  <c r="U235" i="65" s="1"/>
  <c r="T236" i="65"/>
  <c r="U236" i="65" s="1"/>
  <c r="T237" i="65"/>
  <c r="U237" i="65" s="1"/>
  <c r="T238" i="65"/>
  <c r="U238" i="65" s="1"/>
  <c r="T239" i="65"/>
  <c r="U239" i="65"/>
  <c r="T240" i="65"/>
  <c r="U240" i="65" s="1"/>
  <c r="T241" i="65"/>
  <c r="U241" i="65"/>
  <c r="T242" i="65"/>
  <c r="U242" i="65" s="1"/>
  <c r="T243" i="65"/>
  <c r="U243" i="65" s="1"/>
  <c r="T244" i="65"/>
  <c r="U244" i="65" s="1"/>
  <c r="T245" i="65"/>
  <c r="U245" i="65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 s="1"/>
  <c r="L99" i="65"/>
  <c r="M99" i="65" s="1"/>
  <c r="L100" i="65"/>
  <c r="M100" i="65" s="1"/>
  <c r="L101" i="65"/>
  <c r="M101" i="65" s="1"/>
  <c r="L102" i="65"/>
  <c r="M102" i="65" s="1"/>
  <c r="L103" i="65"/>
  <c r="M103" i="65" s="1"/>
  <c r="L104" i="65"/>
  <c r="M104" i="65" s="1"/>
  <c r="L105" i="65"/>
  <c r="M105" i="65" s="1"/>
  <c r="L106" i="65"/>
  <c r="M106" i="65" s="1"/>
  <c r="L107" i="65"/>
  <c r="M107" i="65" s="1"/>
  <c r="L108" i="65"/>
  <c r="M108" i="65" s="1"/>
  <c r="L109" i="65"/>
  <c r="M109" i="65" s="1"/>
  <c r="L110" i="65"/>
  <c r="M110" i="65" s="1"/>
  <c r="L111" i="65"/>
  <c r="M111" i="65" s="1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 s="1"/>
  <c r="L183" i="65"/>
  <c r="M183" i="65"/>
  <c r="L184" i="65"/>
  <c r="M184" i="65" s="1"/>
  <c r="L185" i="65"/>
  <c r="M185" i="65"/>
  <c r="L186" i="65"/>
  <c r="M186" i="65"/>
  <c r="L187" i="65"/>
  <c r="M187" i="65"/>
  <c r="L188" i="65"/>
  <c r="M188" i="65"/>
  <c r="L189" i="65"/>
  <c r="M189" i="65"/>
  <c r="L190" i="65"/>
  <c r="M190" i="65" s="1"/>
  <c r="L191" i="65"/>
  <c r="M191" i="65"/>
  <c r="L192" i="65"/>
  <c r="M192" i="65"/>
  <c r="L193" i="65"/>
  <c r="M193" i="65"/>
  <c r="L194" i="65"/>
  <c r="M194" i="65" s="1"/>
  <c r="L195" i="65"/>
  <c r="M195" i="65" s="1"/>
  <c r="L196" i="65"/>
  <c r="M196" i="65" s="1"/>
  <c r="L197" i="65"/>
  <c r="M197" i="65" s="1"/>
  <c r="L198" i="65"/>
  <c r="M198" i="65" s="1"/>
  <c r="L199" i="65"/>
  <c r="M199" i="65" s="1"/>
  <c r="L200" i="65"/>
  <c r="M200" i="65" s="1"/>
  <c r="L201" i="65"/>
  <c r="M201" i="65" s="1"/>
  <c r="L202" i="65"/>
  <c r="M202" i="65" s="1"/>
  <c r="L203" i="65"/>
  <c r="M203" i="65" s="1"/>
  <c r="L204" i="65"/>
  <c r="M204" i="65" s="1"/>
  <c r="L205" i="65"/>
  <c r="M205" i="65" s="1"/>
  <c r="L206" i="65"/>
  <c r="M206" i="65" s="1"/>
  <c r="L207" i="65"/>
  <c r="M207" i="65" s="1"/>
  <c r="L208" i="65"/>
  <c r="M208" i="65" s="1"/>
  <c r="L209" i="65"/>
  <c r="M209" i="65" s="1"/>
  <c r="L210" i="65"/>
  <c r="M210" i="65" s="1"/>
  <c r="L211" i="65"/>
  <c r="M211" i="65" s="1"/>
  <c r="L212" i="65"/>
  <c r="M212" i="65" s="1"/>
  <c r="L213" i="65"/>
  <c r="M213" i="65" s="1"/>
  <c r="L214" i="65"/>
  <c r="M214" i="65" s="1"/>
  <c r="L215" i="65"/>
  <c r="M215" i="65" s="1"/>
  <c r="L216" i="65"/>
  <c r="M216" i="65" s="1"/>
  <c r="L217" i="65"/>
  <c r="M217" i="65" s="1"/>
  <c r="L218" i="65"/>
  <c r="M218" i="65" s="1"/>
  <c r="L219" i="65"/>
  <c r="M219" i="65" s="1"/>
  <c r="L220" i="65"/>
  <c r="M220" i="65" s="1"/>
  <c r="L221" i="65"/>
  <c r="M221" i="65" s="1"/>
  <c r="L222" i="65"/>
  <c r="M222" i="65" s="1"/>
  <c r="L223" i="65"/>
  <c r="M223" i="65" s="1"/>
  <c r="L224" i="65"/>
  <c r="M224" i="65" s="1"/>
  <c r="L225" i="65"/>
  <c r="M225" i="65" s="1"/>
  <c r="L226" i="65"/>
  <c r="M226" i="65" s="1"/>
  <c r="L227" i="65"/>
  <c r="M227" i="65" s="1"/>
  <c r="L228" i="65"/>
  <c r="M228" i="65" s="1"/>
  <c r="L229" i="65"/>
  <c r="M229" i="65" s="1"/>
  <c r="L230" i="65"/>
  <c r="M230" i="65" s="1"/>
  <c r="L231" i="65"/>
  <c r="M231" i="65" s="1"/>
  <c r="L232" i="65"/>
  <c r="M232" i="65" s="1"/>
  <c r="L233" i="65"/>
  <c r="M233" i="65" s="1"/>
  <c r="L234" i="65"/>
  <c r="M234" i="65" s="1"/>
  <c r="L235" i="65"/>
  <c r="M235" i="65"/>
  <c r="L236" i="65"/>
  <c r="M236" i="65"/>
  <c r="L237" i="65"/>
  <c r="M237" i="65"/>
  <c r="L238" i="65"/>
  <c r="M238" i="65" s="1"/>
  <c r="L239" i="65"/>
  <c r="M239" i="65" s="1"/>
  <c r="L240" i="65"/>
  <c r="M240" i="65" s="1"/>
  <c r="L241" i="65"/>
  <c r="M241" i="65" s="1"/>
  <c r="L242" i="65"/>
  <c r="M242" i="65" s="1"/>
  <c r="L243" i="65"/>
  <c r="M243" i="65" s="1"/>
  <c r="L244" i="65"/>
  <c r="M244" i="65" s="1"/>
  <c r="L245" i="65"/>
  <c r="M245" i="65" s="1"/>
  <c r="L246" i="65"/>
  <c r="M246" i="65" s="1"/>
  <c r="L247" i="65"/>
  <c r="M247" i="65" s="1"/>
  <c r="L248" i="65"/>
  <c r="M248" i="65" s="1"/>
  <c r="L249" i="65"/>
  <c r="M249" i="65" s="1"/>
  <c r="L250" i="65"/>
  <c r="M250" i="65" s="1"/>
  <c r="L251" i="65"/>
  <c r="M251" i="65" s="1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 s="1"/>
  <c r="L378" i="65"/>
  <c r="M378" i="65" s="1"/>
  <c r="L379" i="65"/>
  <c r="M379" i="65" s="1"/>
  <c r="L380" i="65"/>
  <c r="M380" i="65" s="1"/>
  <c r="L381" i="65"/>
  <c r="M381" i="65" s="1"/>
  <c r="L382" i="65"/>
  <c r="M382" i="65" s="1"/>
  <c r="I6" i="67" l="1"/>
  <c r="A11" i="67" s="1"/>
  <c r="Y4" i="67"/>
  <c r="G4" i="67"/>
  <c r="FD6" i="67"/>
  <c r="EY4" i="67"/>
  <c r="EY2" i="67" s="1"/>
  <c r="EV9" i="67" s="1"/>
  <c r="AY4" i="67"/>
  <c r="AY2" i="67"/>
  <c r="AW7" i="67"/>
  <c r="AW5" i="67"/>
  <c r="AW3" i="67"/>
  <c r="AV4" i="67" s="1"/>
  <c r="AM7" i="67"/>
  <c r="AM3" i="67"/>
  <c r="AM5" i="67"/>
  <c r="AG4" i="67"/>
  <c r="AE3" i="67"/>
  <c r="AE7" i="67"/>
  <c r="AE5" i="67"/>
  <c r="U7" i="67"/>
  <c r="U3" i="67"/>
  <c r="U5" i="67"/>
  <c r="M5" i="67"/>
  <c r="M7" i="67"/>
  <c r="M3" i="67"/>
  <c r="EP4" i="67"/>
  <c r="EP2" i="67" s="1"/>
  <c r="FG4" i="67"/>
  <c r="FG2" i="67" s="1"/>
  <c r="DX4" i="67"/>
  <c r="DX2" i="67" s="1"/>
  <c r="B19" i="67"/>
  <c r="CF4" i="67"/>
  <c r="CF2" i="67" s="1"/>
  <c r="A20" i="67"/>
  <c r="CN4" i="67"/>
  <c r="A16" i="67"/>
  <c r="BD4" i="67"/>
  <c r="A12" i="67"/>
  <c r="T4" i="67"/>
  <c r="A18" i="67"/>
  <c r="BV4" i="67"/>
  <c r="A14" i="67"/>
  <c r="AL4" i="67"/>
  <c r="AD4" i="67"/>
  <c r="CX4" i="67"/>
  <c r="L4" i="67"/>
  <c r="BN4" i="67"/>
  <c r="DF4" i="67"/>
  <c r="L6" i="65"/>
  <c r="E4" i="63"/>
  <c r="J4" i="63"/>
  <c r="C22" i="67" l="1"/>
  <c r="DF2" i="67"/>
  <c r="D22" i="67" s="1"/>
  <c r="C21" i="67"/>
  <c r="CX2" i="67"/>
  <c r="C14" i="67"/>
  <c r="AL2" i="67"/>
  <c r="D14" i="67" s="1"/>
  <c r="C18" i="67"/>
  <c r="BV2" i="67"/>
  <c r="D18" i="67" s="1"/>
  <c r="C12" i="67"/>
  <c r="T2" i="67"/>
  <c r="D12" i="67" s="1"/>
  <c r="C16" i="67"/>
  <c r="BD2" i="67"/>
  <c r="D16" i="67" s="1"/>
  <c r="C20" i="67"/>
  <c r="CN2" i="67"/>
  <c r="D20" i="67" s="1"/>
  <c r="D19" i="67"/>
  <c r="CC9" i="67"/>
  <c r="E19" i="67" s="1"/>
  <c r="C11" i="67"/>
  <c r="L2" i="67"/>
  <c r="C17" i="67"/>
  <c r="C19" i="67"/>
  <c r="BN2" i="67"/>
  <c r="C15" i="67"/>
  <c r="AV2" i="67"/>
  <c r="C13" i="67"/>
  <c r="AD2" i="67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D4" i="63"/>
  <c r="C4" i="63"/>
  <c r="H4" i="63"/>
  <c r="L4" i="63"/>
  <c r="I4" i="63"/>
  <c r="G4" i="63"/>
  <c r="B4" i="63"/>
  <c r="CE7" i="65" l="1"/>
  <c r="CC4" i="65"/>
  <c r="CE4" i="65" s="1"/>
  <c r="D11" i="67"/>
  <c r="I9" i="67"/>
  <c r="E11" i="67" s="1"/>
  <c r="D21" i="67"/>
  <c r="CU9" i="67"/>
  <c r="E21" i="67" s="1"/>
  <c r="D13" i="67"/>
  <c r="AA9" i="67"/>
  <c r="E13" i="67" s="1"/>
  <c r="D15" i="67"/>
  <c r="AS9" i="67"/>
  <c r="E15" i="67" s="1"/>
  <c r="D17" i="67"/>
  <c r="BK9" i="67"/>
  <c r="E17" i="67" s="1"/>
  <c r="BI2" i="65"/>
  <c r="CA2" i="65"/>
  <c r="CE3" i="65"/>
  <c r="DE3" i="65"/>
  <c r="DA4" i="65" s="1"/>
  <c r="BM3" i="65"/>
  <c r="BI4" i="65" s="1"/>
  <c r="M11" i="65"/>
  <c r="M9" i="65" s="1"/>
  <c r="M7" i="65" s="1"/>
  <c r="I4" i="65"/>
  <c r="K4" i="65" s="1"/>
  <c r="K6" i="65"/>
  <c r="G2" i="65" s="1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I6" i="65"/>
  <c r="A11" i="65" s="1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U6" i="65"/>
  <c r="BV9" i="65" s="1"/>
  <c r="CM6" i="65"/>
  <c r="CN9" i="65" s="1"/>
  <c r="DE6" i="65"/>
  <c r="DF9" i="65" s="1"/>
  <c r="DW6" i="65"/>
  <c r="DX9" i="65" s="1"/>
  <c r="EO6" i="65"/>
  <c r="EP9" i="65" s="1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3" i="63" a="1"/>
  <c r="EP4" i="65" l="1"/>
  <c r="EP2" i="65" s="1"/>
  <c r="G4" i="65"/>
  <c r="CA4" i="65"/>
  <c r="BD9" i="65"/>
  <c r="AI6" i="65"/>
  <c r="A14" i="65" s="1"/>
  <c r="CW3" i="65"/>
  <c r="CU6" i="65" s="1"/>
  <c r="A21" i="65" s="1"/>
  <c r="CI2" i="65"/>
  <c r="BU3" i="65"/>
  <c r="BS6" i="65" s="1"/>
  <c r="A18" i="65" s="1"/>
  <c r="CM3" i="65"/>
  <c r="CK6" i="65" s="1"/>
  <c r="A20" i="65" s="1"/>
  <c r="CI4" i="65"/>
  <c r="BQ2" i="65"/>
  <c r="DA2" i="65"/>
  <c r="M3" i="65"/>
  <c r="L9" i="65"/>
  <c r="B11" i="65" s="1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CN4" i="65" l="1"/>
  <c r="BQ4" i="65"/>
  <c r="CX4" i="65"/>
  <c r="BA6" i="65"/>
  <c r="T4" i="65"/>
  <c r="CS4" i="65"/>
  <c r="O4" i="65"/>
  <c r="L4" i="65"/>
  <c r="C11" i="65" s="1"/>
  <c r="C13" i="65"/>
  <c r="AD2" i="65"/>
  <c r="C21" i="65"/>
  <c r="CX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G2" i="64" l="1"/>
  <c r="L2" i="65"/>
  <c r="A16" i="65"/>
  <c r="BD4" i="65"/>
  <c r="M11" i="64"/>
  <c r="M9" i="64" s="1"/>
  <c r="I4" i="64"/>
  <c r="K4" i="64" s="1"/>
  <c r="L6" i="64"/>
  <c r="K6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EV6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AS9" i="65"/>
  <c r="E15" i="65" s="1"/>
  <c r="D17" i="65"/>
  <c r="BK9" i="65"/>
  <c r="E17" i="65" s="1"/>
  <c r="I3" i="64"/>
  <c r="L9" i="64"/>
  <c r="B11" i="64" s="1"/>
  <c r="A2" i="63" a="1"/>
  <c r="DM6" i="64" l="1"/>
  <c r="K3" i="64"/>
  <c r="G4" i="64" s="1"/>
  <c r="AU3" i="64"/>
  <c r="AS6" i="64" s="1"/>
  <c r="A15" i="64" s="1"/>
  <c r="O2" i="64"/>
  <c r="C16" i="65"/>
  <c r="BD2" i="65"/>
  <c r="D16" i="65" s="1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D9" i="64"/>
  <c r="B16" i="64" s="1"/>
  <c r="BC6" i="64"/>
  <c r="AY2" i="64" s="1"/>
  <c r="AM5" i="64"/>
  <c r="AM7" i="64"/>
  <c r="AM3" i="64"/>
  <c r="S6" i="64"/>
  <c r="T9" i="64" s="1"/>
  <c r="B1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Y4" i="64" s="1"/>
  <c r="EY2" i="64" s="1"/>
  <c r="EV9" i="64" s="1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K3" i="64"/>
  <c r="AI6" i="64" s="1"/>
  <c r="A1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 s="1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AQ4" i="64" l="1"/>
  <c r="AG4" i="64"/>
  <c r="AG2" i="64"/>
  <c r="AY4" i="64"/>
  <c r="O4" i="64"/>
  <c r="CF4" i="64"/>
  <c r="CF2" i="64" s="1"/>
  <c r="CC9" i="64" s="1"/>
  <c r="BD4" i="64"/>
  <c r="BD2" i="64" s="1"/>
  <c r="D16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D18" i="64"/>
  <c r="C20" i="64" l="1"/>
  <c r="C22" i="64"/>
  <c r="D15" i="64"/>
  <c r="C16" i="64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2" i="63"/>
  <c r="E2" i="63"/>
  <c r="J3" i="63"/>
  <c r="G3" i="63"/>
  <c r="D3" i="63"/>
  <c r="C3" i="63"/>
  <c r="I3" i="63"/>
  <c r="H3" i="63"/>
  <c r="B3" i="63"/>
  <c r="L2" i="63"/>
  <c r="C2" i="63"/>
  <c r="D2" i="63"/>
  <c r="H2" i="63"/>
  <c r="I2" i="63"/>
  <c r="L3" i="63"/>
  <c r="B2" i="63"/>
  <c r="G2" i="6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<sst xmlns="http://schemas.openxmlformats.org/spreadsheetml/2006/main" count="1240" uniqueCount="46">
  <si>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</si>
  <si>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</si>
  <si>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</si>
  <si>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</si>
  <si>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</si>
  <si>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</si>
  <si>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</si>
  <si>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</si>
  <si>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</si>
  <si>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</si>
  <si>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</si>
  <si>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</si>
  <si>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</si>
  <si>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</si>
  <si>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</si>
  <si>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</si>
  <si>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</si>
  <si>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</si>
  <si>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</si>
  <si>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</si>
  <si>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宋体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</si>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</sst>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8" x14ac:knownFonts="1">
    <font>
      <sz val="11"/>
      <color theme="1"/>
      <name val="宋体"/>
      <family val="2"/>
      <scheme val="minor"/>
    </font>
    <font>
      <sz val="11"/>
      <color rgb="FFFF0000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11"/>
      <color theme="1"/>
      <name val="Calibri"/>
      <family val="2"/>
    </font>
    <font>
      <b/>
      <sz val="11"/>
      <name val="宋体"/>
      <family val="2"/>
      <scheme val="minor"/>
    </font>
    <font>
      <b/>
      <sz val="11"/>
      <color rgb="FFFF0000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76" fontId="0" fillId="2" borderId="0" xfId="0" applyNumberFormat="1" applyFill="1"/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Alignment="1">
      <alignment horizontal="center"/>
    </xf>
    <xf numFmtId="176" fontId="0" fillId="0" borderId="0" xfId="0" applyNumberFormat="1" applyAlignment="1">
      <alignment horizontal="center"/>
    </xf>
    <xf numFmtId="176" fontId="0" fillId="2" borderId="0" xfId="0" applyNumberFormat="1" applyFill="1" applyAlignment="1">
      <alignment horizontal="center"/>
    </xf>
    <xf numFmtId="176" fontId="2" fillId="2" borderId="0" xfId="0" applyNumberFormat="1" applyFont="1" applyFill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76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76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76" fontId="1" fillId="0" borderId="0" xfId="0" applyNumberFormat="1" applyFont="1"/>
    <xf numFmtId="11" fontId="0" fillId="0" borderId="0" xfId="0" applyNumberFormat="1" applyAlignment="1">
      <alignment vertical="center" wrapText="1"/>
    </xf>
    <xf numFmtId="17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7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'20221210T210000'!$L$10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'20221210T210000'!$G$11:$G$500</c:f>
              <c:numCache>
                <c:formatCode>General</c:formatCode>
                <c:ptCount val="490"/>
                <c:pt idx="0">
                  <c:v>1.76498</c:v>
                </c:pt>
                <c:pt idx="1">
                  <c:v>1.7599499999999999</c:v>
                </c:pt>
                <c:pt idx="2">
                  <c:v>1.75491</c:v>
                </c:pt>
                <c:pt idx="3">
                  <c:v>1.7498800000000001</c:v>
                </c:pt>
                <c:pt idx="4">
                  <c:v>1.7448399999999999</c:v>
                </c:pt>
                <c:pt idx="5">
                  <c:v>1.7398100000000001</c:v>
                </c:pt>
                <c:pt idx="6">
                  <c:v>1.7347699999999999</c:v>
                </c:pt>
                <c:pt idx="7">
                  <c:v>1.7297400000000001</c:v>
                </c:pt>
                <c:pt idx="8">
                  <c:v>1.7246999999999999</c:v>
                </c:pt>
                <c:pt idx="9">
                  <c:v>1.71967</c:v>
                </c:pt>
                <c:pt idx="10">
                  <c:v>1.7146300000000001</c:v>
                </c:pt>
                <c:pt idx="11">
                  <c:v>1.7095899999999999</c:v>
                </c:pt>
                <c:pt idx="12">
                  <c:v>1.7045600000000001</c:v>
                </c:pt>
                <c:pt idx="13">
                  <c:v>1.6995199999999999</c:v>
                </c:pt>
                <c:pt idx="14">
                  <c:v>1.6944900000000001</c:v>
                </c:pt>
                <c:pt idx="15">
                  <c:v>1.6894499999999999</c:v>
                </c:pt>
                <c:pt idx="16">
                  <c:v>1.68442</c:v>
                </c:pt>
                <c:pt idx="17">
                  <c:v>1.6793800000000001</c:v>
                </c:pt>
                <c:pt idx="18">
                  <c:v>1.67435</c:v>
                </c:pt>
                <c:pt idx="19">
                  <c:v>1.6693100000000001</c:v>
                </c:pt>
                <c:pt idx="20">
                  <c:v>1.66428</c:v>
                </c:pt>
                <c:pt idx="21">
                  <c:v>1.65924</c:v>
                </c:pt>
                <c:pt idx="22">
                  <c:v>1.65421</c:v>
                </c:pt>
                <c:pt idx="23">
                  <c:v>1.64917</c:v>
                </c:pt>
                <c:pt idx="24">
                  <c:v>1.6441300000000001</c:v>
                </c:pt>
                <c:pt idx="25">
                  <c:v>1.6391</c:v>
                </c:pt>
                <c:pt idx="26">
                  <c:v>1.6340600000000001</c:v>
                </c:pt>
                <c:pt idx="27">
                  <c:v>1.62903</c:v>
                </c:pt>
                <c:pt idx="28">
                  <c:v>1.62399</c:v>
                </c:pt>
                <c:pt idx="29">
                  <c:v>1.61896</c:v>
                </c:pt>
                <c:pt idx="30">
                  <c:v>1.61392</c:v>
                </c:pt>
                <c:pt idx="31">
                  <c:v>1.6088899999999999</c:v>
                </c:pt>
                <c:pt idx="32">
                  <c:v>1.60385</c:v>
                </c:pt>
                <c:pt idx="33">
                  <c:v>1.5988199999999999</c:v>
                </c:pt>
                <c:pt idx="34">
                  <c:v>1.59378</c:v>
                </c:pt>
                <c:pt idx="35">
                  <c:v>1.5887500000000001</c:v>
                </c:pt>
                <c:pt idx="36">
                  <c:v>1.58371</c:v>
                </c:pt>
                <c:pt idx="37">
                  <c:v>1.57867</c:v>
                </c:pt>
                <c:pt idx="38">
                  <c:v>1.5736399999999999</c:v>
                </c:pt>
                <c:pt idx="39">
                  <c:v>1.5686</c:v>
                </c:pt>
                <c:pt idx="40">
                  <c:v>1.5635699999999999</c:v>
                </c:pt>
                <c:pt idx="41">
                  <c:v>1.55853</c:v>
                </c:pt>
                <c:pt idx="42">
                  <c:v>1.5535000000000001</c:v>
                </c:pt>
                <c:pt idx="43">
                  <c:v>1.5484599999999999</c:v>
                </c:pt>
                <c:pt idx="44">
                  <c:v>1.5434300000000001</c:v>
                </c:pt>
                <c:pt idx="45">
                  <c:v>1.5383899999999999</c:v>
                </c:pt>
                <c:pt idx="46">
                  <c:v>1.5333600000000001</c:v>
                </c:pt>
                <c:pt idx="47">
                  <c:v>1.5283199999999999</c:v>
                </c:pt>
                <c:pt idx="48">
                  <c:v>1.52328</c:v>
                </c:pt>
                <c:pt idx="49">
                  <c:v>1.5182500000000001</c:v>
                </c:pt>
                <c:pt idx="50">
                  <c:v>1.5132099999999999</c:v>
                </c:pt>
                <c:pt idx="51">
                  <c:v>1.5081800000000001</c:v>
                </c:pt>
                <c:pt idx="52">
                  <c:v>1.5031399999999999</c:v>
                </c:pt>
                <c:pt idx="53">
                  <c:v>1.4981100000000001</c:v>
                </c:pt>
                <c:pt idx="54">
                  <c:v>1.4930699999999999</c:v>
                </c:pt>
                <c:pt idx="55">
                  <c:v>1.48804</c:v>
                </c:pt>
                <c:pt idx="56">
                  <c:v>1.4830000000000001</c:v>
                </c:pt>
                <c:pt idx="57">
                  <c:v>1.47797</c:v>
                </c:pt>
                <c:pt idx="58">
                  <c:v>1.4729300000000001</c:v>
                </c:pt>
                <c:pt idx="59">
                  <c:v>1.4679</c:v>
                </c:pt>
                <c:pt idx="60">
                  <c:v>1.46286</c:v>
                </c:pt>
                <c:pt idx="61">
                  <c:v>1.4578199999999999</c:v>
                </c:pt>
                <c:pt idx="62">
                  <c:v>1.45279</c:v>
                </c:pt>
                <c:pt idx="63">
                  <c:v>1.4477500000000001</c:v>
                </c:pt>
                <c:pt idx="64">
                  <c:v>1.44272</c:v>
                </c:pt>
                <c:pt idx="65">
                  <c:v>1.4376800000000001</c:v>
                </c:pt>
                <c:pt idx="66">
                  <c:v>1.43265</c:v>
                </c:pt>
                <c:pt idx="67">
                  <c:v>1.42761</c:v>
                </c:pt>
                <c:pt idx="68">
                  <c:v>1.42258</c:v>
                </c:pt>
                <c:pt idx="69">
                  <c:v>1.41754</c:v>
                </c:pt>
                <c:pt idx="70">
                  <c:v>1.4125099999999999</c:v>
                </c:pt>
                <c:pt idx="71">
                  <c:v>1.40747</c:v>
                </c:pt>
                <c:pt idx="72">
                  <c:v>1.4024399999999999</c:v>
                </c:pt>
                <c:pt idx="73">
                  <c:v>1.3974</c:v>
                </c:pt>
                <c:pt idx="74">
                  <c:v>1.39236</c:v>
                </c:pt>
                <c:pt idx="75">
                  <c:v>1.38733</c:v>
                </c:pt>
                <c:pt idx="76">
                  <c:v>1.38229</c:v>
                </c:pt>
                <c:pt idx="77">
                  <c:v>1.3772599999999999</c:v>
                </c:pt>
                <c:pt idx="78">
                  <c:v>1.37222</c:v>
                </c:pt>
                <c:pt idx="79">
                  <c:v>1.3671899999999999</c:v>
                </c:pt>
                <c:pt idx="80">
                  <c:v>1.36215</c:v>
                </c:pt>
                <c:pt idx="81">
                  <c:v>1.3571200000000001</c:v>
                </c:pt>
                <c:pt idx="82">
                  <c:v>1.3520799999999999</c:v>
                </c:pt>
                <c:pt idx="83">
                  <c:v>1.3470500000000001</c:v>
                </c:pt>
                <c:pt idx="84">
                  <c:v>1.3420099999999999</c:v>
                </c:pt>
                <c:pt idx="85">
                  <c:v>1.3369800000000001</c:v>
                </c:pt>
                <c:pt idx="86">
                  <c:v>1.3319399999999999</c:v>
                </c:pt>
                <c:pt idx="87">
                  <c:v>1.3269</c:v>
                </c:pt>
                <c:pt idx="88">
                  <c:v>1.3218700000000001</c:v>
                </c:pt>
                <c:pt idx="89">
                  <c:v>1.3168299999999999</c:v>
                </c:pt>
                <c:pt idx="90">
                  <c:v>1.3118000000000001</c:v>
                </c:pt>
                <c:pt idx="91">
                  <c:v>1.3067599999999999</c:v>
                </c:pt>
                <c:pt idx="92">
                  <c:v>1.3017300000000001</c:v>
                </c:pt>
                <c:pt idx="93">
                  <c:v>1.2966899999999999</c:v>
                </c:pt>
                <c:pt idx="94">
                  <c:v>1.29166</c:v>
                </c:pt>
                <c:pt idx="95">
                  <c:v>1.2866200000000001</c:v>
                </c:pt>
                <c:pt idx="96">
                  <c:v>1.28159</c:v>
                </c:pt>
                <c:pt idx="97">
                  <c:v>1.2765500000000001</c:v>
                </c:pt>
                <c:pt idx="98">
                  <c:v>1.2715099999999999</c:v>
                </c:pt>
                <c:pt idx="99">
                  <c:v>1.2664800000000001</c:v>
                </c:pt>
                <c:pt idx="100">
                  <c:v>1.2614399999999999</c:v>
                </c:pt>
                <c:pt idx="101">
                  <c:v>1.25641</c:v>
                </c:pt>
                <c:pt idx="102">
                  <c:v>1.2513700000000001</c:v>
                </c:pt>
                <c:pt idx="103">
                  <c:v>1.24634</c:v>
                </c:pt>
                <c:pt idx="104">
                  <c:v>1.2413000000000001</c:v>
                </c:pt>
                <c:pt idx="105">
                  <c:v>1.23627</c:v>
                </c:pt>
                <c:pt idx="106">
                  <c:v>1.23123</c:v>
                </c:pt>
                <c:pt idx="107">
                  <c:v>1.2262</c:v>
                </c:pt>
                <c:pt idx="108">
                  <c:v>1.22116</c:v>
                </c:pt>
                <c:pt idx="109">
                  <c:v>1.2161299999999999</c:v>
                </c:pt>
                <c:pt idx="110">
                  <c:v>1.21109</c:v>
                </c:pt>
                <c:pt idx="111">
                  <c:v>1.2060500000000001</c:v>
                </c:pt>
                <c:pt idx="112">
                  <c:v>1.20102</c:v>
                </c:pt>
                <c:pt idx="113">
                  <c:v>1.19598</c:v>
                </c:pt>
                <c:pt idx="114">
                  <c:v>1.19095</c:v>
                </c:pt>
                <c:pt idx="115">
                  <c:v>1.18591</c:v>
                </c:pt>
                <c:pt idx="116">
                  <c:v>1.1808799999999999</c:v>
                </c:pt>
                <c:pt idx="117">
                  <c:v>1.17584</c:v>
                </c:pt>
                <c:pt idx="118">
                  <c:v>1.1708099999999999</c:v>
                </c:pt>
                <c:pt idx="119">
                  <c:v>1.16577</c:v>
                </c:pt>
                <c:pt idx="120">
                  <c:v>1.1607400000000001</c:v>
                </c:pt>
                <c:pt idx="121">
                  <c:v>1.1556999999999999</c:v>
                </c:pt>
                <c:pt idx="122">
                  <c:v>1.1506700000000001</c:v>
                </c:pt>
                <c:pt idx="123">
                  <c:v>1.1456299999999999</c:v>
                </c:pt>
                <c:pt idx="124">
                  <c:v>1.14059</c:v>
                </c:pt>
                <c:pt idx="125">
                  <c:v>1.1355599999999999</c:v>
                </c:pt>
                <c:pt idx="126">
                  <c:v>1.13052</c:v>
                </c:pt>
                <c:pt idx="127">
                  <c:v>1.1254900000000001</c:v>
                </c:pt>
                <c:pt idx="128">
                  <c:v>1.1204499999999999</c:v>
                </c:pt>
                <c:pt idx="129">
                  <c:v>1.1154200000000001</c:v>
                </c:pt>
                <c:pt idx="130">
                  <c:v>1.1103799999999999</c:v>
                </c:pt>
                <c:pt idx="131">
                  <c:v>1.1053500000000001</c:v>
                </c:pt>
                <c:pt idx="132">
                  <c:v>1.1003099999999999</c:v>
                </c:pt>
                <c:pt idx="133">
                  <c:v>1.09528</c:v>
                </c:pt>
                <c:pt idx="134">
                  <c:v>1.0902400000000001</c:v>
                </c:pt>
                <c:pt idx="135">
                  <c:v>1.08521</c:v>
                </c:pt>
                <c:pt idx="136">
                  <c:v>1.0801700000000001</c:v>
                </c:pt>
                <c:pt idx="137">
                  <c:v>1.0751299999999999</c:v>
                </c:pt>
                <c:pt idx="138">
                  <c:v>1.0701000000000001</c:v>
                </c:pt>
                <c:pt idx="139">
                  <c:v>1.0650599999999999</c:v>
                </c:pt>
                <c:pt idx="140">
                  <c:v>1.06003</c:v>
                </c:pt>
                <c:pt idx="141">
                  <c:v>1.0549900000000001</c:v>
                </c:pt>
                <c:pt idx="142">
                  <c:v>1.04996</c:v>
                </c:pt>
                <c:pt idx="143">
                  <c:v>1.0449200000000001</c:v>
                </c:pt>
                <c:pt idx="144">
                  <c:v>1.03989</c:v>
                </c:pt>
                <c:pt idx="145">
                  <c:v>1.03485</c:v>
                </c:pt>
                <c:pt idx="146">
                  <c:v>1.02982</c:v>
                </c:pt>
                <c:pt idx="147">
                  <c:v>1.02478</c:v>
                </c:pt>
                <c:pt idx="148">
                  <c:v>1.0197400000000001</c:v>
                </c:pt>
                <c:pt idx="149">
                  <c:v>1.01471</c:v>
                </c:pt>
                <c:pt idx="150">
                  <c:v>1.0096700000000001</c:v>
                </c:pt>
                <c:pt idx="151">
                  <c:v>1.00464</c:v>
                </c:pt>
                <c:pt idx="152">
                  <c:v>0.99960300000000002</c:v>
                </c:pt>
                <c:pt idx="153">
                  <c:v>0.99456800000000001</c:v>
                </c:pt>
                <c:pt idx="154">
                  <c:v>0.98953199999999997</c:v>
                </c:pt>
                <c:pt idx="155">
                  <c:v>0.98449699999999996</c:v>
                </c:pt>
                <c:pt idx="156">
                  <c:v>0.97946200000000005</c:v>
                </c:pt>
                <c:pt idx="157">
                  <c:v>0.97442600000000001</c:v>
                </c:pt>
                <c:pt idx="158">
                  <c:v>0.969391</c:v>
                </c:pt>
                <c:pt idx="159">
                  <c:v>0.96435499999999996</c:v>
                </c:pt>
                <c:pt idx="160">
                  <c:v>0.95931999999999995</c:v>
                </c:pt>
                <c:pt idx="161">
                  <c:v>0.95428500000000005</c:v>
                </c:pt>
                <c:pt idx="162">
                  <c:v>0.94924900000000001</c:v>
                </c:pt>
                <c:pt idx="163">
                  <c:v>0.944214</c:v>
                </c:pt>
                <c:pt idx="164">
                  <c:v>0.93917799999999996</c:v>
                </c:pt>
                <c:pt idx="165">
                  <c:v>0.93414299999999995</c:v>
                </c:pt>
                <c:pt idx="166">
                  <c:v>0.92910800000000004</c:v>
                </c:pt>
                <c:pt idx="167">
                  <c:v>0.924072</c:v>
                </c:pt>
                <c:pt idx="168">
                  <c:v>0.91903699999999999</c:v>
                </c:pt>
                <c:pt idx="169">
                  <c:v>0.91400099999999995</c:v>
                </c:pt>
                <c:pt idx="170">
                  <c:v>0.90896600000000005</c:v>
                </c:pt>
                <c:pt idx="171">
                  <c:v>0.90393100000000004</c:v>
                </c:pt>
                <c:pt idx="172">
                  <c:v>0.898895</c:v>
                </c:pt>
                <c:pt idx="173">
                  <c:v>0.89385999999999999</c:v>
                </c:pt>
                <c:pt idx="174">
                  <c:v>0.88882399999999995</c:v>
                </c:pt>
                <c:pt idx="175">
                  <c:v>0.88378900000000005</c:v>
                </c:pt>
                <c:pt idx="176">
                  <c:v>0.87875400000000004</c:v>
                </c:pt>
                <c:pt idx="177">
                  <c:v>0.87371799999999999</c:v>
                </c:pt>
                <c:pt idx="178">
                  <c:v>0.86868299999999998</c:v>
                </c:pt>
                <c:pt idx="179">
                  <c:v>0.86364700000000005</c:v>
                </c:pt>
                <c:pt idx="180">
                  <c:v>0.85861200000000004</c:v>
                </c:pt>
                <c:pt idx="181">
                  <c:v>0.85357700000000003</c:v>
                </c:pt>
                <c:pt idx="182">
                  <c:v>0.84854099999999999</c:v>
                </c:pt>
                <c:pt idx="183">
                  <c:v>0.84350599999999998</c:v>
                </c:pt>
                <c:pt idx="184">
                  <c:v>0.83847000000000005</c:v>
                </c:pt>
                <c:pt idx="185">
                  <c:v>0.83343500000000004</c:v>
                </c:pt>
                <c:pt idx="186">
                  <c:v>0.82840000000000003</c:v>
                </c:pt>
                <c:pt idx="187">
                  <c:v>0.82336399999999998</c:v>
                </c:pt>
                <c:pt idx="188">
                  <c:v>0.81832899999999997</c:v>
                </c:pt>
                <c:pt idx="189">
                  <c:v>0.81329300000000004</c:v>
                </c:pt>
                <c:pt idx="190">
                  <c:v>0.80825800000000003</c:v>
                </c:pt>
                <c:pt idx="191">
                  <c:v>0.80322300000000002</c:v>
                </c:pt>
                <c:pt idx="192">
                  <c:v>0.79818699999999998</c:v>
                </c:pt>
                <c:pt idx="193">
                  <c:v>0.79315199999999997</c:v>
                </c:pt>
                <c:pt idx="194">
                  <c:v>0.78811600000000004</c:v>
                </c:pt>
                <c:pt idx="195">
                  <c:v>0.78308100000000003</c:v>
                </c:pt>
                <c:pt idx="196">
                  <c:v>0.77804600000000002</c:v>
                </c:pt>
                <c:pt idx="197">
                  <c:v>0.77300999999999997</c:v>
                </c:pt>
                <c:pt idx="198">
                  <c:v>0.76797499999999996</c:v>
                </c:pt>
                <c:pt idx="199">
                  <c:v>0.76293900000000003</c:v>
                </c:pt>
                <c:pt idx="200">
                  <c:v>0.75790400000000002</c:v>
                </c:pt>
                <c:pt idx="201">
                  <c:v>0.75286900000000001</c:v>
                </c:pt>
                <c:pt idx="202">
                  <c:v>0.74783299999999997</c:v>
                </c:pt>
                <c:pt idx="203">
                  <c:v>0.74279799999999996</c:v>
                </c:pt>
                <c:pt idx="204">
                  <c:v>0.73776200000000003</c:v>
                </c:pt>
                <c:pt idx="205">
                  <c:v>0.73272700000000002</c:v>
                </c:pt>
                <c:pt idx="206">
                  <c:v>0.72769200000000001</c:v>
                </c:pt>
                <c:pt idx="207">
                  <c:v>0.72265599999999997</c:v>
                </c:pt>
                <c:pt idx="208">
                  <c:v>0.71762099999999995</c:v>
                </c:pt>
                <c:pt idx="209">
                  <c:v>0.71258500000000002</c:v>
                </c:pt>
                <c:pt idx="210">
                  <c:v>0.70755000000000001</c:v>
                </c:pt>
                <c:pt idx="211">
                  <c:v>0.702515</c:v>
                </c:pt>
                <c:pt idx="212">
                  <c:v>0.69747899999999996</c:v>
                </c:pt>
                <c:pt idx="213">
                  <c:v>0.69244399999999995</c:v>
                </c:pt>
                <c:pt idx="214">
                  <c:v>0.68740800000000002</c:v>
                </c:pt>
                <c:pt idx="215">
                  <c:v>0.68237300000000001</c:v>
                </c:pt>
                <c:pt idx="216">
                  <c:v>0.677338</c:v>
                </c:pt>
                <c:pt idx="217">
                  <c:v>0.67230199999999996</c:v>
                </c:pt>
                <c:pt idx="218">
                  <c:v>0.66726700000000005</c:v>
                </c:pt>
                <c:pt idx="219">
                  <c:v>0.66223100000000001</c:v>
                </c:pt>
                <c:pt idx="220">
                  <c:v>0.657196</c:v>
                </c:pt>
                <c:pt idx="221">
                  <c:v>0.65216099999999999</c:v>
                </c:pt>
                <c:pt idx="222">
                  <c:v>0.64712499999999995</c:v>
                </c:pt>
                <c:pt idx="223">
                  <c:v>0.64209000000000005</c:v>
                </c:pt>
                <c:pt idx="224">
                  <c:v>0.63705400000000001</c:v>
                </c:pt>
                <c:pt idx="225">
                  <c:v>0.632019</c:v>
                </c:pt>
                <c:pt idx="226">
                  <c:v>0.62698399999999999</c:v>
                </c:pt>
                <c:pt idx="227">
                  <c:v>0.62194799999999995</c:v>
                </c:pt>
                <c:pt idx="228">
                  <c:v>0.61691300000000004</c:v>
                </c:pt>
                <c:pt idx="229">
                  <c:v>0.611877</c:v>
                </c:pt>
                <c:pt idx="230">
                  <c:v>0.60684199999999999</c:v>
                </c:pt>
                <c:pt idx="231">
                  <c:v>0.60180699999999998</c:v>
                </c:pt>
                <c:pt idx="232">
                  <c:v>0.59677100000000005</c:v>
                </c:pt>
                <c:pt idx="233">
                  <c:v>0.59173600000000004</c:v>
                </c:pt>
                <c:pt idx="234">
                  <c:v>0.5867</c:v>
                </c:pt>
                <c:pt idx="235">
                  <c:v>0.58166499999999999</c:v>
                </c:pt>
                <c:pt idx="236">
                  <c:v>0.57662999999999998</c:v>
                </c:pt>
                <c:pt idx="237">
                  <c:v>0.57159400000000005</c:v>
                </c:pt>
                <c:pt idx="238">
                  <c:v>0.56655900000000003</c:v>
                </c:pt>
                <c:pt idx="239">
                  <c:v>0.56152299999999999</c:v>
                </c:pt>
                <c:pt idx="240">
                  <c:v>0.55648799999999998</c:v>
                </c:pt>
                <c:pt idx="241">
                  <c:v>0.55145299999999997</c:v>
                </c:pt>
                <c:pt idx="242">
                  <c:v>0.54641700000000004</c:v>
                </c:pt>
                <c:pt idx="243">
                  <c:v>0.54138200000000003</c:v>
                </c:pt>
                <c:pt idx="244">
                  <c:v>0.53634599999999999</c:v>
                </c:pt>
                <c:pt idx="245">
                  <c:v>0.53131099999999998</c:v>
                </c:pt>
                <c:pt idx="246">
                  <c:v>0.52627599999999997</c:v>
                </c:pt>
                <c:pt idx="247">
                  <c:v>0.52124000000000004</c:v>
                </c:pt>
                <c:pt idx="248">
                  <c:v>0.51620500000000002</c:v>
                </c:pt>
                <c:pt idx="249">
                  <c:v>0.51116899999999998</c:v>
                </c:pt>
                <c:pt idx="250">
                  <c:v>0.50613399999999997</c:v>
                </c:pt>
                <c:pt idx="251">
                  <c:v>0.50109899999999996</c:v>
                </c:pt>
                <c:pt idx="252">
                  <c:v>0.49606299999999998</c:v>
                </c:pt>
                <c:pt idx="253">
                  <c:v>0.49102800000000002</c:v>
                </c:pt>
                <c:pt idx="254">
                  <c:v>0.48599199999999998</c:v>
                </c:pt>
                <c:pt idx="255">
                  <c:v>0.48095700000000002</c:v>
                </c:pt>
                <c:pt idx="256">
                  <c:v>0.47592200000000001</c:v>
                </c:pt>
                <c:pt idx="257">
                  <c:v>0.47088600000000003</c:v>
                </c:pt>
                <c:pt idx="258">
                  <c:v>0.46585100000000002</c:v>
                </c:pt>
                <c:pt idx="259">
                  <c:v>0.46081499999999997</c:v>
                </c:pt>
                <c:pt idx="260">
                  <c:v>0.45578000000000002</c:v>
                </c:pt>
                <c:pt idx="261">
                  <c:v>0.45074500000000001</c:v>
                </c:pt>
                <c:pt idx="262">
                  <c:v>0.44570900000000002</c:v>
                </c:pt>
                <c:pt idx="263">
                  <c:v>0.44067400000000001</c:v>
                </c:pt>
                <c:pt idx="264">
                  <c:v>0.43563800000000003</c:v>
                </c:pt>
                <c:pt idx="265">
                  <c:v>0.43060300000000001</c:v>
                </c:pt>
                <c:pt idx="266">
                  <c:v>0.425568</c:v>
                </c:pt>
                <c:pt idx="267">
                  <c:v>0.42053200000000002</c:v>
                </c:pt>
                <c:pt idx="268">
                  <c:v>0.41549700000000001</c:v>
                </c:pt>
                <c:pt idx="269">
                  <c:v>0.41046100000000002</c:v>
                </c:pt>
                <c:pt idx="270">
                  <c:v>0.40542600000000001</c:v>
                </c:pt>
                <c:pt idx="271">
                  <c:v>0.400391</c:v>
                </c:pt>
                <c:pt idx="272">
                  <c:v>0.39535500000000001</c:v>
                </c:pt>
                <c:pt idx="273">
                  <c:v>0.39032</c:v>
                </c:pt>
                <c:pt idx="274">
                  <c:v>0.38528400000000002</c:v>
                </c:pt>
                <c:pt idx="275">
                  <c:v>0.380249</c:v>
                </c:pt>
                <c:pt idx="276">
                  <c:v>0.37521399999999999</c:v>
                </c:pt>
                <c:pt idx="277">
                  <c:v>0.37017800000000001</c:v>
                </c:pt>
                <c:pt idx="278">
                  <c:v>0.365143</c:v>
                </c:pt>
                <c:pt idx="279">
                  <c:v>0.36010700000000001</c:v>
                </c:pt>
                <c:pt idx="280">
                  <c:v>0.355072</c:v>
                </c:pt>
                <c:pt idx="281">
                  <c:v>0.35003699999999999</c:v>
                </c:pt>
                <c:pt idx="282">
                  <c:v>0.345001</c:v>
                </c:pt>
                <c:pt idx="283">
                  <c:v>0.33996599999999999</c:v>
                </c:pt>
                <c:pt idx="284">
                  <c:v>0.33493000000000001</c:v>
                </c:pt>
                <c:pt idx="285">
                  <c:v>0.32989499999999999</c:v>
                </c:pt>
                <c:pt idx="286">
                  <c:v>0.32485999999999998</c:v>
                </c:pt>
                <c:pt idx="287">
                  <c:v>0.319824</c:v>
                </c:pt>
                <c:pt idx="288">
                  <c:v>0.31478899999999999</c:v>
                </c:pt>
                <c:pt idx="289">
                  <c:v>0.309753</c:v>
                </c:pt>
                <c:pt idx="290">
                  <c:v>0.30471799999999999</c:v>
                </c:pt>
                <c:pt idx="291">
                  <c:v>0.29968299999999998</c:v>
                </c:pt>
                <c:pt idx="292">
                  <c:v>0.29464699999999999</c:v>
                </c:pt>
                <c:pt idx="293">
                  <c:v>0.28961199999999998</c:v>
                </c:pt>
                <c:pt idx="294">
                  <c:v>0.284576</c:v>
                </c:pt>
                <c:pt idx="295">
                  <c:v>0.27954099999999998</c:v>
                </c:pt>
                <c:pt idx="296">
                  <c:v>0.27450600000000003</c:v>
                </c:pt>
                <c:pt idx="297">
                  <c:v>0.26946999999999999</c:v>
                </c:pt>
                <c:pt idx="298">
                  <c:v>0.26443499999999998</c:v>
                </c:pt>
                <c:pt idx="299">
                  <c:v>0.25939899999999999</c:v>
                </c:pt>
                <c:pt idx="300">
                  <c:v>0.25436399999999998</c:v>
                </c:pt>
                <c:pt idx="301">
                  <c:v>0.249329</c:v>
                </c:pt>
                <c:pt idx="302">
                  <c:v>0.24429300000000001</c:v>
                </c:pt>
                <c:pt idx="303">
                  <c:v>0.239258</c:v>
                </c:pt>
                <c:pt idx="304">
                  <c:v>0.23422200000000001</c:v>
                </c:pt>
                <c:pt idx="305">
                  <c:v>0.229187</c:v>
                </c:pt>
                <c:pt idx="306">
                  <c:v>0.22415199999999999</c:v>
                </c:pt>
                <c:pt idx="307">
                  <c:v>0.21911600000000001</c:v>
                </c:pt>
                <c:pt idx="308">
                  <c:v>0.21408099999999999</c:v>
                </c:pt>
                <c:pt idx="309">
                  <c:v>0.20904500000000001</c:v>
                </c:pt>
                <c:pt idx="310">
                  <c:v>0.20401</c:v>
                </c:pt>
                <c:pt idx="311">
                  <c:v>0.19897500000000001</c:v>
                </c:pt>
                <c:pt idx="312">
                  <c:v>0.193939</c:v>
                </c:pt>
                <c:pt idx="313">
                  <c:v>0.18890399999999999</c:v>
                </c:pt>
                <c:pt idx="314">
                  <c:v>0.183868</c:v>
                </c:pt>
                <c:pt idx="315">
                  <c:v>0.17883299999999999</c:v>
                </c:pt>
                <c:pt idx="316">
                  <c:v>0.17379800000000001</c:v>
                </c:pt>
                <c:pt idx="317">
                  <c:v>0.168762</c:v>
                </c:pt>
                <c:pt idx="318">
                  <c:v>0.16372700000000001</c:v>
                </c:pt>
                <c:pt idx="319">
                  <c:v>0.158691</c:v>
                </c:pt>
                <c:pt idx="320">
                  <c:v>0.15365599999999999</c:v>
                </c:pt>
                <c:pt idx="321">
                  <c:v>0.148621</c:v>
                </c:pt>
                <c:pt idx="322">
                  <c:v>0.14358499999999999</c:v>
                </c:pt>
                <c:pt idx="323">
                  <c:v>0.13855000000000001</c:v>
                </c:pt>
                <c:pt idx="324">
                  <c:v>0.13351399999999999</c:v>
                </c:pt>
                <c:pt idx="325">
                  <c:v>0.12847900000000001</c:v>
                </c:pt>
                <c:pt idx="326">
                  <c:v>0.123444</c:v>
                </c:pt>
                <c:pt idx="327">
                  <c:v>0.118408</c:v>
                </c:pt>
                <c:pt idx="328">
                  <c:v>0.113373</c:v>
                </c:pt>
                <c:pt idx="329">
                  <c:v>0.108337</c:v>
                </c:pt>
                <c:pt idx="330">
                  <c:v>0.103302</c:v>
                </c:pt>
                <c:pt idx="331">
                  <c:v>9.8266599999999996E-2</c:v>
                </c:pt>
                <c:pt idx="332">
                  <c:v>9.32312E-2</c:v>
                </c:pt>
                <c:pt idx="333">
                  <c:v>8.8195800000000005E-2</c:v>
                </c:pt>
                <c:pt idx="334">
                  <c:v>8.3160399999999995E-2</c:v>
                </c:pt>
                <c:pt idx="335">
                  <c:v>7.8125E-2</c:v>
                </c:pt>
                <c:pt idx="336">
                  <c:v>7.3089600000000005E-2</c:v>
                </c:pt>
                <c:pt idx="337">
                  <c:v>6.8054199999999995E-2</c:v>
                </c:pt>
                <c:pt idx="338">
                  <c:v>6.30188E-2</c:v>
                </c:pt>
                <c:pt idx="339">
                  <c:v>5.7983399999999997E-2</c:v>
                </c:pt>
                <c:pt idx="340">
                  <c:v>5.2948000000000002E-2</c:v>
                </c:pt>
                <c:pt idx="341">
                  <c:v>4.79126E-2</c:v>
                </c:pt>
                <c:pt idx="342">
                  <c:v>4.2877199999999997E-2</c:v>
                </c:pt>
                <c:pt idx="343">
                  <c:v>3.7841800000000002E-2</c:v>
                </c:pt>
                <c:pt idx="344">
                  <c:v>3.2806399999999999E-2</c:v>
                </c:pt>
                <c:pt idx="345">
                  <c:v>2.7771000000000001E-2</c:v>
                </c:pt>
                <c:pt idx="346">
                  <c:v>2.2735600000000002E-2</c:v>
                </c:pt>
                <c:pt idx="347">
                  <c:v>1.7700199999999999E-2</c:v>
                </c:pt>
                <c:pt idx="348">
                  <c:v>1.26648E-2</c:v>
                </c:pt>
                <c:pt idx="349">
                  <c:v>7.6293899999999998E-3</c:v>
                </c:pt>
                <c:pt idx="350">
                  <c:v>2.59399E-3</c:v>
                </c:pt>
                <c:pt idx="351">
                  <c:v>-2.4414100000000002E-3</c:v>
                </c:pt>
                <c:pt idx="352">
                  <c:v>-7.4768100000000004E-3</c:v>
                </c:pt>
                <c:pt idx="353">
                  <c:v>-1.2512199999999999E-2</c:v>
                </c:pt>
                <c:pt idx="354">
                  <c:v>-1.75476E-2</c:v>
                </c:pt>
                <c:pt idx="355">
                  <c:v>-2.2582999999999999E-2</c:v>
                </c:pt>
                <c:pt idx="356">
                  <c:v>-2.7618400000000001E-2</c:v>
                </c:pt>
                <c:pt idx="357">
                  <c:v>-3.2653799999999997E-2</c:v>
                </c:pt>
                <c:pt idx="358">
                  <c:v>-3.7689199999999999E-2</c:v>
                </c:pt>
                <c:pt idx="359">
                  <c:v>-4.2724600000000001E-2</c:v>
                </c:pt>
                <c:pt idx="360">
                  <c:v>-4.7759999999999997E-2</c:v>
                </c:pt>
                <c:pt idx="361">
                  <c:v>-5.2795399999999999E-2</c:v>
                </c:pt>
                <c:pt idx="362">
                  <c:v>-5.7830800000000002E-2</c:v>
                </c:pt>
                <c:pt idx="363">
                  <c:v>-6.2866199999999997E-2</c:v>
                </c:pt>
                <c:pt idx="364">
                  <c:v>-6.7901600000000006E-2</c:v>
                </c:pt>
                <c:pt idx="365">
                  <c:v>-7.2937000000000002E-2</c:v>
                </c:pt>
                <c:pt idx="366">
                  <c:v>-7.7972399999999997E-2</c:v>
                </c:pt>
                <c:pt idx="367">
                  <c:v>-8.3007800000000007E-2</c:v>
                </c:pt>
                <c:pt idx="368">
                  <c:v>-8.8043200000000002E-2</c:v>
                </c:pt>
                <c:pt idx="369">
                  <c:v>-9.3078599999999997E-2</c:v>
                </c:pt>
                <c:pt idx="370">
                  <c:v>-9.8114000000000007E-2</c:v>
                </c:pt>
                <c:pt idx="371">
                  <c:v>-0.103149</c:v>
                </c:pt>
              </c:numCache>
            </c:numRef>
          </c:xVal>
          <c:yVal>
            <c:numRef>
              <c:f>'20221210T210000'!$L$11:$L$500</c:f>
              <c:numCache>
                <c:formatCode>General</c:formatCode>
                <c:ptCount val="490"/>
                <c:pt idx="0">
                  <c:v>-14.136049382716049</c:v>
                </c:pt>
                <c:pt idx="1">
                  <c:v>-10.036888888888889</c:v>
                </c:pt>
                <c:pt idx="2">
                  <c:v>-6.5857654320987651</c:v>
                </c:pt>
                <c:pt idx="3">
                  <c:v>-3.7529135802469136</c:v>
                </c:pt>
                <c:pt idx="4">
                  <c:v>-1.3917530864197529</c:v>
                </c:pt>
                <c:pt idx="5">
                  <c:v>0.54803580246913575</c:v>
                </c:pt>
                <c:pt idx="6">
                  <c:v>2.1652469135802468</c:v>
                </c:pt>
                <c:pt idx="7">
                  <c:v>3.5038641975308638</c:v>
                </c:pt>
                <c:pt idx="8">
                  <c:v>4.6499753086419746</c:v>
                </c:pt>
                <c:pt idx="9">
                  <c:v>5.6095802469135805</c:v>
                </c:pt>
                <c:pt idx="10">
                  <c:v>6.4539012345679012</c:v>
                </c:pt>
                <c:pt idx="11">
                  <c:v>7.1923580246913579</c:v>
                </c:pt>
                <c:pt idx="12">
                  <c:v>7.8403827160493833</c:v>
                </c:pt>
                <c:pt idx="13">
                  <c:v>8.4130617283950606</c:v>
                </c:pt>
                <c:pt idx="14">
                  <c:v>8.9405185185185179</c:v>
                </c:pt>
                <c:pt idx="15">
                  <c:v>9.4227777777777764</c:v>
                </c:pt>
                <c:pt idx="16">
                  <c:v>9.8485061728395049</c:v>
                </c:pt>
                <c:pt idx="17">
                  <c:v>10.24411111111111</c:v>
                </c:pt>
                <c:pt idx="18">
                  <c:v>10.613333333333332</c:v>
                </c:pt>
                <c:pt idx="19">
                  <c:v>10.956185185185186</c:v>
                </c:pt>
                <c:pt idx="20">
                  <c:v>11.287740740740739</c:v>
                </c:pt>
                <c:pt idx="21">
                  <c:v>11.589148148148148</c:v>
                </c:pt>
                <c:pt idx="22">
                  <c:v>11.864185185185185</c:v>
                </c:pt>
                <c:pt idx="23">
                  <c:v>12.109074074074075</c:v>
                </c:pt>
                <c:pt idx="24">
                  <c:v>12.327592592592593</c:v>
                </c:pt>
                <c:pt idx="25">
                  <c:v>12.534814814814814</c:v>
                </c:pt>
                <c:pt idx="26">
                  <c:v>12.726913580246912</c:v>
                </c:pt>
                <c:pt idx="27">
                  <c:v>12.915308641975306</c:v>
                </c:pt>
                <c:pt idx="28">
                  <c:v>13.103703703703703</c:v>
                </c:pt>
                <c:pt idx="29">
                  <c:v>13.269506172839506</c:v>
                </c:pt>
                <c:pt idx="30">
                  <c:v>13.431481481481482</c:v>
                </c:pt>
                <c:pt idx="31">
                  <c:v>13.604814814814812</c:v>
                </c:pt>
                <c:pt idx="32">
                  <c:v>13.751728395061727</c:v>
                </c:pt>
                <c:pt idx="33">
                  <c:v>13.89111111111111</c:v>
                </c:pt>
                <c:pt idx="34">
                  <c:v>14.022962962962962</c:v>
                </c:pt>
                <c:pt idx="35">
                  <c:v>14.147407407407405</c:v>
                </c:pt>
                <c:pt idx="36">
                  <c:v>14.271728395061727</c:v>
                </c:pt>
                <c:pt idx="37">
                  <c:v>14.388518518518518</c:v>
                </c:pt>
                <c:pt idx="38">
                  <c:v>14.509012345679011</c:v>
                </c:pt>
                <c:pt idx="39">
                  <c:v>14.61074074074074</c:v>
                </c:pt>
                <c:pt idx="40">
                  <c:v>14.708765432098765</c:v>
                </c:pt>
                <c:pt idx="41">
                  <c:v>14.802962962962962</c:v>
                </c:pt>
                <c:pt idx="42">
                  <c:v>14.89716049382716</c:v>
                </c:pt>
                <c:pt idx="43">
                  <c:v>14.979999999999999</c:v>
                </c:pt>
                <c:pt idx="44">
                  <c:v>15.059135802469134</c:v>
                </c:pt>
                <c:pt idx="45">
                  <c:v>15.138271604938272</c:v>
                </c:pt>
                <c:pt idx="46">
                  <c:v>15.206049382716049</c:v>
                </c:pt>
                <c:pt idx="47">
                  <c:v>15.277654320987653</c:v>
                </c:pt>
                <c:pt idx="48">
                  <c:v>15.349259259259259</c:v>
                </c:pt>
                <c:pt idx="49">
                  <c:v>15.42074074074074</c:v>
                </c:pt>
                <c:pt idx="50">
                  <c:v>15.496172839506173</c:v>
                </c:pt>
                <c:pt idx="51">
                  <c:v>15.56395061728395</c:v>
                </c:pt>
                <c:pt idx="52">
                  <c:v>15.624197530864196</c:v>
                </c:pt>
                <c:pt idx="53">
                  <c:v>15.67320987654321</c:v>
                </c:pt>
                <c:pt idx="54">
                  <c:v>15.722222222222221</c:v>
                </c:pt>
                <c:pt idx="55">
                  <c:v>15.774938271604935</c:v>
                </c:pt>
                <c:pt idx="56">
                  <c:v>15.827654320987653</c:v>
                </c:pt>
                <c:pt idx="57">
                  <c:v>15.876666666666663</c:v>
                </c:pt>
                <c:pt idx="58">
                  <c:v>15.92185185185185</c:v>
                </c:pt>
                <c:pt idx="59">
                  <c:v>15.967037037037036</c:v>
                </c:pt>
                <c:pt idx="60">
                  <c:v>16.016049382716048</c:v>
                </c:pt>
                <c:pt idx="61">
                  <c:v>16.061234567901234</c:v>
                </c:pt>
                <c:pt idx="62">
                  <c:v>16.102716049382714</c:v>
                </c:pt>
                <c:pt idx="63">
                  <c:v>16.14037037037037</c:v>
                </c:pt>
                <c:pt idx="64">
                  <c:v>16.178024691358022</c:v>
                </c:pt>
                <c:pt idx="65">
                  <c:v>16.211975308641971</c:v>
                </c:pt>
                <c:pt idx="66">
                  <c:v>16.253456790123455</c:v>
                </c:pt>
                <c:pt idx="67">
                  <c:v>16.287283950617283</c:v>
                </c:pt>
                <c:pt idx="68">
                  <c:v>16.317530864197529</c:v>
                </c:pt>
                <c:pt idx="69">
                  <c:v>16.351358024691358</c:v>
                </c:pt>
                <c:pt idx="70">
                  <c:v>16.38148148148148</c:v>
                </c:pt>
                <c:pt idx="71">
                  <c:v>16.407901234567902</c:v>
                </c:pt>
                <c:pt idx="72">
                  <c:v>16.445555555555554</c:v>
                </c:pt>
                <c:pt idx="73">
                  <c:v>16.479506172839503</c:v>
                </c:pt>
                <c:pt idx="74">
                  <c:v>16.517160493827159</c:v>
                </c:pt>
                <c:pt idx="75">
                  <c:v>16.543580246913578</c:v>
                </c:pt>
                <c:pt idx="76">
                  <c:v>16.57740740740741</c:v>
                </c:pt>
                <c:pt idx="77">
                  <c:v>16.599999999999998</c:v>
                </c:pt>
                <c:pt idx="78">
                  <c:v>16.622716049382717</c:v>
                </c:pt>
                <c:pt idx="79">
                  <c:v>16.645308641975308</c:v>
                </c:pt>
                <c:pt idx="80">
                  <c:v>16.671604938271606</c:v>
                </c:pt>
                <c:pt idx="81">
                  <c:v>16.698024691358025</c:v>
                </c:pt>
                <c:pt idx="82">
                  <c:v>16.728148148148147</c:v>
                </c:pt>
                <c:pt idx="83">
                  <c:v>16.7620987654321</c:v>
                </c:pt>
                <c:pt idx="84">
                  <c:v>16.788395061728394</c:v>
                </c:pt>
                <c:pt idx="85">
                  <c:v>16.810987654320986</c:v>
                </c:pt>
                <c:pt idx="86">
                  <c:v>16.829876543209878</c:v>
                </c:pt>
                <c:pt idx="87">
                  <c:v>16.844938271604939</c:v>
                </c:pt>
                <c:pt idx="88">
                  <c:v>16.871358024691357</c:v>
                </c:pt>
                <c:pt idx="89">
                  <c:v>16.893950617283949</c:v>
                </c:pt>
                <c:pt idx="90">
                  <c:v>16.916543209876544</c:v>
                </c:pt>
                <c:pt idx="91">
                  <c:v>16.935432098765432</c:v>
                </c:pt>
                <c:pt idx="92">
                  <c:v>16.954197530864196</c:v>
                </c:pt>
                <c:pt idx="93">
                  <c:v>16.969259259259257</c:v>
                </c:pt>
                <c:pt idx="94">
                  <c:v>16.984320987654321</c:v>
                </c:pt>
                <c:pt idx="95">
                  <c:v>17.006913580246916</c:v>
                </c:pt>
                <c:pt idx="96">
                  <c:v>17.025802469135801</c:v>
                </c:pt>
                <c:pt idx="97">
                  <c:v>17.048395061728392</c:v>
                </c:pt>
                <c:pt idx="98">
                  <c:v>17.086049382716048</c:v>
                </c:pt>
                <c:pt idx="99">
                  <c:v>17.112469135802467</c:v>
                </c:pt>
                <c:pt idx="100">
                  <c:v>17.127530864197528</c:v>
                </c:pt>
                <c:pt idx="101">
                  <c:v>17.131234567901231</c:v>
                </c:pt>
                <c:pt idx="102">
                  <c:v>17.138765432098765</c:v>
                </c:pt>
                <c:pt idx="103">
                  <c:v>17.150123456790123</c:v>
                </c:pt>
                <c:pt idx="104">
                  <c:v>17.165185185185184</c:v>
                </c:pt>
                <c:pt idx="105">
                  <c:v>17.187777777777779</c:v>
                </c:pt>
                <c:pt idx="106">
                  <c:v>17.214197530864197</c:v>
                </c:pt>
                <c:pt idx="107">
                  <c:v>17.225432098765431</c:v>
                </c:pt>
                <c:pt idx="108">
                  <c:v>17.236790123456789</c:v>
                </c:pt>
                <c:pt idx="109">
                  <c:v>17.251851851851853</c:v>
                </c:pt>
                <c:pt idx="110">
                  <c:v>17.263209876543208</c:v>
                </c:pt>
                <c:pt idx="111">
                  <c:v>17.266913580246914</c:v>
                </c:pt>
                <c:pt idx="112">
                  <c:v>17.278271604938272</c:v>
                </c:pt>
                <c:pt idx="113">
                  <c:v>17.293333333333333</c:v>
                </c:pt>
                <c:pt idx="114">
                  <c:v>17.304567901234567</c:v>
                </c:pt>
                <c:pt idx="115">
                  <c:v>17.315925925925924</c:v>
                </c:pt>
                <c:pt idx="116">
                  <c:v>17.334691358024692</c:v>
                </c:pt>
                <c:pt idx="117">
                  <c:v>17.34604938271605</c:v>
                </c:pt>
                <c:pt idx="118">
                  <c:v>17.361111111111111</c:v>
                </c:pt>
                <c:pt idx="119">
                  <c:v>17.376172839506172</c:v>
                </c:pt>
                <c:pt idx="120">
                  <c:v>17.387530864197529</c:v>
                </c:pt>
                <c:pt idx="121">
                  <c:v>17.391234567901233</c:v>
                </c:pt>
                <c:pt idx="122">
                  <c:v>17.40259259259259</c:v>
                </c:pt>
                <c:pt idx="123">
                  <c:v>17.421358024691358</c:v>
                </c:pt>
                <c:pt idx="124">
                  <c:v>17.436419753086419</c:v>
                </c:pt>
                <c:pt idx="125">
                  <c:v>17.455308641975307</c:v>
                </c:pt>
                <c:pt idx="126">
                  <c:v>17.470370370370368</c:v>
                </c:pt>
                <c:pt idx="127">
                  <c:v>17.485432098765433</c:v>
                </c:pt>
                <c:pt idx="128">
                  <c:v>17.496790123456787</c:v>
                </c:pt>
                <c:pt idx="129">
                  <c:v>17.508024691358024</c:v>
                </c:pt>
                <c:pt idx="130">
                  <c:v>17.515555555555554</c:v>
                </c:pt>
                <c:pt idx="131">
                  <c:v>17.523086419753085</c:v>
                </c:pt>
                <c:pt idx="132">
                  <c:v>17.523086419753085</c:v>
                </c:pt>
                <c:pt idx="133">
                  <c:v>17.523086419753085</c:v>
                </c:pt>
                <c:pt idx="134">
                  <c:v>17.530617283950615</c:v>
                </c:pt>
                <c:pt idx="135">
                  <c:v>17.538148148148146</c:v>
                </c:pt>
                <c:pt idx="136">
                  <c:v>17.557037037037034</c:v>
                </c:pt>
                <c:pt idx="137">
                  <c:v>17.579629629629629</c:v>
                </c:pt>
                <c:pt idx="138">
                  <c:v>17.590987654320987</c:v>
                </c:pt>
                <c:pt idx="139">
                  <c:v>17.609753086419751</c:v>
                </c:pt>
                <c:pt idx="140">
                  <c:v>17.613580246913582</c:v>
                </c:pt>
                <c:pt idx="141">
                  <c:v>17.624814814814812</c:v>
                </c:pt>
                <c:pt idx="142">
                  <c:v>17.639876543209876</c:v>
                </c:pt>
                <c:pt idx="143">
                  <c:v>17.647407407407407</c:v>
                </c:pt>
                <c:pt idx="144">
                  <c:v>17.658765432098765</c:v>
                </c:pt>
                <c:pt idx="145">
                  <c:v>17.662469135802468</c:v>
                </c:pt>
                <c:pt idx="146">
                  <c:v>17.669999999999998</c:v>
                </c:pt>
                <c:pt idx="147">
                  <c:v>17.669999999999998</c:v>
                </c:pt>
                <c:pt idx="148">
                  <c:v>17.677530864197529</c:v>
                </c:pt>
                <c:pt idx="149">
                  <c:v>17.68888888888889</c:v>
                </c:pt>
                <c:pt idx="150">
                  <c:v>17.69641975308642</c:v>
                </c:pt>
                <c:pt idx="151">
                  <c:v>17.707777777777778</c:v>
                </c:pt>
                <c:pt idx="152">
                  <c:v>17.707777777777778</c:v>
                </c:pt>
                <c:pt idx="153">
                  <c:v>17.707777777777778</c:v>
                </c:pt>
                <c:pt idx="154">
                  <c:v>17.715308641975309</c:v>
                </c:pt>
                <c:pt idx="155">
                  <c:v>17.726543209876542</c:v>
                </c:pt>
                <c:pt idx="156">
                  <c:v>17.7379012345679</c:v>
                </c:pt>
                <c:pt idx="157">
                  <c:v>17.745432098765431</c:v>
                </c:pt>
                <c:pt idx="158">
                  <c:v>17.760493827160492</c:v>
                </c:pt>
                <c:pt idx="159">
                  <c:v>17.775555555555556</c:v>
                </c:pt>
                <c:pt idx="160">
                  <c:v>17.794444444444444</c:v>
                </c:pt>
                <c:pt idx="161">
                  <c:v>17.798148148148147</c:v>
                </c:pt>
                <c:pt idx="162">
                  <c:v>17.794444444444444</c:v>
                </c:pt>
                <c:pt idx="163">
                  <c:v>17.798148148148147</c:v>
                </c:pt>
                <c:pt idx="164">
                  <c:v>17.809506172839505</c:v>
                </c:pt>
                <c:pt idx="165">
                  <c:v>17.817037037037036</c:v>
                </c:pt>
                <c:pt idx="166">
                  <c:v>17.828271604938269</c:v>
                </c:pt>
                <c:pt idx="167">
                  <c:v>17.843333333333334</c:v>
                </c:pt>
                <c:pt idx="168">
                  <c:v>17.858395061728395</c:v>
                </c:pt>
                <c:pt idx="169">
                  <c:v>17.869753086419752</c:v>
                </c:pt>
                <c:pt idx="170">
                  <c:v>17.884814814814817</c:v>
                </c:pt>
                <c:pt idx="171">
                  <c:v>17.903703703703702</c:v>
                </c:pt>
                <c:pt idx="172">
                  <c:v>17.911234567901232</c:v>
                </c:pt>
                <c:pt idx="173">
                  <c:v>17.922469135802466</c:v>
                </c:pt>
                <c:pt idx="174">
                  <c:v>17.933827160493827</c:v>
                </c:pt>
                <c:pt idx="175">
                  <c:v>17.948888888888888</c:v>
                </c:pt>
                <c:pt idx="176">
                  <c:v>17.952592592592595</c:v>
                </c:pt>
                <c:pt idx="177">
                  <c:v>17.963950617283949</c:v>
                </c:pt>
                <c:pt idx="178">
                  <c:v>17.967654320987652</c:v>
                </c:pt>
                <c:pt idx="179">
                  <c:v>17.967654320987652</c:v>
                </c:pt>
                <c:pt idx="180">
                  <c:v>17.979012345679013</c:v>
                </c:pt>
                <c:pt idx="181">
                  <c:v>17.98654320987654</c:v>
                </c:pt>
                <c:pt idx="182">
                  <c:v>17.98654320987654</c:v>
                </c:pt>
                <c:pt idx="183">
                  <c:v>17.982716049382717</c:v>
                </c:pt>
                <c:pt idx="184">
                  <c:v>17.982716049382717</c:v>
                </c:pt>
                <c:pt idx="185">
                  <c:v>17.98654320987654</c:v>
                </c:pt>
                <c:pt idx="186">
                  <c:v>17.994074074074071</c:v>
                </c:pt>
                <c:pt idx="187">
                  <c:v>18.005432098765432</c:v>
                </c:pt>
                <c:pt idx="188">
                  <c:v>18.016666666666666</c:v>
                </c:pt>
                <c:pt idx="189">
                  <c:v>18.039259259259257</c:v>
                </c:pt>
                <c:pt idx="190">
                  <c:v>18.054320987654318</c:v>
                </c:pt>
                <c:pt idx="191">
                  <c:v>18.065679012345679</c:v>
                </c:pt>
                <c:pt idx="192">
                  <c:v>18.07320987654321</c:v>
                </c:pt>
                <c:pt idx="193">
                  <c:v>18.061851851851848</c:v>
                </c:pt>
                <c:pt idx="194">
                  <c:v>18.061851851851848</c:v>
                </c:pt>
                <c:pt idx="195">
                  <c:v>18.061851851851848</c:v>
                </c:pt>
                <c:pt idx="196">
                  <c:v>18.076913580246913</c:v>
                </c:pt>
                <c:pt idx="197">
                  <c:v>18.091975308641977</c:v>
                </c:pt>
                <c:pt idx="198">
                  <c:v>18.103333333333332</c:v>
                </c:pt>
                <c:pt idx="199">
                  <c:v>18.110864197530866</c:v>
                </c:pt>
                <c:pt idx="200">
                  <c:v>18.107037037037035</c:v>
                </c:pt>
                <c:pt idx="201">
                  <c:v>18.110864197530866</c:v>
                </c:pt>
                <c:pt idx="202">
                  <c:v>18.11469135802469</c:v>
                </c:pt>
                <c:pt idx="203">
                  <c:v>18.12222222222222</c:v>
                </c:pt>
                <c:pt idx="204">
                  <c:v>18.12975308641975</c:v>
                </c:pt>
                <c:pt idx="205">
                  <c:v>18.12975308641975</c:v>
                </c:pt>
                <c:pt idx="206">
                  <c:v>18.144814814814815</c:v>
                </c:pt>
                <c:pt idx="207">
                  <c:v>18.148518518518514</c:v>
                </c:pt>
                <c:pt idx="208">
                  <c:v>18.148518518518514</c:v>
                </c:pt>
                <c:pt idx="209">
                  <c:v>18.156049382716049</c:v>
                </c:pt>
                <c:pt idx="210">
                  <c:v>18.152345679012342</c:v>
                </c:pt>
                <c:pt idx="211">
                  <c:v>18.156049382716049</c:v>
                </c:pt>
                <c:pt idx="212">
                  <c:v>18.163580246913579</c:v>
                </c:pt>
                <c:pt idx="213">
                  <c:v>18.163580246913579</c:v>
                </c:pt>
                <c:pt idx="214">
                  <c:v>18.171111111111109</c:v>
                </c:pt>
                <c:pt idx="215">
                  <c:v>18.174938271604937</c:v>
                </c:pt>
                <c:pt idx="216">
                  <c:v>18.186172839506174</c:v>
                </c:pt>
                <c:pt idx="217">
                  <c:v>18.197530864197528</c:v>
                </c:pt>
                <c:pt idx="218">
                  <c:v>18.205061728395062</c:v>
                </c:pt>
                <c:pt idx="219">
                  <c:v>18.205061728395062</c:v>
                </c:pt>
                <c:pt idx="220">
                  <c:v>18.201234567901235</c:v>
                </c:pt>
                <c:pt idx="221">
                  <c:v>18.197530864197528</c:v>
                </c:pt>
                <c:pt idx="222">
                  <c:v>18.193703703703704</c:v>
                </c:pt>
                <c:pt idx="223">
                  <c:v>18.205061728395062</c:v>
                </c:pt>
                <c:pt idx="224">
                  <c:v>18.216296296296292</c:v>
                </c:pt>
                <c:pt idx="225">
                  <c:v>18.216296296296292</c:v>
                </c:pt>
                <c:pt idx="226">
                  <c:v>18.205061728395062</c:v>
                </c:pt>
                <c:pt idx="227">
                  <c:v>18.201234567901235</c:v>
                </c:pt>
                <c:pt idx="228">
                  <c:v>18.205061728395062</c:v>
                </c:pt>
                <c:pt idx="229">
                  <c:v>18.208765432098765</c:v>
                </c:pt>
                <c:pt idx="230">
                  <c:v>18.216296296296292</c:v>
                </c:pt>
                <c:pt idx="231">
                  <c:v>18.22012345679012</c:v>
                </c:pt>
                <c:pt idx="232">
                  <c:v>18.22012345679012</c:v>
                </c:pt>
                <c:pt idx="233">
                  <c:v>18.227654320987654</c:v>
                </c:pt>
                <c:pt idx="234">
                  <c:v>18.235185185185184</c:v>
                </c:pt>
                <c:pt idx="235">
                  <c:v>18.242716049382715</c:v>
                </c:pt>
                <c:pt idx="236">
                  <c:v>18.254074074074072</c:v>
                </c:pt>
                <c:pt idx="237">
                  <c:v>18.257777777777775</c:v>
                </c:pt>
                <c:pt idx="238">
                  <c:v>18.265308641975306</c:v>
                </c:pt>
                <c:pt idx="239">
                  <c:v>18.269135802469137</c:v>
                </c:pt>
                <c:pt idx="240">
                  <c:v>18.27283950617284</c:v>
                </c:pt>
                <c:pt idx="241">
                  <c:v>18.269135802469137</c:v>
                </c:pt>
                <c:pt idx="242">
                  <c:v>18.265308641975306</c:v>
                </c:pt>
                <c:pt idx="243">
                  <c:v>18.27283950617284</c:v>
                </c:pt>
                <c:pt idx="244">
                  <c:v>18.284197530864198</c:v>
                </c:pt>
                <c:pt idx="245">
                  <c:v>18.299259259259259</c:v>
                </c:pt>
                <c:pt idx="246">
                  <c:v>18.299259259259259</c:v>
                </c:pt>
                <c:pt idx="247">
                  <c:v>18.310493827160489</c:v>
                </c:pt>
                <c:pt idx="248">
                  <c:v>18.318024691358023</c:v>
                </c:pt>
                <c:pt idx="249">
                  <c:v>18.318024691358023</c:v>
                </c:pt>
                <c:pt idx="250">
                  <c:v>18.325679012345677</c:v>
                </c:pt>
                <c:pt idx="251">
                  <c:v>18.318024691358023</c:v>
                </c:pt>
                <c:pt idx="252">
                  <c:v>18.306790123456789</c:v>
                </c:pt>
                <c:pt idx="253">
                  <c:v>18.295432098765431</c:v>
                </c:pt>
                <c:pt idx="254">
                  <c:v>18.306790123456789</c:v>
                </c:pt>
                <c:pt idx="255">
                  <c:v>18.318024691358023</c:v>
                </c:pt>
                <c:pt idx="256">
                  <c:v>18.336913580246915</c:v>
                </c:pt>
                <c:pt idx="257">
                  <c:v>18.348271604938269</c:v>
                </c:pt>
                <c:pt idx="258">
                  <c:v>18.351975308641972</c:v>
                </c:pt>
                <c:pt idx="259">
                  <c:v>18.359506172839506</c:v>
                </c:pt>
                <c:pt idx="260">
                  <c:v>18.351975308641972</c:v>
                </c:pt>
                <c:pt idx="261">
                  <c:v>18.355802469135799</c:v>
                </c:pt>
                <c:pt idx="262">
                  <c:v>18.351975308641972</c:v>
                </c:pt>
                <c:pt idx="263">
                  <c:v>18.344444444444445</c:v>
                </c:pt>
                <c:pt idx="264">
                  <c:v>18.340740740740738</c:v>
                </c:pt>
                <c:pt idx="265">
                  <c:v>18.333209876543208</c:v>
                </c:pt>
                <c:pt idx="266">
                  <c:v>18.333209876543208</c:v>
                </c:pt>
                <c:pt idx="267">
                  <c:v>18.336913580246915</c:v>
                </c:pt>
                <c:pt idx="268">
                  <c:v>18.351975308641972</c:v>
                </c:pt>
                <c:pt idx="269">
                  <c:v>18.374567901234567</c:v>
                </c:pt>
                <c:pt idx="270">
                  <c:v>18.385925925925928</c:v>
                </c:pt>
                <c:pt idx="271">
                  <c:v>18.389629629629628</c:v>
                </c:pt>
                <c:pt idx="272">
                  <c:v>18.389629629629628</c:v>
                </c:pt>
                <c:pt idx="273">
                  <c:v>18.374567901234567</c:v>
                </c:pt>
                <c:pt idx="274">
                  <c:v>18.378395061728394</c:v>
                </c:pt>
                <c:pt idx="275">
                  <c:v>18.385925925925928</c:v>
                </c:pt>
                <c:pt idx="276">
                  <c:v>18.385925925925928</c:v>
                </c:pt>
                <c:pt idx="277">
                  <c:v>18.370864197530864</c:v>
                </c:pt>
                <c:pt idx="278">
                  <c:v>18.374567901234567</c:v>
                </c:pt>
                <c:pt idx="279">
                  <c:v>18.367037037037036</c:v>
                </c:pt>
                <c:pt idx="280">
                  <c:v>18.367037037037036</c:v>
                </c:pt>
                <c:pt idx="281">
                  <c:v>18.378395061728394</c:v>
                </c:pt>
                <c:pt idx="282">
                  <c:v>18.382098765432101</c:v>
                </c:pt>
                <c:pt idx="283">
                  <c:v>18.400987654320986</c:v>
                </c:pt>
                <c:pt idx="284">
                  <c:v>18.412222222222223</c:v>
                </c:pt>
                <c:pt idx="285">
                  <c:v>18.427283950617284</c:v>
                </c:pt>
                <c:pt idx="286">
                  <c:v>18.427283950617284</c:v>
                </c:pt>
                <c:pt idx="287">
                  <c:v>18.427283950617284</c:v>
                </c:pt>
                <c:pt idx="288">
                  <c:v>18.427283950617284</c:v>
                </c:pt>
                <c:pt idx="289">
                  <c:v>18.427283950617284</c:v>
                </c:pt>
                <c:pt idx="290">
                  <c:v>18.423580246913577</c:v>
                </c:pt>
                <c:pt idx="291">
                  <c:v>18.427283950617284</c:v>
                </c:pt>
                <c:pt idx="292">
                  <c:v>18.434938271604938</c:v>
                </c:pt>
                <c:pt idx="293">
                  <c:v>18.423580246913577</c:v>
                </c:pt>
                <c:pt idx="294">
                  <c:v>18.423580246913577</c:v>
                </c:pt>
                <c:pt idx="295">
                  <c:v>18.423580246913577</c:v>
                </c:pt>
                <c:pt idx="296">
                  <c:v>18.427283950617284</c:v>
                </c:pt>
                <c:pt idx="297">
                  <c:v>18.442469135802465</c:v>
                </c:pt>
                <c:pt idx="298">
                  <c:v>18.453703703703706</c:v>
                </c:pt>
                <c:pt idx="299">
                  <c:v>18.446172839506172</c:v>
                </c:pt>
                <c:pt idx="300">
                  <c:v>18.446172839506172</c:v>
                </c:pt>
                <c:pt idx="301">
                  <c:v>18.45</c:v>
                </c:pt>
                <c:pt idx="302">
                  <c:v>18.45</c:v>
                </c:pt>
                <c:pt idx="303">
                  <c:v>18.453703703703706</c:v>
                </c:pt>
                <c:pt idx="304">
                  <c:v>18.45</c:v>
                </c:pt>
                <c:pt idx="305">
                  <c:v>18.453703703703706</c:v>
                </c:pt>
                <c:pt idx="306">
                  <c:v>18.442469135802465</c:v>
                </c:pt>
                <c:pt idx="307">
                  <c:v>18.431111111111111</c:v>
                </c:pt>
                <c:pt idx="308">
                  <c:v>18.434938271604938</c:v>
                </c:pt>
                <c:pt idx="309">
                  <c:v>18.434938271604938</c:v>
                </c:pt>
                <c:pt idx="310">
                  <c:v>18.438641975308641</c:v>
                </c:pt>
                <c:pt idx="311">
                  <c:v>18.446172839506172</c:v>
                </c:pt>
                <c:pt idx="312">
                  <c:v>18.468765432098763</c:v>
                </c:pt>
                <c:pt idx="313">
                  <c:v>18.483827160493824</c:v>
                </c:pt>
                <c:pt idx="314">
                  <c:v>18.483827160493824</c:v>
                </c:pt>
                <c:pt idx="315">
                  <c:v>18.483827160493824</c:v>
                </c:pt>
                <c:pt idx="316">
                  <c:v>18.491358024691355</c:v>
                </c:pt>
                <c:pt idx="317">
                  <c:v>18.498888888888889</c:v>
                </c:pt>
                <c:pt idx="318">
                  <c:v>18.491358024691355</c:v>
                </c:pt>
                <c:pt idx="319">
                  <c:v>18.483827160493824</c:v>
                </c:pt>
                <c:pt idx="320">
                  <c:v>18.480123456790125</c:v>
                </c:pt>
                <c:pt idx="321">
                  <c:v>18.487654320987652</c:v>
                </c:pt>
                <c:pt idx="322">
                  <c:v>18.495185185185186</c:v>
                </c:pt>
                <c:pt idx="323">
                  <c:v>18.498888888888889</c:v>
                </c:pt>
                <c:pt idx="324">
                  <c:v>18.495185185185186</c:v>
                </c:pt>
                <c:pt idx="325">
                  <c:v>18.491358024691355</c:v>
                </c:pt>
                <c:pt idx="326">
                  <c:v>18.498888888888889</c:v>
                </c:pt>
                <c:pt idx="327">
                  <c:v>18.510246913580243</c:v>
                </c:pt>
                <c:pt idx="328">
                  <c:v>18.51395061728395</c:v>
                </c:pt>
                <c:pt idx="329">
                  <c:v>18.521481481481484</c:v>
                </c:pt>
                <c:pt idx="330">
                  <c:v>18.510246913580243</c:v>
                </c:pt>
                <c:pt idx="331">
                  <c:v>18.51395061728395</c:v>
                </c:pt>
                <c:pt idx="332">
                  <c:v>18.510246913580243</c:v>
                </c:pt>
                <c:pt idx="333">
                  <c:v>18.521481481481484</c:v>
                </c:pt>
                <c:pt idx="334">
                  <c:v>18.532839506172838</c:v>
                </c:pt>
                <c:pt idx="335">
                  <c:v>18.544197530864199</c:v>
                </c:pt>
                <c:pt idx="336">
                  <c:v>18.544197530864199</c:v>
                </c:pt>
                <c:pt idx="337">
                  <c:v>18.536543209876541</c:v>
                </c:pt>
                <c:pt idx="338">
                  <c:v>18.544197530864199</c:v>
                </c:pt>
                <c:pt idx="339">
                  <c:v>18.536543209876541</c:v>
                </c:pt>
                <c:pt idx="340">
                  <c:v>18.532839506172838</c:v>
                </c:pt>
                <c:pt idx="341">
                  <c:v>18.532839506172838</c:v>
                </c:pt>
                <c:pt idx="342">
                  <c:v>18.555432098765429</c:v>
                </c:pt>
                <c:pt idx="343">
                  <c:v>18.574320987654321</c:v>
                </c:pt>
                <c:pt idx="344">
                  <c:v>18.581851851851848</c:v>
                </c:pt>
                <c:pt idx="345">
                  <c:v>18.585555555555555</c:v>
                </c:pt>
                <c:pt idx="346">
                  <c:v>18.585555555555555</c:v>
                </c:pt>
                <c:pt idx="347">
                  <c:v>18.585555555555555</c:v>
                </c:pt>
                <c:pt idx="348">
                  <c:v>18.589382716049382</c:v>
                </c:pt>
                <c:pt idx="349">
                  <c:v>18.589382716049382</c:v>
                </c:pt>
                <c:pt idx="350">
                  <c:v>18.585555555555555</c:v>
                </c:pt>
                <c:pt idx="351">
                  <c:v>18.596913580246913</c:v>
                </c:pt>
                <c:pt idx="352">
                  <c:v>18.593086419753085</c:v>
                </c:pt>
                <c:pt idx="353">
                  <c:v>18.589382716049382</c:v>
                </c:pt>
                <c:pt idx="354">
                  <c:v>18.581851851851848</c:v>
                </c:pt>
                <c:pt idx="355">
                  <c:v>18.585555555555555</c:v>
                </c:pt>
                <c:pt idx="356">
                  <c:v>18.596913580246913</c:v>
                </c:pt>
                <c:pt idx="357">
                  <c:v>18.585555555555555</c:v>
                </c:pt>
                <c:pt idx="358">
                  <c:v>18.566790123456791</c:v>
                </c:pt>
                <c:pt idx="359">
                  <c:v>18.555432098765429</c:v>
                </c:pt>
                <c:pt idx="360">
                  <c:v>18.536543209876541</c:v>
                </c:pt>
                <c:pt idx="361">
                  <c:v>18.536543209876541</c:v>
                </c:pt>
                <c:pt idx="362">
                  <c:v>18.547901234567902</c:v>
                </c:pt>
                <c:pt idx="363">
                  <c:v>18.551728395061726</c:v>
                </c:pt>
                <c:pt idx="364">
                  <c:v>18.555432098765429</c:v>
                </c:pt>
                <c:pt idx="365">
                  <c:v>18.555432098765429</c:v>
                </c:pt>
                <c:pt idx="366">
                  <c:v>18.559259259259257</c:v>
                </c:pt>
                <c:pt idx="367">
                  <c:v>18.559259259259257</c:v>
                </c:pt>
                <c:pt idx="368">
                  <c:v>18.570493827160494</c:v>
                </c:pt>
                <c:pt idx="369">
                  <c:v>18.593086419753085</c:v>
                </c:pt>
                <c:pt idx="370">
                  <c:v>18.593086419753085</c:v>
                </c:pt>
                <c:pt idx="371">
                  <c:v>18.585555555555555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F6-4B87-BA1D-73BAB01E4585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'20221210T210000'!$O$11:$O$500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  <c:pt idx="269">
                  <c:v>1.2596099999999999</c:v>
                </c:pt>
                <c:pt idx="270">
                  <c:v>1.2646500000000001</c:v>
                </c:pt>
                <c:pt idx="271">
                  <c:v>1.2696799999999999</c:v>
                </c:pt>
                <c:pt idx="272">
                  <c:v>1.2747200000000001</c:v>
                </c:pt>
                <c:pt idx="273">
                  <c:v>1.2797499999999999</c:v>
                </c:pt>
                <c:pt idx="274">
                  <c:v>1.2847900000000001</c:v>
                </c:pt>
                <c:pt idx="275">
                  <c:v>1.28983</c:v>
                </c:pt>
                <c:pt idx="276">
                  <c:v>1.2948599999999999</c:v>
                </c:pt>
                <c:pt idx="277">
                  <c:v>1.2999000000000001</c:v>
                </c:pt>
                <c:pt idx="278">
                  <c:v>1.3049299999999999</c:v>
                </c:pt>
                <c:pt idx="279">
                  <c:v>1.3099700000000001</c:v>
                </c:pt>
                <c:pt idx="280">
                  <c:v>1.3149999999999999</c:v>
                </c:pt>
                <c:pt idx="281">
                  <c:v>1.3200400000000001</c:v>
                </c:pt>
                <c:pt idx="282">
                  <c:v>1.32507</c:v>
                </c:pt>
                <c:pt idx="283">
                  <c:v>1.3301099999999999</c:v>
                </c:pt>
                <c:pt idx="284">
                  <c:v>1.33514</c:v>
                </c:pt>
                <c:pt idx="285">
                  <c:v>1.3401799999999999</c:v>
                </c:pt>
                <c:pt idx="286">
                  <c:v>1.34521</c:v>
                </c:pt>
                <c:pt idx="287">
                  <c:v>1.35025</c:v>
                </c:pt>
                <c:pt idx="288">
                  <c:v>1.3552900000000001</c:v>
                </c:pt>
                <c:pt idx="289">
                  <c:v>1.36032</c:v>
                </c:pt>
                <c:pt idx="290">
                  <c:v>1.3653599999999999</c:v>
                </c:pt>
                <c:pt idx="291">
                  <c:v>1.37039</c:v>
                </c:pt>
                <c:pt idx="292">
                  <c:v>1.3754299999999999</c:v>
                </c:pt>
                <c:pt idx="293">
                  <c:v>1.38046</c:v>
                </c:pt>
                <c:pt idx="294">
                  <c:v>1.3855</c:v>
                </c:pt>
                <c:pt idx="295">
                  <c:v>1.39053</c:v>
                </c:pt>
                <c:pt idx="296">
                  <c:v>1.39557</c:v>
                </c:pt>
                <c:pt idx="297">
                  <c:v>1.4006000000000001</c:v>
                </c:pt>
                <c:pt idx="298">
                  <c:v>1.40564</c:v>
                </c:pt>
                <c:pt idx="299">
                  <c:v>1.4106799999999999</c:v>
                </c:pt>
                <c:pt idx="300">
                  <c:v>1.41571</c:v>
                </c:pt>
                <c:pt idx="301">
                  <c:v>1.42075</c:v>
                </c:pt>
                <c:pt idx="302">
                  <c:v>1.42578</c:v>
                </c:pt>
                <c:pt idx="303">
                  <c:v>1.43082</c:v>
                </c:pt>
                <c:pt idx="304">
                  <c:v>1.4358500000000001</c:v>
                </c:pt>
                <c:pt idx="305">
                  <c:v>1.44089</c:v>
                </c:pt>
                <c:pt idx="306">
                  <c:v>1.4459200000000001</c:v>
                </c:pt>
                <c:pt idx="307">
                  <c:v>1.45096</c:v>
                </c:pt>
                <c:pt idx="308">
                  <c:v>1.4559899999999999</c:v>
                </c:pt>
                <c:pt idx="309">
                  <c:v>1.4610300000000001</c:v>
                </c:pt>
                <c:pt idx="310">
                  <c:v>1.4660599999999999</c:v>
                </c:pt>
                <c:pt idx="311">
                  <c:v>1.4711000000000001</c:v>
                </c:pt>
                <c:pt idx="312">
                  <c:v>1.47614</c:v>
                </c:pt>
                <c:pt idx="313">
                  <c:v>1.4811700000000001</c:v>
                </c:pt>
                <c:pt idx="314">
                  <c:v>1.48621</c:v>
                </c:pt>
                <c:pt idx="315">
                  <c:v>1.4912399999999999</c:v>
                </c:pt>
                <c:pt idx="316">
                  <c:v>1.4962800000000001</c:v>
                </c:pt>
                <c:pt idx="317">
                  <c:v>1.5013099999999999</c:v>
                </c:pt>
                <c:pt idx="318">
                  <c:v>1.5063500000000001</c:v>
                </c:pt>
                <c:pt idx="319">
                  <c:v>1.5113799999999999</c:v>
                </c:pt>
                <c:pt idx="320">
                  <c:v>1.5164200000000001</c:v>
                </c:pt>
                <c:pt idx="321">
                  <c:v>1.52145</c:v>
                </c:pt>
                <c:pt idx="322">
                  <c:v>1.5264899999999999</c:v>
                </c:pt>
                <c:pt idx="323">
                  <c:v>1.53152</c:v>
                </c:pt>
                <c:pt idx="324">
                  <c:v>1.5365599999999999</c:v>
                </c:pt>
                <c:pt idx="325">
                  <c:v>1.5416000000000001</c:v>
                </c:pt>
                <c:pt idx="326">
                  <c:v>1.5466299999999999</c:v>
                </c:pt>
                <c:pt idx="327">
                  <c:v>1.5516700000000001</c:v>
                </c:pt>
                <c:pt idx="328">
                  <c:v>1.5567</c:v>
                </c:pt>
                <c:pt idx="329">
                  <c:v>1.5617399999999999</c:v>
                </c:pt>
                <c:pt idx="330">
                  <c:v>1.56677</c:v>
                </c:pt>
                <c:pt idx="331">
                  <c:v>1.5718099999999999</c:v>
                </c:pt>
                <c:pt idx="332">
                  <c:v>1.57684</c:v>
                </c:pt>
                <c:pt idx="333">
                  <c:v>1.58188</c:v>
                </c:pt>
                <c:pt idx="334">
                  <c:v>1.58691</c:v>
                </c:pt>
                <c:pt idx="335">
                  <c:v>1.59195</c:v>
                </c:pt>
                <c:pt idx="336">
                  <c:v>1.5969800000000001</c:v>
                </c:pt>
                <c:pt idx="337">
                  <c:v>1.60202</c:v>
                </c:pt>
                <c:pt idx="338">
                  <c:v>1.6070599999999999</c:v>
                </c:pt>
                <c:pt idx="339">
                  <c:v>1.61209</c:v>
                </c:pt>
                <c:pt idx="340">
                  <c:v>1.61713</c:v>
                </c:pt>
                <c:pt idx="341">
                  <c:v>1.62216</c:v>
                </c:pt>
                <c:pt idx="342">
                  <c:v>1.6272</c:v>
                </c:pt>
                <c:pt idx="343">
                  <c:v>1.6322300000000001</c:v>
                </c:pt>
                <c:pt idx="344">
                  <c:v>1.63727</c:v>
                </c:pt>
                <c:pt idx="345">
                  <c:v>1.6423000000000001</c:v>
                </c:pt>
                <c:pt idx="346">
                  <c:v>1.64734</c:v>
                </c:pt>
                <c:pt idx="347">
                  <c:v>1.6523699999999999</c:v>
                </c:pt>
                <c:pt idx="348">
                  <c:v>1.65741</c:v>
                </c:pt>
                <c:pt idx="349">
                  <c:v>1.66245</c:v>
                </c:pt>
                <c:pt idx="350">
                  <c:v>1.6674800000000001</c:v>
                </c:pt>
                <c:pt idx="351">
                  <c:v>1.67252</c:v>
                </c:pt>
                <c:pt idx="352">
                  <c:v>1.6775500000000001</c:v>
                </c:pt>
                <c:pt idx="353">
                  <c:v>1.68259</c:v>
                </c:pt>
                <c:pt idx="354">
                  <c:v>1.6876199999999999</c:v>
                </c:pt>
                <c:pt idx="355">
                  <c:v>1.6926600000000001</c:v>
                </c:pt>
                <c:pt idx="356">
                  <c:v>1.6976899999999999</c:v>
                </c:pt>
                <c:pt idx="357">
                  <c:v>1.7027300000000001</c:v>
                </c:pt>
                <c:pt idx="358">
                  <c:v>1.7077599999999999</c:v>
                </c:pt>
                <c:pt idx="359">
                  <c:v>1.7128000000000001</c:v>
                </c:pt>
                <c:pt idx="360">
                  <c:v>1.71783</c:v>
                </c:pt>
                <c:pt idx="361">
                  <c:v>1.7228699999999999</c:v>
                </c:pt>
                <c:pt idx="362">
                  <c:v>1.7279100000000001</c:v>
                </c:pt>
                <c:pt idx="363">
                  <c:v>1.7329399999999999</c:v>
                </c:pt>
                <c:pt idx="364">
                  <c:v>1.7379800000000001</c:v>
                </c:pt>
                <c:pt idx="365">
                  <c:v>1.7430099999999999</c:v>
                </c:pt>
                <c:pt idx="366">
                  <c:v>1.7480500000000001</c:v>
                </c:pt>
                <c:pt idx="367">
                  <c:v>1.75308</c:v>
                </c:pt>
                <c:pt idx="368">
                  <c:v>1.7581199999999999</c:v>
                </c:pt>
                <c:pt idx="369">
                  <c:v>1.76315</c:v>
                </c:pt>
                <c:pt idx="370">
                  <c:v>1.7681899999999999</c:v>
                </c:pt>
                <c:pt idx="371">
                  <c:v>1.77322</c:v>
                </c:pt>
              </c:numCache>
            </c:numRef>
          </c:xVal>
          <c:yVal>
            <c:numRef>
              <c:f>'20221210T210000'!$T$11:$T$500</c:f>
              <c:numCache>
                <c:formatCode>General</c:formatCode>
                <c:ptCount val="490"/>
                <c:pt idx="0">
                  <c:v>18.593086419753085</c:v>
                </c:pt>
                <c:pt idx="1">
                  <c:v>18.596913580246913</c:v>
                </c:pt>
                <c:pt idx="2">
                  <c:v>18.600617283950616</c:v>
                </c:pt>
                <c:pt idx="3">
                  <c:v>18.604444444444443</c:v>
                </c:pt>
                <c:pt idx="4">
                  <c:v>18.589382716049382</c:v>
                </c:pt>
                <c:pt idx="5">
                  <c:v>18.578024691358021</c:v>
                </c:pt>
                <c:pt idx="6">
                  <c:v>18.581851851851848</c:v>
                </c:pt>
                <c:pt idx="7">
                  <c:v>18.574320987654321</c:v>
                </c:pt>
                <c:pt idx="8">
                  <c:v>18.581851851851848</c:v>
                </c:pt>
                <c:pt idx="9">
                  <c:v>18.589382716049382</c:v>
                </c:pt>
                <c:pt idx="10">
                  <c:v>18.600617283950616</c:v>
                </c:pt>
                <c:pt idx="11">
                  <c:v>18.611975308641973</c:v>
                </c:pt>
                <c:pt idx="12">
                  <c:v>18.60814814814815</c:v>
                </c:pt>
                <c:pt idx="13">
                  <c:v>18.600617283950616</c:v>
                </c:pt>
                <c:pt idx="14">
                  <c:v>18.593086419753085</c:v>
                </c:pt>
                <c:pt idx="15">
                  <c:v>18.596913580246913</c:v>
                </c:pt>
                <c:pt idx="16">
                  <c:v>18.589382716049382</c:v>
                </c:pt>
                <c:pt idx="17">
                  <c:v>18.585555555555555</c:v>
                </c:pt>
                <c:pt idx="18">
                  <c:v>18.604444444444443</c:v>
                </c:pt>
                <c:pt idx="19">
                  <c:v>18.60814814814815</c:v>
                </c:pt>
                <c:pt idx="20">
                  <c:v>18.61567901234568</c:v>
                </c:pt>
                <c:pt idx="21">
                  <c:v>18.60814814814815</c:v>
                </c:pt>
                <c:pt idx="22">
                  <c:v>18.60814814814815</c:v>
                </c:pt>
                <c:pt idx="23">
                  <c:v>18.596913580246913</c:v>
                </c:pt>
                <c:pt idx="24">
                  <c:v>18.581851851851848</c:v>
                </c:pt>
                <c:pt idx="25">
                  <c:v>18.585555555555555</c:v>
                </c:pt>
                <c:pt idx="26">
                  <c:v>18.578024691358021</c:v>
                </c:pt>
                <c:pt idx="27">
                  <c:v>18.566790123456791</c:v>
                </c:pt>
                <c:pt idx="28">
                  <c:v>18.547901234567902</c:v>
                </c:pt>
                <c:pt idx="29">
                  <c:v>18.551728395061726</c:v>
                </c:pt>
                <c:pt idx="30">
                  <c:v>18.559259259259257</c:v>
                </c:pt>
                <c:pt idx="31">
                  <c:v>18.566790123456791</c:v>
                </c:pt>
                <c:pt idx="32">
                  <c:v>18.574320987654321</c:v>
                </c:pt>
                <c:pt idx="33">
                  <c:v>18.585555555555555</c:v>
                </c:pt>
                <c:pt idx="34">
                  <c:v>18.585555555555555</c:v>
                </c:pt>
                <c:pt idx="35">
                  <c:v>18.574320987654321</c:v>
                </c:pt>
                <c:pt idx="36">
                  <c:v>18.559259259259257</c:v>
                </c:pt>
                <c:pt idx="37">
                  <c:v>18.562962962962963</c:v>
                </c:pt>
                <c:pt idx="38">
                  <c:v>18.574320987654321</c:v>
                </c:pt>
                <c:pt idx="39">
                  <c:v>18.578024691358021</c:v>
                </c:pt>
                <c:pt idx="40">
                  <c:v>18.585555555555555</c:v>
                </c:pt>
                <c:pt idx="41">
                  <c:v>18.581851851851848</c:v>
                </c:pt>
                <c:pt idx="42">
                  <c:v>18.562962962962963</c:v>
                </c:pt>
                <c:pt idx="43">
                  <c:v>18.547901234567902</c:v>
                </c:pt>
                <c:pt idx="44">
                  <c:v>18.536543209876541</c:v>
                </c:pt>
                <c:pt idx="45">
                  <c:v>18.521481481481484</c:v>
                </c:pt>
                <c:pt idx="46">
                  <c:v>18.510246913580243</c:v>
                </c:pt>
                <c:pt idx="47">
                  <c:v>18.498888888888889</c:v>
                </c:pt>
                <c:pt idx="48">
                  <c:v>18.487654320987652</c:v>
                </c:pt>
                <c:pt idx="49">
                  <c:v>18.476296296296297</c:v>
                </c:pt>
                <c:pt idx="50">
                  <c:v>18.468765432098763</c:v>
                </c:pt>
                <c:pt idx="51">
                  <c:v>18.461234567901233</c:v>
                </c:pt>
                <c:pt idx="52">
                  <c:v>18.476296296296297</c:v>
                </c:pt>
                <c:pt idx="53">
                  <c:v>18.495185185185186</c:v>
                </c:pt>
                <c:pt idx="54">
                  <c:v>18.51395061728395</c:v>
                </c:pt>
                <c:pt idx="55">
                  <c:v>18.532839506172838</c:v>
                </c:pt>
                <c:pt idx="56">
                  <c:v>18.536543209876541</c:v>
                </c:pt>
                <c:pt idx="57">
                  <c:v>18.532839506172838</c:v>
                </c:pt>
                <c:pt idx="58">
                  <c:v>18.525308641975307</c:v>
                </c:pt>
                <c:pt idx="59">
                  <c:v>18.525308641975307</c:v>
                </c:pt>
                <c:pt idx="60">
                  <c:v>18.532839506172838</c:v>
                </c:pt>
                <c:pt idx="61">
                  <c:v>18.529012345679011</c:v>
                </c:pt>
                <c:pt idx="62">
                  <c:v>18.517777777777777</c:v>
                </c:pt>
                <c:pt idx="63">
                  <c:v>18.51395061728395</c:v>
                </c:pt>
                <c:pt idx="64">
                  <c:v>18.510246913580243</c:v>
                </c:pt>
                <c:pt idx="65">
                  <c:v>18.510246913580243</c:v>
                </c:pt>
                <c:pt idx="66">
                  <c:v>18.506419753086419</c:v>
                </c:pt>
                <c:pt idx="67">
                  <c:v>18.495185185185186</c:v>
                </c:pt>
                <c:pt idx="68">
                  <c:v>18.510246913580243</c:v>
                </c:pt>
                <c:pt idx="69">
                  <c:v>18.521481481481484</c:v>
                </c:pt>
                <c:pt idx="70">
                  <c:v>18.529012345679011</c:v>
                </c:pt>
                <c:pt idx="71">
                  <c:v>18.525308641975307</c:v>
                </c:pt>
                <c:pt idx="72">
                  <c:v>18.510246913580243</c:v>
                </c:pt>
                <c:pt idx="73">
                  <c:v>18.498888888888889</c:v>
                </c:pt>
                <c:pt idx="74">
                  <c:v>18.483827160493824</c:v>
                </c:pt>
                <c:pt idx="75">
                  <c:v>18.476296296296297</c:v>
                </c:pt>
                <c:pt idx="76">
                  <c:v>18.468765432098763</c:v>
                </c:pt>
                <c:pt idx="77">
                  <c:v>18.46506172839506</c:v>
                </c:pt>
                <c:pt idx="78">
                  <c:v>18.453703703703706</c:v>
                </c:pt>
                <c:pt idx="79">
                  <c:v>18.442469135802465</c:v>
                </c:pt>
                <c:pt idx="80">
                  <c:v>18.438641975308641</c:v>
                </c:pt>
                <c:pt idx="81">
                  <c:v>18.434938271604938</c:v>
                </c:pt>
                <c:pt idx="82">
                  <c:v>18.446172839506172</c:v>
                </c:pt>
                <c:pt idx="83">
                  <c:v>18.442469135802465</c:v>
                </c:pt>
                <c:pt idx="84">
                  <c:v>18.442469135802465</c:v>
                </c:pt>
                <c:pt idx="85">
                  <c:v>18.45</c:v>
                </c:pt>
                <c:pt idx="86">
                  <c:v>18.438641975308641</c:v>
                </c:pt>
                <c:pt idx="87">
                  <c:v>18.438641975308641</c:v>
                </c:pt>
                <c:pt idx="88">
                  <c:v>18.442469135802465</c:v>
                </c:pt>
                <c:pt idx="89">
                  <c:v>18.438641975308641</c:v>
                </c:pt>
                <c:pt idx="90">
                  <c:v>18.442469135802465</c:v>
                </c:pt>
                <c:pt idx="91">
                  <c:v>18.423580246913577</c:v>
                </c:pt>
                <c:pt idx="92">
                  <c:v>18.427283950617284</c:v>
                </c:pt>
                <c:pt idx="93">
                  <c:v>18.434938271604938</c:v>
                </c:pt>
                <c:pt idx="94">
                  <c:v>18.45</c:v>
                </c:pt>
                <c:pt idx="95">
                  <c:v>18.438641975308641</c:v>
                </c:pt>
                <c:pt idx="96">
                  <c:v>18.423580246913577</c:v>
                </c:pt>
                <c:pt idx="97">
                  <c:v>18.416049382716047</c:v>
                </c:pt>
                <c:pt idx="98">
                  <c:v>18.397160493827158</c:v>
                </c:pt>
                <c:pt idx="99">
                  <c:v>18.382098765432101</c:v>
                </c:pt>
                <c:pt idx="100">
                  <c:v>18.374567901234567</c:v>
                </c:pt>
                <c:pt idx="101">
                  <c:v>18.363333333333333</c:v>
                </c:pt>
                <c:pt idx="102">
                  <c:v>18.367037037037036</c:v>
                </c:pt>
                <c:pt idx="103">
                  <c:v>18.367037037037036</c:v>
                </c:pt>
                <c:pt idx="104">
                  <c:v>18.370864197530864</c:v>
                </c:pt>
                <c:pt idx="105">
                  <c:v>18.363333333333333</c:v>
                </c:pt>
                <c:pt idx="106">
                  <c:v>18.359506172839506</c:v>
                </c:pt>
                <c:pt idx="107">
                  <c:v>18.344444444444445</c:v>
                </c:pt>
                <c:pt idx="108">
                  <c:v>18.333209876543208</c:v>
                </c:pt>
                <c:pt idx="109">
                  <c:v>18.340740740740738</c:v>
                </c:pt>
                <c:pt idx="110">
                  <c:v>18.340740740740738</c:v>
                </c:pt>
                <c:pt idx="111">
                  <c:v>18.336913580246915</c:v>
                </c:pt>
                <c:pt idx="112">
                  <c:v>18.333209876543208</c:v>
                </c:pt>
                <c:pt idx="113">
                  <c:v>18.325679012345677</c:v>
                </c:pt>
                <c:pt idx="114">
                  <c:v>18.318024691358023</c:v>
                </c:pt>
                <c:pt idx="115">
                  <c:v>18.310493827160489</c:v>
                </c:pt>
                <c:pt idx="116">
                  <c:v>18.302962962962962</c:v>
                </c:pt>
                <c:pt idx="117">
                  <c:v>18.299259259259259</c:v>
                </c:pt>
                <c:pt idx="118">
                  <c:v>18.302962962962962</c:v>
                </c:pt>
                <c:pt idx="119">
                  <c:v>18.295432098765431</c:v>
                </c:pt>
                <c:pt idx="120">
                  <c:v>18.299259259259259</c:v>
                </c:pt>
                <c:pt idx="121">
                  <c:v>18.306790123456789</c:v>
                </c:pt>
                <c:pt idx="122">
                  <c:v>18.291728395061728</c:v>
                </c:pt>
                <c:pt idx="123">
                  <c:v>18.284197530864198</c:v>
                </c:pt>
                <c:pt idx="124">
                  <c:v>18.276666666666667</c:v>
                </c:pt>
                <c:pt idx="125">
                  <c:v>18.28037037037037</c:v>
                </c:pt>
                <c:pt idx="126">
                  <c:v>18.28037037037037</c:v>
                </c:pt>
                <c:pt idx="127">
                  <c:v>18.269135802469137</c:v>
                </c:pt>
                <c:pt idx="128">
                  <c:v>18.269135802469137</c:v>
                </c:pt>
                <c:pt idx="129">
                  <c:v>18.27283950617284</c:v>
                </c:pt>
                <c:pt idx="130">
                  <c:v>18.269135802469137</c:v>
                </c:pt>
                <c:pt idx="131">
                  <c:v>18.276666666666667</c:v>
                </c:pt>
                <c:pt idx="132">
                  <c:v>18.287901234567901</c:v>
                </c:pt>
                <c:pt idx="133">
                  <c:v>18.287901234567901</c:v>
                </c:pt>
                <c:pt idx="134">
                  <c:v>18.27283950617284</c:v>
                </c:pt>
                <c:pt idx="135">
                  <c:v>18.265308641975306</c:v>
                </c:pt>
                <c:pt idx="136">
                  <c:v>18.254074074074072</c:v>
                </c:pt>
                <c:pt idx="137">
                  <c:v>18.242716049382715</c:v>
                </c:pt>
                <c:pt idx="138">
                  <c:v>18.231481481481481</c:v>
                </c:pt>
                <c:pt idx="139">
                  <c:v>18.216296296296292</c:v>
                </c:pt>
                <c:pt idx="140">
                  <c:v>18.205061728395062</c:v>
                </c:pt>
                <c:pt idx="141">
                  <c:v>18.193703703703704</c:v>
                </c:pt>
                <c:pt idx="142">
                  <c:v>18.182469135802467</c:v>
                </c:pt>
                <c:pt idx="143">
                  <c:v>18.171111111111109</c:v>
                </c:pt>
                <c:pt idx="144">
                  <c:v>18.171111111111109</c:v>
                </c:pt>
                <c:pt idx="145">
                  <c:v>18.167407407407406</c:v>
                </c:pt>
                <c:pt idx="146">
                  <c:v>18.163580246913579</c:v>
                </c:pt>
                <c:pt idx="147">
                  <c:v>18.152345679012342</c:v>
                </c:pt>
                <c:pt idx="148">
                  <c:v>18.148518518518514</c:v>
                </c:pt>
                <c:pt idx="149">
                  <c:v>18.144814814814815</c:v>
                </c:pt>
                <c:pt idx="150">
                  <c:v>18.137283950617284</c:v>
                </c:pt>
                <c:pt idx="151">
                  <c:v>18.11469135802469</c:v>
                </c:pt>
                <c:pt idx="152">
                  <c:v>18.107037037037035</c:v>
                </c:pt>
                <c:pt idx="153">
                  <c:v>18.107037037037035</c:v>
                </c:pt>
                <c:pt idx="154">
                  <c:v>18.103333333333332</c:v>
                </c:pt>
                <c:pt idx="155">
                  <c:v>18.110864197530866</c:v>
                </c:pt>
                <c:pt idx="156">
                  <c:v>18.11469135802469</c:v>
                </c:pt>
                <c:pt idx="157">
                  <c:v>18.12222222222222</c:v>
                </c:pt>
                <c:pt idx="158">
                  <c:v>18.125925925925923</c:v>
                </c:pt>
                <c:pt idx="159">
                  <c:v>18.12222222222222</c:v>
                </c:pt>
                <c:pt idx="160">
                  <c:v>18.12222222222222</c:v>
                </c:pt>
                <c:pt idx="161">
                  <c:v>18.118395061728396</c:v>
                </c:pt>
                <c:pt idx="162">
                  <c:v>18.12222222222222</c:v>
                </c:pt>
                <c:pt idx="163">
                  <c:v>18.12222222222222</c:v>
                </c:pt>
                <c:pt idx="164">
                  <c:v>18.118395061728396</c:v>
                </c:pt>
                <c:pt idx="165">
                  <c:v>18.118395061728396</c:v>
                </c:pt>
                <c:pt idx="166">
                  <c:v>18.110864197530866</c:v>
                </c:pt>
                <c:pt idx="167">
                  <c:v>18.118395061728396</c:v>
                </c:pt>
                <c:pt idx="168">
                  <c:v>18.11469135802469</c:v>
                </c:pt>
                <c:pt idx="169">
                  <c:v>18.110864197530866</c:v>
                </c:pt>
                <c:pt idx="170">
                  <c:v>18.103333333333332</c:v>
                </c:pt>
                <c:pt idx="171">
                  <c:v>18.099506172839504</c:v>
                </c:pt>
                <c:pt idx="172">
                  <c:v>18.091975308641977</c:v>
                </c:pt>
                <c:pt idx="173">
                  <c:v>18.07320987654321</c:v>
                </c:pt>
                <c:pt idx="174">
                  <c:v>18.058148148148145</c:v>
                </c:pt>
                <c:pt idx="175">
                  <c:v>18.054320987654318</c:v>
                </c:pt>
                <c:pt idx="176">
                  <c:v>18.046790123456791</c:v>
                </c:pt>
                <c:pt idx="177">
                  <c:v>18.046790123456791</c:v>
                </c:pt>
                <c:pt idx="178">
                  <c:v>18.031728395061727</c:v>
                </c:pt>
                <c:pt idx="179">
                  <c:v>18.020493827160493</c:v>
                </c:pt>
                <c:pt idx="180">
                  <c:v>18.009135802469135</c:v>
                </c:pt>
                <c:pt idx="181">
                  <c:v>18.001604938271605</c:v>
                </c:pt>
                <c:pt idx="182">
                  <c:v>18.005432098765432</c:v>
                </c:pt>
                <c:pt idx="183">
                  <c:v>17.997777777777777</c:v>
                </c:pt>
                <c:pt idx="184">
                  <c:v>17.997777777777777</c:v>
                </c:pt>
                <c:pt idx="185">
                  <c:v>17.997777777777777</c:v>
                </c:pt>
                <c:pt idx="186">
                  <c:v>17.990246913580243</c:v>
                </c:pt>
                <c:pt idx="187">
                  <c:v>17.990246913580243</c:v>
                </c:pt>
                <c:pt idx="188">
                  <c:v>17.982716049382717</c:v>
                </c:pt>
                <c:pt idx="189">
                  <c:v>17.975185185185186</c:v>
                </c:pt>
                <c:pt idx="190">
                  <c:v>17.971481481481479</c:v>
                </c:pt>
                <c:pt idx="191">
                  <c:v>17.967654320987652</c:v>
                </c:pt>
                <c:pt idx="192">
                  <c:v>17.956419753086422</c:v>
                </c:pt>
                <c:pt idx="193">
                  <c:v>17.952592592592595</c:v>
                </c:pt>
                <c:pt idx="194">
                  <c:v>17.941358024691358</c:v>
                </c:pt>
                <c:pt idx="195">
                  <c:v>17.948888888888888</c:v>
                </c:pt>
                <c:pt idx="196">
                  <c:v>17.948888888888888</c:v>
                </c:pt>
                <c:pt idx="197">
                  <c:v>17.93753086419753</c:v>
                </c:pt>
                <c:pt idx="198">
                  <c:v>17.933827160493827</c:v>
                </c:pt>
                <c:pt idx="199">
                  <c:v>17.926296296296293</c:v>
                </c:pt>
                <c:pt idx="200">
                  <c:v>17.914938271604939</c:v>
                </c:pt>
                <c:pt idx="201">
                  <c:v>17.896049382716047</c:v>
                </c:pt>
                <c:pt idx="202">
                  <c:v>17.888518518518516</c:v>
                </c:pt>
                <c:pt idx="203">
                  <c:v>17.888518518518516</c:v>
                </c:pt>
                <c:pt idx="204">
                  <c:v>17.877283950617283</c:v>
                </c:pt>
                <c:pt idx="205">
                  <c:v>17.865925925925925</c:v>
                </c:pt>
                <c:pt idx="206">
                  <c:v>17.862222222222222</c:v>
                </c:pt>
                <c:pt idx="207">
                  <c:v>17.858395061728395</c:v>
                </c:pt>
                <c:pt idx="208">
                  <c:v>17.847160493827161</c:v>
                </c:pt>
                <c:pt idx="209">
                  <c:v>17.832098765432097</c:v>
                </c:pt>
                <c:pt idx="210">
                  <c:v>17.828271604938269</c:v>
                </c:pt>
                <c:pt idx="211">
                  <c:v>17.820740740740739</c:v>
                </c:pt>
                <c:pt idx="212">
                  <c:v>17.817037037037036</c:v>
                </c:pt>
                <c:pt idx="213">
                  <c:v>17.809506172839505</c:v>
                </c:pt>
                <c:pt idx="214">
                  <c:v>17.794444444444444</c:v>
                </c:pt>
                <c:pt idx="215">
                  <c:v>17.779259259259259</c:v>
                </c:pt>
                <c:pt idx="216">
                  <c:v>17.768024691358022</c:v>
                </c:pt>
                <c:pt idx="217">
                  <c:v>17.771728395061729</c:v>
                </c:pt>
                <c:pt idx="218">
                  <c:v>17.768024691358022</c:v>
                </c:pt>
                <c:pt idx="219">
                  <c:v>17.764197530864198</c:v>
                </c:pt>
                <c:pt idx="220">
                  <c:v>17.749135802469137</c:v>
                </c:pt>
                <c:pt idx="221">
                  <c:v>17.73037037037037</c:v>
                </c:pt>
                <c:pt idx="222">
                  <c:v>17.719012345679008</c:v>
                </c:pt>
                <c:pt idx="223">
                  <c:v>17.707777777777778</c:v>
                </c:pt>
                <c:pt idx="224">
                  <c:v>17.69641975308642</c:v>
                </c:pt>
                <c:pt idx="225">
                  <c:v>17.685185185185183</c:v>
                </c:pt>
                <c:pt idx="226">
                  <c:v>17.673827160493826</c:v>
                </c:pt>
                <c:pt idx="227">
                  <c:v>17.666296296296295</c:v>
                </c:pt>
                <c:pt idx="228">
                  <c:v>17.651234567901231</c:v>
                </c:pt>
                <c:pt idx="229">
                  <c:v>17.647407407407407</c:v>
                </c:pt>
                <c:pt idx="230">
                  <c:v>17.636172839506173</c:v>
                </c:pt>
                <c:pt idx="231">
                  <c:v>17.621111111111112</c:v>
                </c:pt>
                <c:pt idx="232">
                  <c:v>17.606049382716048</c:v>
                </c:pt>
                <c:pt idx="233">
                  <c:v>17.598518518518517</c:v>
                </c:pt>
                <c:pt idx="234">
                  <c:v>17.606049382716048</c:v>
                </c:pt>
                <c:pt idx="235">
                  <c:v>17.60222222222222</c:v>
                </c:pt>
                <c:pt idx="236">
                  <c:v>17.60222222222222</c:v>
                </c:pt>
                <c:pt idx="237">
                  <c:v>17.590987654320987</c:v>
                </c:pt>
                <c:pt idx="238">
                  <c:v>17.579629629629629</c:v>
                </c:pt>
                <c:pt idx="239">
                  <c:v>17.575925925925926</c:v>
                </c:pt>
                <c:pt idx="240">
                  <c:v>17.572098765432099</c:v>
                </c:pt>
                <c:pt idx="241">
                  <c:v>17.560740740740737</c:v>
                </c:pt>
                <c:pt idx="242">
                  <c:v>17.541975308641973</c:v>
                </c:pt>
                <c:pt idx="243">
                  <c:v>17.523086419753085</c:v>
                </c:pt>
                <c:pt idx="244">
                  <c:v>17.508024691358024</c:v>
                </c:pt>
                <c:pt idx="245">
                  <c:v>17.492962962962959</c:v>
                </c:pt>
                <c:pt idx="246">
                  <c:v>17.481728395061729</c:v>
                </c:pt>
                <c:pt idx="247">
                  <c:v>17.470370370370368</c:v>
                </c:pt>
                <c:pt idx="248">
                  <c:v>17.45901234567901</c:v>
                </c:pt>
                <c:pt idx="249">
                  <c:v>17.447777777777777</c:v>
                </c:pt>
                <c:pt idx="250">
                  <c:v>17.436419753086419</c:v>
                </c:pt>
                <c:pt idx="251">
                  <c:v>17.436419753086419</c:v>
                </c:pt>
                <c:pt idx="252">
                  <c:v>17.421358024691358</c:v>
                </c:pt>
                <c:pt idx="253">
                  <c:v>17.413827160493828</c:v>
                </c:pt>
                <c:pt idx="254">
                  <c:v>17.410123456790124</c:v>
                </c:pt>
                <c:pt idx="255">
                  <c:v>17.40259259259259</c:v>
                </c:pt>
                <c:pt idx="256">
                  <c:v>17.387530864197529</c:v>
                </c:pt>
                <c:pt idx="257">
                  <c:v>17.357283950617283</c:v>
                </c:pt>
                <c:pt idx="258">
                  <c:v>17.338518518518516</c:v>
                </c:pt>
                <c:pt idx="259">
                  <c:v>17.330987654320985</c:v>
                </c:pt>
                <c:pt idx="260">
                  <c:v>17.323456790123455</c:v>
                </c:pt>
                <c:pt idx="261">
                  <c:v>17.308395061728394</c:v>
                </c:pt>
                <c:pt idx="262">
                  <c:v>17.289506172839506</c:v>
                </c:pt>
                <c:pt idx="263">
                  <c:v>17.270740740740738</c:v>
                </c:pt>
                <c:pt idx="264">
                  <c:v>17.255679012345677</c:v>
                </c:pt>
                <c:pt idx="265">
                  <c:v>17.236790123456789</c:v>
                </c:pt>
                <c:pt idx="266">
                  <c:v>17.21037037037037</c:v>
                </c:pt>
                <c:pt idx="267">
                  <c:v>17.187777777777779</c:v>
                </c:pt>
                <c:pt idx="268">
                  <c:v>17.165185185185184</c:v>
                </c:pt>
                <c:pt idx="269">
                  <c:v>17.142592592592592</c:v>
                </c:pt>
                <c:pt idx="270">
                  <c:v>17.127530864197528</c:v>
                </c:pt>
                <c:pt idx="271">
                  <c:v>17.11617283950617</c:v>
                </c:pt>
                <c:pt idx="272">
                  <c:v>17.104938271604937</c:v>
                </c:pt>
                <c:pt idx="273">
                  <c:v>17.086049382716048</c:v>
                </c:pt>
                <c:pt idx="274">
                  <c:v>17.070987654320987</c:v>
                </c:pt>
                <c:pt idx="275">
                  <c:v>17.048395061728392</c:v>
                </c:pt>
                <c:pt idx="276">
                  <c:v>17.029506172839504</c:v>
                </c:pt>
                <c:pt idx="277">
                  <c:v>17.014444444444443</c:v>
                </c:pt>
                <c:pt idx="278">
                  <c:v>16.991851851851852</c:v>
                </c:pt>
                <c:pt idx="279">
                  <c:v>16.973086419753084</c:v>
                </c:pt>
                <c:pt idx="280">
                  <c:v>16.954197530864196</c:v>
                </c:pt>
                <c:pt idx="281">
                  <c:v>16.927777777777777</c:v>
                </c:pt>
                <c:pt idx="282">
                  <c:v>16.901481481481479</c:v>
                </c:pt>
                <c:pt idx="283">
                  <c:v>16.878888888888888</c:v>
                </c:pt>
                <c:pt idx="284">
                  <c:v>16.852469135802469</c:v>
                </c:pt>
                <c:pt idx="285">
                  <c:v>16.822345679012344</c:v>
                </c:pt>
                <c:pt idx="286">
                  <c:v>16.795925925925925</c:v>
                </c:pt>
                <c:pt idx="287">
                  <c:v>16.76962962962963</c:v>
                </c:pt>
                <c:pt idx="288">
                  <c:v>16.739506172839505</c:v>
                </c:pt>
                <c:pt idx="289">
                  <c:v>16.709259259259255</c:v>
                </c:pt>
                <c:pt idx="290">
                  <c:v>16.679135802469133</c:v>
                </c:pt>
                <c:pt idx="291">
                  <c:v>16.652839506172839</c:v>
                </c:pt>
                <c:pt idx="292">
                  <c:v>16.618888888888886</c:v>
                </c:pt>
                <c:pt idx="293">
                  <c:v>16.588765432098764</c:v>
                </c:pt>
                <c:pt idx="294">
                  <c:v>16.562345679012346</c:v>
                </c:pt>
                <c:pt idx="295">
                  <c:v>16.536049382716048</c:v>
                </c:pt>
                <c:pt idx="296">
                  <c:v>16.517160493827159</c:v>
                </c:pt>
                <c:pt idx="297">
                  <c:v>16.49074074074074</c:v>
                </c:pt>
                <c:pt idx="298">
                  <c:v>16.460617283950615</c:v>
                </c:pt>
                <c:pt idx="299">
                  <c:v>16.42679012345679</c:v>
                </c:pt>
                <c:pt idx="300">
                  <c:v>16.38901234567901</c:v>
                </c:pt>
                <c:pt idx="301">
                  <c:v>16.340123456790124</c:v>
                </c:pt>
                <c:pt idx="302">
                  <c:v>16.302469135802468</c:v>
                </c:pt>
                <c:pt idx="303">
                  <c:v>16.257160493827158</c:v>
                </c:pt>
                <c:pt idx="304">
                  <c:v>16.219506172839505</c:v>
                </c:pt>
                <c:pt idx="305">
                  <c:v>16.181851851851849</c:v>
                </c:pt>
                <c:pt idx="306">
                  <c:v>16.151728395061728</c:v>
                </c:pt>
                <c:pt idx="307">
                  <c:v>16.114074074074072</c:v>
                </c:pt>
                <c:pt idx="308">
                  <c:v>16.072592592592592</c:v>
                </c:pt>
                <c:pt idx="309">
                  <c:v>16.027407407407406</c:v>
                </c:pt>
                <c:pt idx="310">
                  <c:v>15.982222222222221</c:v>
                </c:pt>
                <c:pt idx="311">
                  <c:v>15.936913580246911</c:v>
                </c:pt>
                <c:pt idx="312">
                  <c:v>15.880493827160493</c:v>
                </c:pt>
                <c:pt idx="313">
                  <c:v>15.839012345679013</c:v>
                </c:pt>
                <c:pt idx="314">
                  <c:v>15.801358024691359</c:v>
                </c:pt>
                <c:pt idx="315">
                  <c:v>15.740987654320987</c:v>
                </c:pt>
                <c:pt idx="316">
                  <c:v>15.692098765432098</c:v>
                </c:pt>
                <c:pt idx="317">
                  <c:v>15.628024691358023</c:v>
                </c:pt>
                <c:pt idx="318">
                  <c:v>15.571481481481479</c:v>
                </c:pt>
                <c:pt idx="319">
                  <c:v>15.511234567901234</c:v>
                </c:pt>
                <c:pt idx="320">
                  <c:v>15.443456790123456</c:v>
                </c:pt>
                <c:pt idx="321">
                  <c:v>15.371851851851853</c:v>
                </c:pt>
                <c:pt idx="322">
                  <c:v>15.300246913580246</c:v>
                </c:pt>
                <c:pt idx="323">
                  <c:v>15.228641975308641</c:v>
                </c:pt>
                <c:pt idx="324">
                  <c:v>15.160864197530863</c:v>
                </c:pt>
                <c:pt idx="325">
                  <c:v>15.08925925925926</c:v>
                </c:pt>
                <c:pt idx="326">
                  <c:v>14.995061728395061</c:v>
                </c:pt>
                <c:pt idx="327">
                  <c:v>14.919753086419753</c:v>
                </c:pt>
                <c:pt idx="328">
                  <c:v>14.82925925925926</c:v>
                </c:pt>
                <c:pt idx="329">
                  <c:v>14.738888888888887</c:v>
                </c:pt>
                <c:pt idx="330">
                  <c:v>14.644691358024689</c:v>
                </c:pt>
                <c:pt idx="331">
                  <c:v>14.535432098765432</c:v>
                </c:pt>
                <c:pt idx="332">
                  <c:v>14.422345679012347</c:v>
                </c:pt>
                <c:pt idx="333">
                  <c:v>14.298024691358025</c:v>
                </c:pt>
                <c:pt idx="334">
                  <c:v>14.17753086419753</c:v>
                </c:pt>
                <c:pt idx="335">
                  <c:v>14.049382716049381</c:v>
                </c:pt>
                <c:pt idx="336">
                  <c:v>13.913703703703703</c:v>
                </c:pt>
                <c:pt idx="337">
                  <c:v>13.770617283950616</c:v>
                </c:pt>
                <c:pt idx="338">
                  <c:v>13.627407407407405</c:v>
                </c:pt>
                <c:pt idx="339">
                  <c:v>13.472962962962963</c:v>
                </c:pt>
                <c:pt idx="340">
                  <c:v>13.310987654320988</c:v>
                </c:pt>
                <c:pt idx="341">
                  <c:v>13.145185185185186</c:v>
                </c:pt>
                <c:pt idx="342">
                  <c:v>12.97567901234568</c:v>
                </c:pt>
                <c:pt idx="343">
                  <c:v>12.790987654320988</c:v>
                </c:pt>
                <c:pt idx="344">
                  <c:v>12.591358024691356</c:v>
                </c:pt>
                <c:pt idx="345">
                  <c:v>12.365308641975307</c:v>
                </c:pt>
                <c:pt idx="346">
                  <c:v>12.142987654320986</c:v>
                </c:pt>
                <c:pt idx="347">
                  <c:v>11.886790123456787</c:v>
                </c:pt>
                <c:pt idx="348">
                  <c:v>11.641888888888888</c:v>
                </c:pt>
                <c:pt idx="349">
                  <c:v>11.374395061728395</c:v>
                </c:pt>
                <c:pt idx="350">
                  <c:v>11.080518518518518</c:v>
                </c:pt>
                <c:pt idx="351">
                  <c:v>10.752740740740741</c:v>
                </c:pt>
                <c:pt idx="352">
                  <c:v>10.424950617283951</c:v>
                </c:pt>
                <c:pt idx="353">
                  <c:v>10.051962962962962</c:v>
                </c:pt>
                <c:pt idx="354">
                  <c:v>9.6563703703703698</c:v>
                </c:pt>
                <c:pt idx="355">
                  <c:v>9.1967160493827151</c:v>
                </c:pt>
                <c:pt idx="356">
                  <c:v>8.7332962962962952</c:v>
                </c:pt>
                <c:pt idx="357">
                  <c:v>8.1983086419753075</c:v>
                </c:pt>
                <c:pt idx="358">
                  <c:v>7.6406913580246911</c:v>
                </c:pt>
                <c:pt idx="359">
                  <c:v>6.9926666666666657</c:v>
                </c:pt>
                <c:pt idx="360">
                  <c:v>6.2956666666666665</c:v>
                </c:pt>
                <c:pt idx="361">
                  <c:v>5.4773456790123465</c:v>
                </c:pt>
                <c:pt idx="362">
                  <c:v>4.587061728395061</c:v>
                </c:pt>
                <c:pt idx="363">
                  <c:v>3.5151728395061728</c:v>
                </c:pt>
                <c:pt idx="364">
                  <c:v>2.3374197530864196</c:v>
                </c:pt>
                <c:pt idx="365">
                  <c:v>0.81606296296296288</c:v>
                </c:pt>
                <c:pt idx="366">
                  <c:v>-0.88651728395061735</c:v>
                </c:pt>
                <c:pt idx="367">
                  <c:v>-3.0404567901234567</c:v>
                </c:pt>
                <c:pt idx="368">
                  <c:v>-5.5726543209876542</c:v>
                </c:pt>
                <c:pt idx="369">
                  <c:v>-8.6315802469135789</c:v>
                </c:pt>
                <c:pt idx="370">
                  <c:v>-12.173123456790123</c:v>
                </c:pt>
                <c:pt idx="371">
                  <c:v>-16.392839506172837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89F6-4B87-BA1D-73BAB01E4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324160"/>
        <c:axId val="63325696"/>
      </c:scatterChart>
      <c:valAx>
        <c:axId val="63324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3325696"/>
        <c:crosses val="autoZero"/>
        <c:crossBetween val="midCat"/>
      </c:valAx>
      <c:valAx>
        <c:axId val="6332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3324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'20221210T210000'!$AD$10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'20221210T210000'!$Y$11:$Y$500</c:f>
              <c:numCache>
                <c:formatCode>General</c:formatCode>
                <c:ptCount val="490"/>
                <c:pt idx="0">
                  <c:v>1.76498</c:v>
                </c:pt>
                <c:pt idx="1">
                  <c:v>1.7599499999999999</c:v>
                </c:pt>
                <c:pt idx="2">
                  <c:v>1.75491</c:v>
                </c:pt>
                <c:pt idx="3">
                  <c:v>1.7498800000000001</c:v>
                </c:pt>
                <c:pt idx="4">
                  <c:v>1.7448399999999999</c:v>
                </c:pt>
                <c:pt idx="5">
                  <c:v>1.7398100000000001</c:v>
                </c:pt>
                <c:pt idx="6">
                  <c:v>1.7347699999999999</c:v>
                </c:pt>
                <c:pt idx="7">
                  <c:v>1.7297400000000001</c:v>
                </c:pt>
                <c:pt idx="8">
                  <c:v>1.7246999999999999</c:v>
                </c:pt>
                <c:pt idx="9">
                  <c:v>1.71967</c:v>
                </c:pt>
                <c:pt idx="10">
                  <c:v>1.7146300000000001</c:v>
                </c:pt>
                <c:pt idx="11">
                  <c:v>1.7095899999999999</c:v>
                </c:pt>
                <c:pt idx="12">
                  <c:v>1.7045600000000001</c:v>
                </c:pt>
                <c:pt idx="13">
                  <c:v>1.6995199999999999</c:v>
                </c:pt>
                <c:pt idx="14">
                  <c:v>1.6944900000000001</c:v>
                </c:pt>
                <c:pt idx="15">
                  <c:v>1.6894499999999999</c:v>
                </c:pt>
                <c:pt idx="16">
                  <c:v>1.68442</c:v>
                </c:pt>
                <c:pt idx="17">
                  <c:v>1.6793800000000001</c:v>
                </c:pt>
                <c:pt idx="18">
                  <c:v>1.67435</c:v>
                </c:pt>
                <c:pt idx="19">
                  <c:v>1.6693100000000001</c:v>
                </c:pt>
                <c:pt idx="20">
                  <c:v>1.66428</c:v>
                </c:pt>
                <c:pt idx="21">
                  <c:v>1.65924</c:v>
                </c:pt>
                <c:pt idx="22">
                  <c:v>1.65421</c:v>
                </c:pt>
                <c:pt idx="23">
                  <c:v>1.64917</c:v>
                </c:pt>
                <c:pt idx="24">
                  <c:v>1.6441300000000001</c:v>
                </c:pt>
                <c:pt idx="25">
                  <c:v>1.6391</c:v>
                </c:pt>
                <c:pt idx="26">
                  <c:v>1.6340600000000001</c:v>
                </c:pt>
                <c:pt idx="27">
                  <c:v>1.62903</c:v>
                </c:pt>
                <c:pt idx="28">
                  <c:v>1.62399</c:v>
                </c:pt>
                <c:pt idx="29">
                  <c:v>1.61896</c:v>
                </c:pt>
                <c:pt idx="30">
                  <c:v>1.61392</c:v>
                </c:pt>
                <c:pt idx="31">
                  <c:v>1.6088899999999999</c:v>
                </c:pt>
                <c:pt idx="32">
                  <c:v>1.60385</c:v>
                </c:pt>
                <c:pt idx="33">
                  <c:v>1.5988199999999999</c:v>
                </c:pt>
                <c:pt idx="34">
                  <c:v>1.59378</c:v>
                </c:pt>
                <c:pt idx="35">
                  <c:v>1.5887500000000001</c:v>
                </c:pt>
                <c:pt idx="36">
                  <c:v>1.58371</c:v>
                </c:pt>
                <c:pt idx="37">
                  <c:v>1.57867</c:v>
                </c:pt>
                <c:pt idx="38">
                  <c:v>1.5736399999999999</c:v>
                </c:pt>
                <c:pt idx="39">
                  <c:v>1.5686</c:v>
                </c:pt>
                <c:pt idx="40">
                  <c:v>1.5635699999999999</c:v>
                </c:pt>
                <c:pt idx="41">
                  <c:v>1.55853</c:v>
                </c:pt>
                <c:pt idx="42">
                  <c:v>1.5535000000000001</c:v>
                </c:pt>
                <c:pt idx="43">
                  <c:v>1.5484599999999999</c:v>
                </c:pt>
                <c:pt idx="44">
                  <c:v>1.5434300000000001</c:v>
                </c:pt>
                <c:pt idx="45">
                  <c:v>1.5383899999999999</c:v>
                </c:pt>
                <c:pt idx="46">
                  <c:v>1.5333600000000001</c:v>
                </c:pt>
                <c:pt idx="47">
                  <c:v>1.5283199999999999</c:v>
                </c:pt>
                <c:pt idx="48">
                  <c:v>1.52328</c:v>
                </c:pt>
                <c:pt idx="49">
                  <c:v>1.5182500000000001</c:v>
                </c:pt>
                <c:pt idx="50">
                  <c:v>1.5132099999999999</c:v>
                </c:pt>
                <c:pt idx="51">
                  <c:v>1.5081800000000001</c:v>
                </c:pt>
                <c:pt idx="52">
                  <c:v>1.5031399999999999</c:v>
                </c:pt>
                <c:pt idx="53">
                  <c:v>1.4981100000000001</c:v>
                </c:pt>
                <c:pt idx="54">
                  <c:v>1.4930699999999999</c:v>
                </c:pt>
                <c:pt idx="55">
                  <c:v>1.48804</c:v>
                </c:pt>
                <c:pt idx="56">
                  <c:v>1.4830000000000001</c:v>
                </c:pt>
                <c:pt idx="57">
                  <c:v>1.47797</c:v>
                </c:pt>
                <c:pt idx="58">
                  <c:v>1.4729300000000001</c:v>
                </c:pt>
                <c:pt idx="59">
                  <c:v>1.4679</c:v>
                </c:pt>
                <c:pt idx="60">
                  <c:v>1.46286</c:v>
                </c:pt>
                <c:pt idx="61">
                  <c:v>1.4578199999999999</c:v>
                </c:pt>
                <c:pt idx="62">
                  <c:v>1.45279</c:v>
                </c:pt>
                <c:pt idx="63">
                  <c:v>1.4477500000000001</c:v>
                </c:pt>
                <c:pt idx="64">
                  <c:v>1.44272</c:v>
                </c:pt>
                <c:pt idx="65">
                  <c:v>1.4376800000000001</c:v>
                </c:pt>
                <c:pt idx="66">
                  <c:v>1.43265</c:v>
                </c:pt>
                <c:pt idx="67">
                  <c:v>1.42761</c:v>
                </c:pt>
                <c:pt idx="68">
                  <c:v>1.42258</c:v>
                </c:pt>
                <c:pt idx="69">
                  <c:v>1.41754</c:v>
                </c:pt>
                <c:pt idx="70">
                  <c:v>1.4125099999999999</c:v>
                </c:pt>
                <c:pt idx="71">
                  <c:v>1.40747</c:v>
                </c:pt>
                <c:pt idx="72">
                  <c:v>1.4024399999999999</c:v>
                </c:pt>
                <c:pt idx="73">
                  <c:v>1.3974</c:v>
                </c:pt>
                <c:pt idx="74">
                  <c:v>1.39236</c:v>
                </c:pt>
                <c:pt idx="75">
                  <c:v>1.38733</c:v>
                </c:pt>
                <c:pt idx="76">
                  <c:v>1.38229</c:v>
                </c:pt>
                <c:pt idx="77">
                  <c:v>1.3772599999999999</c:v>
                </c:pt>
                <c:pt idx="78">
                  <c:v>1.37222</c:v>
                </c:pt>
                <c:pt idx="79">
                  <c:v>1.3671899999999999</c:v>
                </c:pt>
                <c:pt idx="80">
                  <c:v>1.36215</c:v>
                </c:pt>
                <c:pt idx="81">
                  <c:v>1.3571200000000001</c:v>
                </c:pt>
                <c:pt idx="82">
                  <c:v>1.3520799999999999</c:v>
                </c:pt>
                <c:pt idx="83">
                  <c:v>1.3470500000000001</c:v>
                </c:pt>
                <c:pt idx="84">
                  <c:v>1.3420099999999999</c:v>
                </c:pt>
                <c:pt idx="85">
                  <c:v>1.3369800000000001</c:v>
                </c:pt>
                <c:pt idx="86">
                  <c:v>1.3319399999999999</c:v>
                </c:pt>
                <c:pt idx="87">
                  <c:v>1.3269</c:v>
                </c:pt>
                <c:pt idx="88">
                  <c:v>1.3218700000000001</c:v>
                </c:pt>
                <c:pt idx="89">
                  <c:v>1.3168299999999999</c:v>
                </c:pt>
                <c:pt idx="90">
                  <c:v>1.3118000000000001</c:v>
                </c:pt>
                <c:pt idx="91">
                  <c:v>1.3067599999999999</c:v>
                </c:pt>
                <c:pt idx="92">
                  <c:v>1.3017300000000001</c:v>
                </c:pt>
                <c:pt idx="93">
                  <c:v>1.2966899999999999</c:v>
                </c:pt>
                <c:pt idx="94">
                  <c:v>1.29166</c:v>
                </c:pt>
                <c:pt idx="95">
                  <c:v>1.2866200000000001</c:v>
                </c:pt>
                <c:pt idx="96">
                  <c:v>1.28159</c:v>
                </c:pt>
                <c:pt idx="97">
                  <c:v>1.2765500000000001</c:v>
                </c:pt>
                <c:pt idx="98">
                  <c:v>1.2715099999999999</c:v>
                </c:pt>
                <c:pt idx="99">
                  <c:v>1.2664800000000001</c:v>
                </c:pt>
                <c:pt idx="100">
                  <c:v>1.2614399999999999</c:v>
                </c:pt>
                <c:pt idx="101">
                  <c:v>1.25641</c:v>
                </c:pt>
                <c:pt idx="102">
                  <c:v>1.2513700000000001</c:v>
                </c:pt>
                <c:pt idx="103">
                  <c:v>1.24634</c:v>
                </c:pt>
                <c:pt idx="104">
                  <c:v>1.2413000000000001</c:v>
                </c:pt>
                <c:pt idx="105">
                  <c:v>1.23627</c:v>
                </c:pt>
                <c:pt idx="106">
                  <c:v>1.23123</c:v>
                </c:pt>
                <c:pt idx="107">
                  <c:v>1.2262</c:v>
                </c:pt>
                <c:pt idx="108">
                  <c:v>1.22116</c:v>
                </c:pt>
                <c:pt idx="109">
                  <c:v>1.2161299999999999</c:v>
                </c:pt>
                <c:pt idx="110">
                  <c:v>1.21109</c:v>
                </c:pt>
                <c:pt idx="111">
                  <c:v>1.2060500000000001</c:v>
                </c:pt>
                <c:pt idx="112">
                  <c:v>1.20102</c:v>
                </c:pt>
                <c:pt idx="113">
                  <c:v>1.19598</c:v>
                </c:pt>
                <c:pt idx="114">
                  <c:v>1.19095</c:v>
                </c:pt>
                <c:pt idx="115">
                  <c:v>1.18591</c:v>
                </c:pt>
                <c:pt idx="116">
                  <c:v>1.1808799999999999</c:v>
                </c:pt>
                <c:pt idx="117">
                  <c:v>1.17584</c:v>
                </c:pt>
                <c:pt idx="118">
                  <c:v>1.1708099999999999</c:v>
                </c:pt>
                <c:pt idx="119">
                  <c:v>1.16577</c:v>
                </c:pt>
                <c:pt idx="120">
                  <c:v>1.1607400000000001</c:v>
                </c:pt>
                <c:pt idx="121">
                  <c:v>1.1556999999999999</c:v>
                </c:pt>
                <c:pt idx="122">
                  <c:v>1.1506700000000001</c:v>
                </c:pt>
                <c:pt idx="123">
                  <c:v>1.1456299999999999</c:v>
                </c:pt>
                <c:pt idx="124">
                  <c:v>1.14059</c:v>
                </c:pt>
                <c:pt idx="125">
                  <c:v>1.1355599999999999</c:v>
                </c:pt>
                <c:pt idx="126">
                  <c:v>1.13052</c:v>
                </c:pt>
                <c:pt idx="127">
                  <c:v>1.1254900000000001</c:v>
                </c:pt>
                <c:pt idx="128">
                  <c:v>1.1204499999999999</c:v>
                </c:pt>
                <c:pt idx="129">
                  <c:v>1.1154200000000001</c:v>
                </c:pt>
                <c:pt idx="130">
                  <c:v>1.1103799999999999</c:v>
                </c:pt>
                <c:pt idx="131">
                  <c:v>1.1053500000000001</c:v>
                </c:pt>
                <c:pt idx="132">
                  <c:v>1.1003099999999999</c:v>
                </c:pt>
                <c:pt idx="133">
                  <c:v>1.09528</c:v>
                </c:pt>
                <c:pt idx="134">
                  <c:v>1.0902400000000001</c:v>
                </c:pt>
                <c:pt idx="135">
                  <c:v>1.08521</c:v>
                </c:pt>
                <c:pt idx="136">
                  <c:v>1.0801700000000001</c:v>
                </c:pt>
                <c:pt idx="137">
                  <c:v>1.0751299999999999</c:v>
                </c:pt>
                <c:pt idx="138">
                  <c:v>1.0701000000000001</c:v>
                </c:pt>
                <c:pt idx="139">
                  <c:v>1.0650599999999999</c:v>
                </c:pt>
                <c:pt idx="140">
                  <c:v>1.06003</c:v>
                </c:pt>
                <c:pt idx="141">
                  <c:v>1.0549900000000001</c:v>
                </c:pt>
                <c:pt idx="142">
                  <c:v>1.04996</c:v>
                </c:pt>
                <c:pt idx="143">
                  <c:v>1.0449200000000001</c:v>
                </c:pt>
                <c:pt idx="144">
                  <c:v>1.03989</c:v>
                </c:pt>
                <c:pt idx="145">
                  <c:v>1.03485</c:v>
                </c:pt>
                <c:pt idx="146">
                  <c:v>1.02982</c:v>
                </c:pt>
                <c:pt idx="147">
                  <c:v>1.02478</c:v>
                </c:pt>
                <c:pt idx="148">
                  <c:v>1.0197400000000001</c:v>
                </c:pt>
                <c:pt idx="149">
                  <c:v>1.01471</c:v>
                </c:pt>
                <c:pt idx="150">
                  <c:v>1.0096700000000001</c:v>
                </c:pt>
                <c:pt idx="151">
                  <c:v>1.00464</c:v>
                </c:pt>
                <c:pt idx="152">
                  <c:v>0.99960300000000002</c:v>
                </c:pt>
                <c:pt idx="153">
                  <c:v>0.99456800000000001</c:v>
                </c:pt>
                <c:pt idx="154">
                  <c:v>0.98953199999999997</c:v>
                </c:pt>
                <c:pt idx="155">
                  <c:v>0.98449699999999996</c:v>
                </c:pt>
                <c:pt idx="156">
                  <c:v>0.97946200000000005</c:v>
                </c:pt>
                <c:pt idx="157">
                  <c:v>0.97442600000000001</c:v>
                </c:pt>
                <c:pt idx="158">
                  <c:v>0.969391</c:v>
                </c:pt>
                <c:pt idx="159">
                  <c:v>0.96435499999999996</c:v>
                </c:pt>
                <c:pt idx="160">
                  <c:v>0.95931999999999995</c:v>
                </c:pt>
                <c:pt idx="161">
                  <c:v>0.95428500000000005</c:v>
                </c:pt>
                <c:pt idx="162">
                  <c:v>0.94924900000000001</c:v>
                </c:pt>
                <c:pt idx="163">
                  <c:v>0.944214</c:v>
                </c:pt>
                <c:pt idx="164">
                  <c:v>0.93917799999999996</c:v>
                </c:pt>
                <c:pt idx="165">
                  <c:v>0.93414299999999995</c:v>
                </c:pt>
                <c:pt idx="166">
                  <c:v>0.92910800000000004</c:v>
                </c:pt>
                <c:pt idx="167">
                  <c:v>0.924072</c:v>
                </c:pt>
                <c:pt idx="168">
                  <c:v>0.91903699999999999</c:v>
                </c:pt>
                <c:pt idx="169">
                  <c:v>0.91400099999999995</c:v>
                </c:pt>
                <c:pt idx="170">
                  <c:v>0.90896600000000005</c:v>
                </c:pt>
                <c:pt idx="171">
                  <c:v>0.90393100000000004</c:v>
                </c:pt>
                <c:pt idx="172">
                  <c:v>0.898895</c:v>
                </c:pt>
                <c:pt idx="173">
                  <c:v>0.89385999999999999</c:v>
                </c:pt>
                <c:pt idx="174">
                  <c:v>0.88882399999999995</c:v>
                </c:pt>
                <c:pt idx="175">
                  <c:v>0.88378900000000005</c:v>
                </c:pt>
                <c:pt idx="176">
                  <c:v>0.87875400000000004</c:v>
                </c:pt>
                <c:pt idx="177">
                  <c:v>0.87371799999999999</c:v>
                </c:pt>
                <c:pt idx="178">
                  <c:v>0.86868299999999998</c:v>
                </c:pt>
                <c:pt idx="179">
                  <c:v>0.86364700000000005</c:v>
                </c:pt>
                <c:pt idx="180">
                  <c:v>0.85861200000000004</c:v>
                </c:pt>
                <c:pt idx="181">
                  <c:v>0.85357700000000003</c:v>
                </c:pt>
                <c:pt idx="182">
                  <c:v>0.84854099999999999</c:v>
                </c:pt>
                <c:pt idx="183">
                  <c:v>0.84350599999999998</c:v>
                </c:pt>
                <c:pt idx="184">
                  <c:v>0.83847000000000005</c:v>
                </c:pt>
                <c:pt idx="185">
                  <c:v>0.83343500000000004</c:v>
                </c:pt>
                <c:pt idx="186">
                  <c:v>0.82840000000000003</c:v>
                </c:pt>
                <c:pt idx="187">
                  <c:v>0.82336399999999998</c:v>
                </c:pt>
                <c:pt idx="188">
                  <c:v>0.81832899999999997</c:v>
                </c:pt>
                <c:pt idx="189">
                  <c:v>0.81329300000000004</c:v>
                </c:pt>
                <c:pt idx="190">
                  <c:v>0.80825800000000003</c:v>
                </c:pt>
                <c:pt idx="191">
                  <c:v>0.80322300000000002</c:v>
                </c:pt>
                <c:pt idx="192">
                  <c:v>0.79818699999999998</c:v>
                </c:pt>
                <c:pt idx="193">
                  <c:v>0.79315199999999997</c:v>
                </c:pt>
                <c:pt idx="194">
                  <c:v>0.78811600000000004</c:v>
                </c:pt>
                <c:pt idx="195">
                  <c:v>0.78308100000000003</c:v>
                </c:pt>
                <c:pt idx="196">
                  <c:v>0.77804600000000002</c:v>
                </c:pt>
                <c:pt idx="197">
                  <c:v>0.77300999999999997</c:v>
                </c:pt>
                <c:pt idx="198">
                  <c:v>0.76797499999999996</c:v>
                </c:pt>
                <c:pt idx="199">
                  <c:v>0.76293900000000003</c:v>
                </c:pt>
                <c:pt idx="200">
                  <c:v>0.75790400000000002</c:v>
                </c:pt>
                <c:pt idx="201">
                  <c:v>0.75286900000000001</c:v>
                </c:pt>
                <c:pt idx="202">
                  <c:v>0.74783299999999997</c:v>
                </c:pt>
                <c:pt idx="203">
                  <c:v>0.74279799999999996</c:v>
                </c:pt>
                <c:pt idx="204">
                  <c:v>0.73776200000000003</c:v>
                </c:pt>
                <c:pt idx="205">
                  <c:v>0.73272700000000002</c:v>
                </c:pt>
                <c:pt idx="206">
                  <c:v>0.72769200000000001</c:v>
                </c:pt>
                <c:pt idx="207">
                  <c:v>0.72265599999999997</c:v>
                </c:pt>
                <c:pt idx="208">
                  <c:v>0.71762099999999995</c:v>
                </c:pt>
                <c:pt idx="209">
                  <c:v>0.71258500000000002</c:v>
                </c:pt>
                <c:pt idx="210">
                  <c:v>0.70755000000000001</c:v>
                </c:pt>
                <c:pt idx="211">
                  <c:v>0.702515</c:v>
                </c:pt>
                <c:pt idx="212">
                  <c:v>0.69747899999999996</c:v>
                </c:pt>
                <c:pt idx="213">
                  <c:v>0.69244399999999995</c:v>
                </c:pt>
                <c:pt idx="214">
                  <c:v>0.68740800000000002</c:v>
                </c:pt>
                <c:pt idx="215">
                  <c:v>0.68237300000000001</c:v>
                </c:pt>
                <c:pt idx="216">
                  <c:v>0.677338</c:v>
                </c:pt>
                <c:pt idx="217">
                  <c:v>0.67230199999999996</c:v>
                </c:pt>
                <c:pt idx="218">
                  <c:v>0.66726700000000005</c:v>
                </c:pt>
                <c:pt idx="219">
                  <c:v>0.66223100000000001</c:v>
                </c:pt>
                <c:pt idx="220">
                  <c:v>0.657196</c:v>
                </c:pt>
                <c:pt idx="221">
                  <c:v>0.65216099999999999</c:v>
                </c:pt>
                <c:pt idx="222">
                  <c:v>0.64712499999999995</c:v>
                </c:pt>
                <c:pt idx="223">
                  <c:v>0.64209000000000005</c:v>
                </c:pt>
                <c:pt idx="224">
                  <c:v>0.63705400000000001</c:v>
                </c:pt>
                <c:pt idx="225">
                  <c:v>0.632019</c:v>
                </c:pt>
                <c:pt idx="226">
                  <c:v>0.62698399999999999</c:v>
                </c:pt>
                <c:pt idx="227">
                  <c:v>0.62194799999999995</c:v>
                </c:pt>
                <c:pt idx="228">
                  <c:v>0.61691300000000004</c:v>
                </c:pt>
                <c:pt idx="229">
                  <c:v>0.611877</c:v>
                </c:pt>
                <c:pt idx="230">
                  <c:v>0.60684199999999999</c:v>
                </c:pt>
                <c:pt idx="231">
                  <c:v>0.60180699999999998</c:v>
                </c:pt>
                <c:pt idx="232">
                  <c:v>0.59677100000000005</c:v>
                </c:pt>
                <c:pt idx="233">
                  <c:v>0.59173600000000004</c:v>
                </c:pt>
                <c:pt idx="234">
                  <c:v>0.5867</c:v>
                </c:pt>
                <c:pt idx="235">
                  <c:v>0.58166499999999999</c:v>
                </c:pt>
                <c:pt idx="236">
                  <c:v>0.57662999999999998</c:v>
                </c:pt>
                <c:pt idx="237">
                  <c:v>0.57159400000000005</c:v>
                </c:pt>
                <c:pt idx="238">
                  <c:v>0.56655900000000003</c:v>
                </c:pt>
                <c:pt idx="239">
                  <c:v>0.56152299999999999</c:v>
                </c:pt>
                <c:pt idx="240">
                  <c:v>0.55648799999999998</c:v>
                </c:pt>
                <c:pt idx="241">
                  <c:v>0.55145299999999997</c:v>
                </c:pt>
                <c:pt idx="242">
                  <c:v>0.54641700000000004</c:v>
                </c:pt>
                <c:pt idx="243">
                  <c:v>0.54138200000000003</c:v>
                </c:pt>
                <c:pt idx="244">
                  <c:v>0.53634599999999999</c:v>
                </c:pt>
                <c:pt idx="245">
                  <c:v>0.53131099999999998</c:v>
                </c:pt>
                <c:pt idx="246">
                  <c:v>0.52627599999999997</c:v>
                </c:pt>
                <c:pt idx="247">
                  <c:v>0.52124000000000004</c:v>
                </c:pt>
                <c:pt idx="248">
                  <c:v>0.51620500000000002</c:v>
                </c:pt>
                <c:pt idx="249">
                  <c:v>0.51116899999999998</c:v>
                </c:pt>
                <c:pt idx="250">
                  <c:v>0.50613399999999997</c:v>
                </c:pt>
                <c:pt idx="251">
                  <c:v>0.50109899999999996</c:v>
                </c:pt>
                <c:pt idx="252">
                  <c:v>0.49606299999999998</c:v>
                </c:pt>
                <c:pt idx="253">
                  <c:v>0.49102800000000002</c:v>
                </c:pt>
                <c:pt idx="254">
                  <c:v>0.48599199999999998</c:v>
                </c:pt>
                <c:pt idx="255">
                  <c:v>0.48095700000000002</c:v>
                </c:pt>
                <c:pt idx="256">
                  <c:v>0.47592200000000001</c:v>
                </c:pt>
                <c:pt idx="257">
                  <c:v>0.47088600000000003</c:v>
                </c:pt>
                <c:pt idx="258">
                  <c:v>0.46585100000000002</c:v>
                </c:pt>
                <c:pt idx="259">
                  <c:v>0.46081499999999997</c:v>
                </c:pt>
                <c:pt idx="260">
                  <c:v>0.45578000000000002</c:v>
                </c:pt>
                <c:pt idx="261">
                  <c:v>0.45074500000000001</c:v>
                </c:pt>
                <c:pt idx="262">
                  <c:v>0.44570900000000002</c:v>
                </c:pt>
                <c:pt idx="263">
                  <c:v>0.44067400000000001</c:v>
                </c:pt>
                <c:pt idx="264">
                  <c:v>0.43563800000000003</c:v>
                </c:pt>
                <c:pt idx="265">
                  <c:v>0.43060300000000001</c:v>
                </c:pt>
                <c:pt idx="266">
                  <c:v>0.425568</c:v>
                </c:pt>
                <c:pt idx="267">
                  <c:v>0.42053200000000002</c:v>
                </c:pt>
                <c:pt idx="268">
                  <c:v>0.41549700000000001</c:v>
                </c:pt>
                <c:pt idx="269">
                  <c:v>0.41046100000000002</c:v>
                </c:pt>
                <c:pt idx="270">
                  <c:v>0.40542600000000001</c:v>
                </c:pt>
                <c:pt idx="271">
                  <c:v>0.400391</c:v>
                </c:pt>
                <c:pt idx="272">
                  <c:v>0.39535500000000001</c:v>
                </c:pt>
                <c:pt idx="273">
                  <c:v>0.39032</c:v>
                </c:pt>
                <c:pt idx="274">
                  <c:v>0.38528400000000002</c:v>
                </c:pt>
                <c:pt idx="275">
                  <c:v>0.380249</c:v>
                </c:pt>
                <c:pt idx="276">
                  <c:v>0.37521399999999999</c:v>
                </c:pt>
                <c:pt idx="277">
                  <c:v>0.37017800000000001</c:v>
                </c:pt>
                <c:pt idx="278">
                  <c:v>0.365143</c:v>
                </c:pt>
                <c:pt idx="279">
                  <c:v>0.36010700000000001</c:v>
                </c:pt>
                <c:pt idx="280">
                  <c:v>0.355072</c:v>
                </c:pt>
                <c:pt idx="281">
                  <c:v>0.35003699999999999</c:v>
                </c:pt>
                <c:pt idx="282">
                  <c:v>0.345001</c:v>
                </c:pt>
                <c:pt idx="283">
                  <c:v>0.33996599999999999</c:v>
                </c:pt>
                <c:pt idx="284">
                  <c:v>0.33493000000000001</c:v>
                </c:pt>
                <c:pt idx="285">
                  <c:v>0.32989499999999999</c:v>
                </c:pt>
                <c:pt idx="286">
                  <c:v>0.32485999999999998</c:v>
                </c:pt>
                <c:pt idx="287">
                  <c:v>0.319824</c:v>
                </c:pt>
                <c:pt idx="288">
                  <c:v>0.31478899999999999</c:v>
                </c:pt>
                <c:pt idx="289">
                  <c:v>0.309753</c:v>
                </c:pt>
                <c:pt idx="290">
                  <c:v>0.30471799999999999</c:v>
                </c:pt>
                <c:pt idx="291">
                  <c:v>0.29968299999999998</c:v>
                </c:pt>
                <c:pt idx="292">
                  <c:v>0.29464699999999999</c:v>
                </c:pt>
                <c:pt idx="293">
                  <c:v>0.28961199999999998</c:v>
                </c:pt>
                <c:pt idx="294">
                  <c:v>0.284576</c:v>
                </c:pt>
                <c:pt idx="295">
                  <c:v>0.27954099999999998</c:v>
                </c:pt>
                <c:pt idx="296">
                  <c:v>0.27450600000000003</c:v>
                </c:pt>
                <c:pt idx="297">
                  <c:v>0.26946999999999999</c:v>
                </c:pt>
                <c:pt idx="298">
                  <c:v>0.26443499999999998</c:v>
                </c:pt>
                <c:pt idx="299">
                  <c:v>0.25939899999999999</c:v>
                </c:pt>
                <c:pt idx="300">
                  <c:v>0.25436399999999998</c:v>
                </c:pt>
                <c:pt idx="301">
                  <c:v>0.249329</c:v>
                </c:pt>
                <c:pt idx="302">
                  <c:v>0.24429300000000001</c:v>
                </c:pt>
                <c:pt idx="303">
                  <c:v>0.239258</c:v>
                </c:pt>
                <c:pt idx="304">
                  <c:v>0.23422200000000001</c:v>
                </c:pt>
                <c:pt idx="305">
                  <c:v>0.229187</c:v>
                </c:pt>
                <c:pt idx="306">
                  <c:v>0.22415199999999999</c:v>
                </c:pt>
                <c:pt idx="307">
                  <c:v>0.21911600000000001</c:v>
                </c:pt>
                <c:pt idx="308">
                  <c:v>0.21408099999999999</c:v>
                </c:pt>
                <c:pt idx="309">
                  <c:v>0.20904500000000001</c:v>
                </c:pt>
                <c:pt idx="310">
                  <c:v>0.20401</c:v>
                </c:pt>
                <c:pt idx="311">
                  <c:v>0.19897500000000001</c:v>
                </c:pt>
                <c:pt idx="312">
                  <c:v>0.193939</c:v>
                </c:pt>
                <c:pt idx="313">
                  <c:v>0.18890399999999999</c:v>
                </c:pt>
                <c:pt idx="314">
                  <c:v>0.183868</c:v>
                </c:pt>
                <c:pt idx="315">
                  <c:v>0.17883299999999999</c:v>
                </c:pt>
                <c:pt idx="316">
                  <c:v>0.17379800000000001</c:v>
                </c:pt>
                <c:pt idx="317">
                  <c:v>0.168762</c:v>
                </c:pt>
                <c:pt idx="318">
                  <c:v>0.16372700000000001</c:v>
                </c:pt>
                <c:pt idx="319">
                  <c:v>0.158691</c:v>
                </c:pt>
                <c:pt idx="320">
                  <c:v>0.15365599999999999</c:v>
                </c:pt>
                <c:pt idx="321">
                  <c:v>0.148621</c:v>
                </c:pt>
                <c:pt idx="322">
                  <c:v>0.14358499999999999</c:v>
                </c:pt>
                <c:pt idx="323">
                  <c:v>0.13855000000000001</c:v>
                </c:pt>
                <c:pt idx="324">
                  <c:v>0.13351399999999999</c:v>
                </c:pt>
                <c:pt idx="325">
                  <c:v>0.12847900000000001</c:v>
                </c:pt>
                <c:pt idx="326">
                  <c:v>0.123444</c:v>
                </c:pt>
                <c:pt idx="327">
                  <c:v>0.118408</c:v>
                </c:pt>
                <c:pt idx="328">
                  <c:v>0.113373</c:v>
                </c:pt>
                <c:pt idx="329">
                  <c:v>0.108337</c:v>
                </c:pt>
                <c:pt idx="330">
                  <c:v>0.103302</c:v>
                </c:pt>
                <c:pt idx="331">
                  <c:v>9.8266599999999996E-2</c:v>
                </c:pt>
                <c:pt idx="332">
                  <c:v>9.32312E-2</c:v>
                </c:pt>
                <c:pt idx="333">
                  <c:v>8.8195800000000005E-2</c:v>
                </c:pt>
                <c:pt idx="334">
                  <c:v>8.3160399999999995E-2</c:v>
                </c:pt>
                <c:pt idx="335">
                  <c:v>7.8125E-2</c:v>
                </c:pt>
                <c:pt idx="336">
                  <c:v>7.3089600000000005E-2</c:v>
                </c:pt>
                <c:pt idx="337">
                  <c:v>6.8054199999999995E-2</c:v>
                </c:pt>
                <c:pt idx="338">
                  <c:v>6.30188E-2</c:v>
                </c:pt>
                <c:pt idx="339">
                  <c:v>5.7983399999999997E-2</c:v>
                </c:pt>
                <c:pt idx="340">
                  <c:v>5.2948000000000002E-2</c:v>
                </c:pt>
                <c:pt idx="341">
                  <c:v>4.79126E-2</c:v>
                </c:pt>
                <c:pt idx="342">
                  <c:v>4.2877199999999997E-2</c:v>
                </c:pt>
                <c:pt idx="343">
                  <c:v>3.7841800000000002E-2</c:v>
                </c:pt>
                <c:pt idx="344">
                  <c:v>3.2806399999999999E-2</c:v>
                </c:pt>
                <c:pt idx="345">
                  <c:v>2.7771000000000001E-2</c:v>
                </c:pt>
                <c:pt idx="346">
                  <c:v>2.2735600000000002E-2</c:v>
                </c:pt>
                <c:pt idx="347">
                  <c:v>1.7700199999999999E-2</c:v>
                </c:pt>
                <c:pt idx="348">
                  <c:v>1.26648E-2</c:v>
                </c:pt>
                <c:pt idx="349">
                  <c:v>7.6293899999999998E-3</c:v>
                </c:pt>
                <c:pt idx="350">
                  <c:v>2.59399E-3</c:v>
                </c:pt>
                <c:pt idx="351">
                  <c:v>-2.4414100000000002E-3</c:v>
                </c:pt>
                <c:pt idx="352">
                  <c:v>-7.4768100000000004E-3</c:v>
                </c:pt>
                <c:pt idx="353">
                  <c:v>-1.2512199999999999E-2</c:v>
                </c:pt>
                <c:pt idx="354">
                  <c:v>-1.75476E-2</c:v>
                </c:pt>
                <c:pt idx="355">
                  <c:v>-2.2582999999999999E-2</c:v>
                </c:pt>
                <c:pt idx="356">
                  <c:v>-2.7618400000000001E-2</c:v>
                </c:pt>
                <c:pt idx="357">
                  <c:v>-3.2653799999999997E-2</c:v>
                </c:pt>
                <c:pt idx="358">
                  <c:v>-3.7689199999999999E-2</c:v>
                </c:pt>
                <c:pt idx="359">
                  <c:v>-4.2724600000000001E-2</c:v>
                </c:pt>
                <c:pt idx="360">
                  <c:v>-4.7759999999999997E-2</c:v>
                </c:pt>
                <c:pt idx="361">
                  <c:v>-5.2795399999999999E-2</c:v>
                </c:pt>
                <c:pt idx="362">
                  <c:v>-5.7830800000000002E-2</c:v>
                </c:pt>
                <c:pt idx="363">
                  <c:v>-6.2866199999999997E-2</c:v>
                </c:pt>
                <c:pt idx="364">
                  <c:v>-6.7901600000000006E-2</c:v>
                </c:pt>
                <c:pt idx="365">
                  <c:v>-7.2937000000000002E-2</c:v>
                </c:pt>
                <c:pt idx="366">
                  <c:v>-7.7972399999999997E-2</c:v>
                </c:pt>
                <c:pt idx="367">
                  <c:v>-8.3007800000000007E-2</c:v>
                </c:pt>
                <c:pt idx="368">
                  <c:v>-8.8043200000000002E-2</c:v>
                </c:pt>
                <c:pt idx="369">
                  <c:v>-9.3078599999999997E-2</c:v>
                </c:pt>
                <c:pt idx="370">
                  <c:v>-9.8114000000000007E-2</c:v>
                </c:pt>
                <c:pt idx="371">
                  <c:v>-0.103149</c:v>
                </c:pt>
              </c:numCache>
            </c:numRef>
          </c:xVal>
          <c:yVal>
            <c:numRef>
              <c:f>'20221210T210000'!$AD$11:$AD$500</c:f>
              <c:numCache>
                <c:formatCode>General</c:formatCode>
                <c:ptCount val="490"/>
                <c:pt idx="0">
                  <c:v>-14.026790123456792</c:v>
                </c:pt>
                <c:pt idx="1">
                  <c:v>-10.033123456790122</c:v>
                </c:pt>
                <c:pt idx="2">
                  <c:v>-6.7440123456790122</c:v>
                </c:pt>
                <c:pt idx="3">
                  <c:v>-3.9725555555555556</c:v>
                </c:pt>
                <c:pt idx="4">
                  <c:v>-1.6351358024691356</c:v>
                </c:pt>
                <c:pt idx="5">
                  <c:v>0.32503086419753086</c:v>
                </c:pt>
                <c:pt idx="6">
                  <c:v>1.9229876543209874</c:v>
                </c:pt>
                <c:pt idx="7">
                  <c:v>3.266888888888889</c:v>
                </c:pt>
                <c:pt idx="8">
                  <c:v>4.4080987654320989</c:v>
                </c:pt>
                <c:pt idx="9">
                  <c:v>5.3756172839506169</c:v>
                </c:pt>
                <c:pt idx="10">
                  <c:v>6.235382716049382</c:v>
                </c:pt>
                <c:pt idx="11">
                  <c:v>6.9776049382716048</c:v>
                </c:pt>
                <c:pt idx="12">
                  <c:v>7.6218641975308632</c:v>
                </c:pt>
                <c:pt idx="13">
                  <c:v>8.2246790123456783</c:v>
                </c:pt>
                <c:pt idx="14">
                  <c:v>8.7483703703703704</c:v>
                </c:pt>
                <c:pt idx="15">
                  <c:v>9.2419259259259245</c:v>
                </c:pt>
                <c:pt idx="16">
                  <c:v>9.6865061728395059</c:v>
                </c:pt>
                <c:pt idx="17">
                  <c:v>10.104703703703704</c:v>
                </c:pt>
                <c:pt idx="18">
                  <c:v>10.485234567901234</c:v>
                </c:pt>
                <c:pt idx="19">
                  <c:v>10.831851851851852</c:v>
                </c:pt>
                <c:pt idx="20">
                  <c:v>11.148333333333333</c:v>
                </c:pt>
                <c:pt idx="21">
                  <c:v>11.434666666666667</c:v>
                </c:pt>
                <c:pt idx="22">
                  <c:v>11.702172839506172</c:v>
                </c:pt>
                <c:pt idx="23">
                  <c:v>11.962135802469135</c:v>
                </c:pt>
                <c:pt idx="24">
                  <c:v>12.199493827160493</c:v>
                </c:pt>
                <c:pt idx="25">
                  <c:v>12.418024691358022</c:v>
                </c:pt>
                <c:pt idx="26">
                  <c:v>12.629012345679012</c:v>
                </c:pt>
                <c:pt idx="27">
                  <c:v>12.836172839506172</c:v>
                </c:pt>
                <c:pt idx="28">
                  <c:v>13.020864197530864</c:v>
                </c:pt>
                <c:pt idx="29">
                  <c:v>13.201728395061728</c:v>
                </c:pt>
                <c:pt idx="30">
                  <c:v>13.371234567901235</c:v>
                </c:pt>
                <c:pt idx="31">
                  <c:v>13.544567901234567</c:v>
                </c:pt>
                <c:pt idx="32">
                  <c:v>13.691481481481482</c:v>
                </c:pt>
                <c:pt idx="33">
                  <c:v>13.834691358024692</c:v>
                </c:pt>
                <c:pt idx="34">
                  <c:v>13.970246913580247</c:v>
                </c:pt>
                <c:pt idx="35">
                  <c:v>14.109629629629628</c:v>
                </c:pt>
                <c:pt idx="36">
                  <c:v>14.237777777777778</c:v>
                </c:pt>
                <c:pt idx="37">
                  <c:v>14.354567901234569</c:v>
                </c:pt>
                <c:pt idx="38">
                  <c:v>14.467654320987654</c:v>
                </c:pt>
                <c:pt idx="39">
                  <c:v>14.573086419753087</c:v>
                </c:pt>
                <c:pt idx="40">
                  <c:v>14.663456790123456</c:v>
                </c:pt>
                <c:pt idx="41">
                  <c:v>14.765185185185183</c:v>
                </c:pt>
                <c:pt idx="42">
                  <c:v>14.85938271604938</c:v>
                </c:pt>
                <c:pt idx="43">
                  <c:v>14.942345679012346</c:v>
                </c:pt>
                <c:pt idx="44">
                  <c:v>15.021481481481482</c:v>
                </c:pt>
                <c:pt idx="45">
                  <c:v>15.092962962962961</c:v>
                </c:pt>
                <c:pt idx="46">
                  <c:v>15.164567901234568</c:v>
                </c:pt>
                <c:pt idx="47">
                  <c:v>15.228641975308641</c:v>
                </c:pt>
                <c:pt idx="48">
                  <c:v>15.300246913580246</c:v>
                </c:pt>
                <c:pt idx="49">
                  <c:v>15.371851851851853</c:v>
                </c:pt>
                <c:pt idx="50">
                  <c:v>15.450987654320988</c:v>
                </c:pt>
                <c:pt idx="51">
                  <c:v>15.518765432098766</c:v>
                </c:pt>
                <c:pt idx="52">
                  <c:v>15.579012345679011</c:v>
                </c:pt>
                <c:pt idx="53">
                  <c:v>15.631728395061728</c:v>
                </c:pt>
                <c:pt idx="54">
                  <c:v>15.68827160493827</c:v>
                </c:pt>
                <c:pt idx="55">
                  <c:v>15.744814814814816</c:v>
                </c:pt>
                <c:pt idx="56">
                  <c:v>15.79753086419753</c:v>
                </c:pt>
                <c:pt idx="57">
                  <c:v>15.846543209876542</c:v>
                </c:pt>
                <c:pt idx="58">
                  <c:v>15.891728395061728</c:v>
                </c:pt>
                <c:pt idx="59">
                  <c:v>15.944444444444441</c:v>
                </c:pt>
                <c:pt idx="60">
                  <c:v>15.982222222222221</c:v>
                </c:pt>
                <c:pt idx="61">
                  <c:v>16.016049382716048</c:v>
                </c:pt>
                <c:pt idx="62">
                  <c:v>16.061234567901234</c:v>
                </c:pt>
                <c:pt idx="63">
                  <c:v>16.106543209876545</c:v>
                </c:pt>
                <c:pt idx="64">
                  <c:v>16.151728395061728</c:v>
                </c:pt>
                <c:pt idx="65">
                  <c:v>16.193209876543211</c:v>
                </c:pt>
                <c:pt idx="66">
                  <c:v>16.238395061728394</c:v>
                </c:pt>
                <c:pt idx="67">
                  <c:v>16.272222222222219</c:v>
                </c:pt>
                <c:pt idx="68">
                  <c:v>16.313703703703702</c:v>
                </c:pt>
                <c:pt idx="69">
                  <c:v>16.347654320987651</c:v>
                </c:pt>
                <c:pt idx="70">
                  <c:v>16.38148148148148</c:v>
                </c:pt>
                <c:pt idx="71">
                  <c:v>16.415432098765429</c:v>
                </c:pt>
                <c:pt idx="72">
                  <c:v>16.445555555555554</c:v>
                </c:pt>
                <c:pt idx="73">
                  <c:v>16.479506172839503</c:v>
                </c:pt>
                <c:pt idx="74">
                  <c:v>16.517160493827159</c:v>
                </c:pt>
                <c:pt idx="75">
                  <c:v>16.551111111111108</c:v>
                </c:pt>
                <c:pt idx="76">
                  <c:v>16.57740740740741</c:v>
                </c:pt>
                <c:pt idx="77">
                  <c:v>16.603827160493829</c:v>
                </c:pt>
                <c:pt idx="78">
                  <c:v>16.633950617283947</c:v>
                </c:pt>
                <c:pt idx="79">
                  <c:v>16.660370370370369</c:v>
                </c:pt>
                <c:pt idx="80">
                  <c:v>16.686666666666664</c:v>
                </c:pt>
                <c:pt idx="81">
                  <c:v>16.713086419753086</c:v>
                </c:pt>
                <c:pt idx="82">
                  <c:v>16.739506172839505</c:v>
                </c:pt>
                <c:pt idx="83">
                  <c:v>16.765802469135803</c:v>
                </c:pt>
                <c:pt idx="84">
                  <c:v>16.799753086419752</c:v>
                </c:pt>
                <c:pt idx="85">
                  <c:v>16.829876543209878</c:v>
                </c:pt>
                <c:pt idx="86">
                  <c:v>16.852469135802469</c:v>
                </c:pt>
                <c:pt idx="87">
                  <c:v>16.871358024691357</c:v>
                </c:pt>
                <c:pt idx="88">
                  <c:v>16.890123456790121</c:v>
                </c:pt>
                <c:pt idx="89">
                  <c:v>16.90901234567901</c:v>
                </c:pt>
                <c:pt idx="90">
                  <c:v>16.931604938271605</c:v>
                </c:pt>
                <c:pt idx="91">
                  <c:v>16.958024691358023</c:v>
                </c:pt>
                <c:pt idx="92">
                  <c:v>16.980617283950615</c:v>
                </c:pt>
                <c:pt idx="93">
                  <c:v>16.995679012345676</c:v>
                </c:pt>
                <c:pt idx="94">
                  <c:v>17.014444444444443</c:v>
                </c:pt>
                <c:pt idx="95">
                  <c:v>17.029506172839504</c:v>
                </c:pt>
                <c:pt idx="96">
                  <c:v>17.044691358024689</c:v>
                </c:pt>
                <c:pt idx="97">
                  <c:v>17.052222222222223</c:v>
                </c:pt>
                <c:pt idx="98">
                  <c:v>17.070987654320987</c:v>
                </c:pt>
                <c:pt idx="99">
                  <c:v>17.09740740740741</c:v>
                </c:pt>
                <c:pt idx="100">
                  <c:v>17.112469135802467</c:v>
                </c:pt>
                <c:pt idx="101">
                  <c:v>17.127530864197528</c:v>
                </c:pt>
                <c:pt idx="102">
                  <c:v>17.138765432098765</c:v>
                </c:pt>
                <c:pt idx="103">
                  <c:v>17.150123456790123</c:v>
                </c:pt>
                <c:pt idx="104">
                  <c:v>17.172716049382714</c:v>
                </c:pt>
                <c:pt idx="105">
                  <c:v>17.184074074074076</c:v>
                </c:pt>
                <c:pt idx="106">
                  <c:v>17.206666666666667</c:v>
                </c:pt>
                <c:pt idx="107">
                  <c:v>17.221728395061724</c:v>
                </c:pt>
                <c:pt idx="108">
                  <c:v>17.236790123456789</c:v>
                </c:pt>
                <c:pt idx="109">
                  <c:v>17.248024691358022</c:v>
                </c:pt>
                <c:pt idx="110">
                  <c:v>17.259382716049384</c:v>
                </c:pt>
                <c:pt idx="111">
                  <c:v>17.281975308641975</c:v>
                </c:pt>
                <c:pt idx="112">
                  <c:v>17.297037037037036</c:v>
                </c:pt>
                <c:pt idx="113">
                  <c:v>17.315925925925924</c:v>
                </c:pt>
                <c:pt idx="114">
                  <c:v>17.330987654320985</c:v>
                </c:pt>
                <c:pt idx="115">
                  <c:v>17.349753086419753</c:v>
                </c:pt>
                <c:pt idx="116">
                  <c:v>17.361111111111111</c:v>
                </c:pt>
                <c:pt idx="117">
                  <c:v>17.368641975308641</c:v>
                </c:pt>
                <c:pt idx="118">
                  <c:v>17.376172839506172</c:v>
                </c:pt>
                <c:pt idx="119">
                  <c:v>17.38</c:v>
                </c:pt>
                <c:pt idx="120">
                  <c:v>17.40259259259259</c:v>
                </c:pt>
                <c:pt idx="121">
                  <c:v>17.421358024691358</c:v>
                </c:pt>
                <c:pt idx="122">
                  <c:v>17.436419753086419</c:v>
                </c:pt>
                <c:pt idx="123">
                  <c:v>17.455308641975307</c:v>
                </c:pt>
                <c:pt idx="124">
                  <c:v>17.466543209876541</c:v>
                </c:pt>
                <c:pt idx="125">
                  <c:v>17.477901234567902</c:v>
                </c:pt>
                <c:pt idx="126">
                  <c:v>17.485432098765433</c:v>
                </c:pt>
                <c:pt idx="127">
                  <c:v>17.504320987654321</c:v>
                </c:pt>
                <c:pt idx="128">
                  <c:v>17.515555555555554</c:v>
                </c:pt>
                <c:pt idx="129">
                  <c:v>17.530617283950615</c:v>
                </c:pt>
                <c:pt idx="130">
                  <c:v>17.541975308641973</c:v>
                </c:pt>
                <c:pt idx="131">
                  <c:v>17.553209876543207</c:v>
                </c:pt>
                <c:pt idx="132">
                  <c:v>17.564567901234565</c:v>
                </c:pt>
                <c:pt idx="133">
                  <c:v>17.579629629629629</c:v>
                </c:pt>
                <c:pt idx="134">
                  <c:v>17.58716049382716</c:v>
                </c:pt>
                <c:pt idx="135">
                  <c:v>17.594691358024694</c:v>
                </c:pt>
                <c:pt idx="136">
                  <c:v>17.609753086419751</c:v>
                </c:pt>
                <c:pt idx="137">
                  <c:v>17.621111111111112</c:v>
                </c:pt>
                <c:pt idx="138">
                  <c:v>17.636172839506173</c:v>
                </c:pt>
                <c:pt idx="139">
                  <c:v>17.643703703703704</c:v>
                </c:pt>
                <c:pt idx="140">
                  <c:v>17.654938271604937</c:v>
                </c:pt>
                <c:pt idx="141">
                  <c:v>17.666296296296295</c:v>
                </c:pt>
                <c:pt idx="142">
                  <c:v>17.677530864197529</c:v>
                </c:pt>
                <c:pt idx="143">
                  <c:v>17.69641975308642</c:v>
                </c:pt>
                <c:pt idx="144">
                  <c:v>17.715308641975309</c:v>
                </c:pt>
                <c:pt idx="145">
                  <c:v>17.73037037037037</c:v>
                </c:pt>
                <c:pt idx="146">
                  <c:v>17.734074074074073</c:v>
                </c:pt>
                <c:pt idx="147">
                  <c:v>17.741604938271603</c:v>
                </c:pt>
                <c:pt idx="148">
                  <c:v>17.745432098765431</c:v>
                </c:pt>
                <c:pt idx="149">
                  <c:v>17.756666666666668</c:v>
                </c:pt>
                <c:pt idx="150">
                  <c:v>17.760493827160492</c:v>
                </c:pt>
                <c:pt idx="151">
                  <c:v>17.768024691358022</c:v>
                </c:pt>
                <c:pt idx="152">
                  <c:v>17.775555555555556</c:v>
                </c:pt>
                <c:pt idx="153">
                  <c:v>17.775555555555556</c:v>
                </c:pt>
                <c:pt idx="154">
                  <c:v>17.771728395061729</c:v>
                </c:pt>
                <c:pt idx="155">
                  <c:v>17.775555555555556</c:v>
                </c:pt>
                <c:pt idx="156">
                  <c:v>17.78679012345679</c:v>
                </c:pt>
                <c:pt idx="157">
                  <c:v>17.805679012345678</c:v>
                </c:pt>
                <c:pt idx="158">
                  <c:v>17.824567901234566</c:v>
                </c:pt>
                <c:pt idx="159">
                  <c:v>17.839629629629631</c:v>
                </c:pt>
                <c:pt idx="160">
                  <c:v>17.850864197530864</c:v>
                </c:pt>
                <c:pt idx="161">
                  <c:v>17.865925925925925</c:v>
                </c:pt>
                <c:pt idx="162">
                  <c:v>17.884814814814817</c:v>
                </c:pt>
                <c:pt idx="163">
                  <c:v>17.896049382716047</c:v>
                </c:pt>
                <c:pt idx="164">
                  <c:v>17.903703703703702</c:v>
                </c:pt>
                <c:pt idx="165">
                  <c:v>17.907407407407408</c:v>
                </c:pt>
                <c:pt idx="166">
                  <c:v>17.918765432098763</c:v>
                </c:pt>
                <c:pt idx="167">
                  <c:v>17.926296296296293</c:v>
                </c:pt>
                <c:pt idx="168">
                  <c:v>17.93</c:v>
                </c:pt>
                <c:pt idx="169">
                  <c:v>17.93</c:v>
                </c:pt>
                <c:pt idx="170">
                  <c:v>17.93</c:v>
                </c:pt>
                <c:pt idx="171">
                  <c:v>17.941358024691358</c:v>
                </c:pt>
                <c:pt idx="172">
                  <c:v>17.956419753086422</c:v>
                </c:pt>
                <c:pt idx="173">
                  <c:v>17.971481481481479</c:v>
                </c:pt>
                <c:pt idx="174">
                  <c:v>17.975185185185186</c:v>
                </c:pt>
                <c:pt idx="175">
                  <c:v>17.98654320987654</c:v>
                </c:pt>
                <c:pt idx="176">
                  <c:v>18.005432098765432</c:v>
                </c:pt>
                <c:pt idx="177">
                  <c:v>18.012962962962959</c:v>
                </c:pt>
                <c:pt idx="178">
                  <c:v>18.012962962962959</c:v>
                </c:pt>
                <c:pt idx="179">
                  <c:v>18.016666666666666</c:v>
                </c:pt>
                <c:pt idx="180">
                  <c:v>18.031728395061727</c:v>
                </c:pt>
                <c:pt idx="181">
                  <c:v>18.046790123456791</c:v>
                </c:pt>
                <c:pt idx="182">
                  <c:v>18.054320987654318</c:v>
                </c:pt>
                <c:pt idx="183">
                  <c:v>18.061851851851848</c:v>
                </c:pt>
                <c:pt idx="184">
                  <c:v>18.061851851851848</c:v>
                </c:pt>
                <c:pt idx="185">
                  <c:v>18.069382716049383</c:v>
                </c:pt>
                <c:pt idx="186">
                  <c:v>18.07320987654321</c:v>
                </c:pt>
                <c:pt idx="187">
                  <c:v>18.07320987654321</c:v>
                </c:pt>
                <c:pt idx="188">
                  <c:v>18.080740740740737</c:v>
                </c:pt>
                <c:pt idx="189">
                  <c:v>18.088271604938271</c:v>
                </c:pt>
                <c:pt idx="190">
                  <c:v>18.099506172839504</c:v>
                </c:pt>
                <c:pt idx="191">
                  <c:v>18.125925925925923</c:v>
                </c:pt>
                <c:pt idx="192">
                  <c:v>18.137283950617284</c:v>
                </c:pt>
                <c:pt idx="193">
                  <c:v>18.144814814814815</c:v>
                </c:pt>
                <c:pt idx="194">
                  <c:v>18.156049382716049</c:v>
                </c:pt>
                <c:pt idx="195">
                  <c:v>18.171111111111109</c:v>
                </c:pt>
                <c:pt idx="196">
                  <c:v>18.178641975308643</c:v>
                </c:pt>
                <c:pt idx="197">
                  <c:v>18.182469135802467</c:v>
                </c:pt>
                <c:pt idx="198">
                  <c:v>18.189999999999998</c:v>
                </c:pt>
                <c:pt idx="199">
                  <c:v>18.189999999999998</c:v>
                </c:pt>
                <c:pt idx="200">
                  <c:v>18.201234567901235</c:v>
                </c:pt>
                <c:pt idx="201">
                  <c:v>18.208765432098765</c:v>
                </c:pt>
                <c:pt idx="202">
                  <c:v>18.22012345679012</c:v>
                </c:pt>
                <c:pt idx="203">
                  <c:v>18.231481481481481</c:v>
                </c:pt>
                <c:pt idx="204">
                  <c:v>18.239012345679011</c:v>
                </c:pt>
                <c:pt idx="205">
                  <c:v>18.246543209876542</c:v>
                </c:pt>
                <c:pt idx="206">
                  <c:v>18.242716049382715</c:v>
                </c:pt>
                <c:pt idx="207">
                  <c:v>18.250246913580245</c:v>
                </c:pt>
                <c:pt idx="208">
                  <c:v>18.257777777777775</c:v>
                </c:pt>
                <c:pt idx="209">
                  <c:v>18.257777777777775</c:v>
                </c:pt>
                <c:pt idx="210">
                  <c:v>18.269135802469137</c:v>
                </c:pt>
                <c:pt idx="211">
                  <c:v>18.276666666666667</c:v>
                </c:pt>
                <c:pt idx="212">
                  <c:v>18.287901234567901</c:v>
                </c:pt>
                <c:pt idx="213">
                  <c:v>18.302962962962962</c:v>
                </c:pt>
                <c:pt idx="214">
                  <c:v>18.302962962962962</c:v>
                </c:pt>
                <c:pt idx="215">
                  <c:v>18.302962962962962</c:v>
                </c:pt>
                <c:pt idx="216">
                  <c:v>18.299259259259259</c:v>
                </c:pt>
                <c:pt idx="217">
                  <c:v>18.302962962962962</c:v>
                </c:pt>
                <c:pt idx="218">
                  <c:v>18.295432098765431</c:v>
                </c:pt>
                <c:pt idx="219">
                  <c:v>18.291728395061728</c:v>
                </c:pt>
                <c:pt idx="220">
                  <c:v>18.287901234567901</c:v>
                </c:pt>
                <c:pt idx="221">
                  <c:v>18.287901234567901</c:v>
                </c:pt>
                <c:pt idx="222">
                  <c:v>18.291728395061728</c:v>
                </c:pt>
                <c:pt idx="223">
                  <c:v>18.291728395061728</c:v>
                </c:pt>
                <c:pt idx="224">
                  <c:v>18.299259259259259</c:v>
                </c:pt>
                <c:pt idx="225">
                  <c:v>18.291728395061728</c:v>
                </c:pt>
                <c:pt idx="226">
                  <c:v>18.302962962962962</c:v>
                </c:pt>
                <c:pt idx="227">
                  <c:v>18.306790123456789</c:v>
                </c:pt>
                <c:pt idx="228">
                  <c:v>18.31432098765432</c:v>
                </c:pt>
                <c:pt idx="229">
                  <c:v>18.310493827160489</c:v>
                </c:pt>
                <c:pt idx="230">
                  <c:v>18.306790123456789</c:v>
                </c:pt>
                <c:pt idx="231">
                  <c:v>18.31432098765432</c:v>
                </c:pt>
                <c:pt idx="232">
                  <c:v>18.318024691358023</c:v>
                </c:pt>
                <c:pt idx="233">
                  <c:v>18.32185185185185</c:v>
                </c:pt>
                <c:pt idx="234">
                  <c:v>18.325679012345677</c:v>
                </c:pt>
                <c:pt idx="235">
                  <c:v>18.31432098765432</c:v>
                </c:pt>
                <c:pt idx="236">
                  <c:v>18.310493827160489</c:v>
                </c:pt>
                <c:pt idx="237">
                  <c:v>18.310493827160489</c:v>
                </c:pt>
                <c:pt idx="238">
                  <c:v>18.318024691358023</c:v>
                </c:pt>
                <c:pt idx="239">
                  <c:v>18.325679012345677</c:v>
                </c:pt>
                <c:pt idx="240">
                  <c:v>18.329382716049381</c:v>
                </c:pt>
                <c:pt idx="241">
                  <c:v>18.336913580246915</c:v>
                </c:pt>
                <c:pt idx="242">
                  <c:v>18.344444444444445</c:v>
                </c:pt>
                <c:pt idx="243">
                  <c:v>18.351975308641972</c:v>
                </c:pt>
                <c:pt idx="244">
                  <c:v>18.363333333333333</c:v>
                </c:pt>
                <c:pt idx="245">
                  <c:v>18.374567901234567</c:v>
                </c:pt>
                <c:pt idx="246">
                  <c:v>18.378395061728394</c:v>
                </c:pt>
                <c:pt idx="247">
                  <c:v>18.367037037037036</c:v>
                </c:pt>
                <c:pt idx="248">
                  <c:v>18.359506172839506</c:v>
                </c:pt>
                <c:pt idx="249">
                  <c:v>18.359506172839506</c:v>
                </c:pt>
                <c:pt idx="250">
                  <c:v>18.370864197530864</c:v>
                </c:pt>
                <c:pt idx="251">
                  <c:v>18.374567901234567</c:v>
                </c:pt>
                <c:pt idx="252">
                  <c:v>18.367037037037036</c:v>
                </c:pt>
                <c:pt idx="253">
                  <c:v>18.363333333333333</c:v>
                </c:pt>
                <c:pt idx="254">
                  <c:v>18.363333333333333</c:v>
                </c:pt>
                <c:pt idx="255">
                  <c:v>18.374567901234567</c:v>
                </c:pt>
                <c:pt idx="256">
                  <c:v>18.385925925925928</c:v>
                </c:pt>
                <c:pt idx="257">
                  <c:v>18.385925925925928</c:v>
                </c:pt>
                <c:pt idx="258">
                  <c:v>18.389629629629628</c:v>
                </c:pt>
                <c:pt idx="259">
                  <c:v>18.382098765432101</c:v>
                </c:pt>
                <c:pt idx="260">
                  <c:v>18.382098765432101</c:v>
                </c:pt>
                <c:pt idx="261">
                  <c:v>18.389629629629628</c:v>
                </c:pt>
                <c:pt idx="262">
                  <c:v>18.404691358024692</c:v>
                </c:pt>
                <c:pt idx="263">
                  <c:v>18.404691358024692</c:v>
                </c:pt>
                <c:pt idx="264">
                  <c:v>18.412222222222223</c:v>
                </c:pt>
                <c:pt idx="265">
                  <c:v>18.416049382716047</c:v>
                </c:pt>
                <c:pt idx="266">
                  <c:v>18.412222222222223</c:v>
                </c:pt>
                <c:pt idx="267">
                  <c:v>18.412222222222223</c:v>
                </c:pt>
                <c:pt idx="268">
                  <c:v>18.416049382716047</c:v>
                </c:pt>
                <c:pt idx="269">
                  <c:v>18.416049382716047</c:v>
                </c:pt>
                <c:pt idx="270">
                  <c:v>18.408518518518516</c:v>
                </c:pt>
                <c:pt idx="271">
                  <c:v>18.412222222222223</c:v>
                </c:pt>
                <c:pt idx="272">
                  <c:v>18.41975308641975</c:v>
                </c:pt>
                <c:pt idx="273">
                  <c:v>18.423580246913577</c:v>
                </c:pt>
                <c:pt idx="274">
                  <c:v>18.438641975308641</c:v>
                </c:pt>
                <c:pt idx="275">
                  <c:v>18.446172839506172</c:v>
                </c:pt>
                <c:pt idx="276">
                  <c:v>18.442469135802465</c:v>
                </c:pt>
                <c:pt idx="277">
                  <c:v>18.434938271604938</c:v>
                </c:pt>
                <c:pt idx="278">
                  <c:v>18.431111111111111</c:v>
                </c:pt>
                <c:pt idx="279">
                  <c:v>18.438641975308641</c:v>
                </c:pt>
                <c:pt idx="280">
                  <c:v>18.45</c:v>
                </c:pt>
                <c:pt idx="281">
                  <c:v>18.453703703703706</c:v>
                </c:pt>
                <c:pt idx="282">
                  <c:v>18.453703703703706</c:v>
                </c:pt>
                <c:pt idx="283">
                  <c:v>18.46506172839506</c:v>
                </c:pt>
                <c:pt idx="284">
                  <c:v>18.468765432098763</c:v>
                </c:pt>
                <c:pt idx="285">
                  <c:v>18.46506172839506</c:v>
                </c:pt>
                <c:pt idx="286">
                  <c:v>18.468765432098763</c:v>
                </c:pt>
                <c:pt idx="287">
                  <c:v>18.480123456790125</c:v>
                </c:pt>
                <c:pt idx="288">
                  <c:v>18.487654320987652</c:v>
                </c:pt>
                <c:pt idx="289">
                  <c:v>18.491358024691355</c:v>
                </c:pt>
                <c:pt idx="290">
                  <c:v>18.487654320987652</c:v>
                </c:pt>
                <c:pt idx="291">
                  <c:v>18.487654320987652</c:v>
                </c:pt>
                <c:pt idx="292">
                  <c:v>18.476296296296297</c:v>
                </c:pt>
                <c:pt idx="293">
                  <c:v>18.476296296296297</c:v>
                </c:pt>
                <c:pt idx="294">
                  <c:v>18.476296296296297</c:v>
                </c:pt>
                <c:pt idx="295">
                  <c:v>18.480123456790125</c:v>
                </c:pt>
                <c:pt idx="296">
                  <c:v>18.495185185185186</c:v>
                </c:pt>
                <c:pt idx="297">
                  <c:v>18.495185185185186</c:v>
                </c:pt>
                <c:pt idx="298">
                  <c:v>18.495185185185186</c:v>
                </c:pt>
                <c:pt idx="299">
                  <c:v>18.498888888888889</c:v>
                </c:pt>
                <c:pt idx="300">
                  <c:v>18.502716049382713</c:v>
                </c:pt>
                <c:pt idx="301">
                  <c:v>18.502716049382713</c:v>
                </c:pt>
                <c:pt idx="302">
                  <c:v>18.498888888888889</c:v>
                </c:pt>
                <c:pt idx="303">
                  <c:v>18.502716049382713</c:v>
                </c:pt>
                <c:pt idx="304">
                  <c:v>18.502716049382713</c:v>
                </c:pt>
                <c:pt idx="305">
                  <c:v>18.487654320987652</c:v>
                </c:pt>
                <c:pt idx="306">
                  <c:v>18.480123456790125</c:v>
                </c:pt>
                <c:pt idx="307">
                  <c:v>18.483827160493824</c:v>
                </c:pt>
                <c:pt idx="308">
                  <c:v>18.498888888888889</c:v>
                </c:pt>
                <c:pt idx="309">
                  <c:v>18.510246913580243</c:v>
                </c:pt>
                <c:pt idx="310">
                  <c:v>18.525308641975307</c:v>
                </c:pt>
                <c:pt idx="311">
                  <c:v>18.521481481481484</c:v>
                </c:pt>
                <c:pt idx="312">
                  <c:v>18.517777777777777</c:v>
                </c:pt>
                <c:pt idx="313">
                  <c:v>18.517777777777777</c:v>
                </c:pt>
                <c:pt idx="314">
                  <c:v>18.502716049382713</c:v>
                </c:pt>
                <c:pt idx="315">
                  <c:v>18.498888888888889</c:v>
                </c:pt>
                <c:pt idx="316">
                  <c:v>18.510246913580243</c:v>
                </c:pt>
                <c:pt idx="317">
                  <c:v>18.51395061728395</c:v>
                </c:pt>
                <c:pt idx="318">
                  <c:v>18.521481481481484</c:v>
                </c:pt>
                <c:pt idx="319">
                  <c:v>18.529012345679011</c:v>
                </c:pt>
                <c:pt idx="320">
                  <c:v>18.525308641975307</c:v>
                </c:pt>
                <c:pt idx="321">
                  <c:v>18.51395061728395</c:v>
                </c:pt>
                <c:pt idx="322">
                  <c:v>18.506419753086419</c:v>
                </c:pt>
                <c:pt idx="323">
                  <c:v>18.506419753086419</c:v>
                </c:pt>
                <c:pt idx="324">
                  <c:v>18.517777777777777</c:v>
                </c:pt>
                <c:pt idx="325">
                  <c:v>18.529012345679011</c:v>
                </c:pt>
                <c:pt idx="326">
                  <c:v>18.529012345679011</c:v>
                </c:pt>
                <c:pt idx="327">
                  <c:v>18.536543209876541</c:v>
                </c:pt>
                <c:pt idx="328">
                  <c:v>18.540370370370372</c:v>
                </c:pt>
                <c:pt idx="329">
                  <c:v>18.551728395061726</c:v>
                </c:pt>
                <c:pt idx="330">
                  <c:v>18.540370370370372</c:v>
                </c:pt>
                <c:pt idx="331">
                  <c:v>18.529012345679011</c:v>
                </c:pt>
                <c:pt idx="332">
                  <c:v>18.525308641975307</c:v>
                </c:pt>
                <c:pt idx="333">
                  <c:v>18.510246913580243</c:v>
                </c:pt>
                <c:pt idx="334">
                  <c:v>18.521481481481484</c:v>
                </c:pt>
                <c:pt idx="335">
                  <c:v>18.521481481481484</c:v>
                </c:pt>
                <c:pt idx="336">
                  <c:v>18.521481481481484</c:v>
                </c:pt>
                <c:pt idx="337">
                  <c:v>18.521481481481484</c:v>
                </c:pt>
                <c:pt idx="338">
                  <c:v>18.529012345679011</c:v>
                </c:pt>
                <c:pt idx="339">
                  <c:v>18.529012345679011</c:v>
                </c:pt>
                <c:pt idx="340">
                  <c:v>18.521481481481484</c:v>
                </c:pt>
                <c:pt idx="341">
                  <c:v>18.525308641975307</c:v>
                </c:pt>
                <c:pt idx="342">
                  <c:v>18.536543209876541</c:v>
                </c:pt>
                <c:pt idx="343">
                  <c:v>18.551728395061726</c:v>
                </c:pt>
                <c:pt idx="344">
                  <c:v>18.574320987654321</c:v>
                </c:pt>
                <c:pt idx="345">
                  <c:v>18.589382716049382</c:v>
                </c:pt>
                <c:pt idx="346">
                  <c:v>18.593086419753085</c:v>
                </c:pt>
                <c:pt idx="347">
                  <c:v>18.585555555555555</c:v>
                </c:pt>
                <c:pt idx="348">
                  <c:v>18.581851851851848</c:v>
                </c:pt>
                <c:pt idx="349">
                  <c:v>18.585555555555555</c:v>
                </c:pt>
                <c:pt idx="350">
                  <c:v>18.581851851851848</c:v>
                </c:pt>
                <c:pt idx="351">
                  <c:v>18.574320987654321</c:v>
                </c:pt>
                <c:pt idx="352">
                  <c:v>18.566790123456791</c:v>
                </c:pt>
                <c:pt idx="353">
                  <c:v>18.566790123456791</c:v>
                </c:pt>
                <c:pt idx="354">
                  <c:v>18.578024691358021</c:v>
                </c:pt>
                <c:pt idx="355">
                  <c:v>18.581851851851848</c:v>
                </c:pt>
                <c:pt idx="356">
                  <c:v>18.589382716049382</c:v>
                </c:pt>
                <c:pt idx="357">
                  <c:v>18.600617283950616</c:v>
                </c:pt>
                <c:pt idx="358">
                  <c:v>18.604444444444443</c:v>
                </c:pt>
                <c:pt idx="359">
                  <c:v>18.611975308641973</c:v>
                </c:pt>
                <c:pt idx="360">
                  <c:v>18.619506172839504</c:v>
                </c:pt>
                <c:pt idx="361">
                  <c:v>18.61567901234568</c:v>
                </c:pt>
                <c:pt idx="362">
                  <c:v>18.611975308641973</c:v>
                </c:pt>
                <c:pt idx="363">
                  <c:v>18.60814814814815</c:v>
                </c:pt>
                <c:pt idx="364">
                  <c:v>18.593086419753085</c:v>
                </c:pt>
                <c:pt idx="365">
                  <c:v>18.581851851851848</c:v>
                </c:pt>
                <c:pt idx="366">
                  <c:v>18.585555555555555</c:v>
                </c:pt>
                <c:pt idx="367">
                  <c:v>18.604444444444443</c:v>
                </c:pt>
                <c:pt idx="368">
                  <c:v>18.623209876543207</c:v>
                </c:pt>
                <c:pt idx="369">
                  <c:v>18.634567901234568</c:v>
                </c:pt>
                <c:pt idx="370">
                  <c:v>18.642098765432099</c:v>
                </c:pt>
                <c:pt idx="371">
                  <c:v>18.645802469135798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35-4110-8E96-102166006E83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'20221210T210000'!$AG$11:$AG$500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  <c:pt idx="269">
                  <c:v>1.2596099999999999</c:v>
                </c:pt>
                <c:pt idx="270">
                  <c:v>1.2646500000000001</c:v>
                </c:pt>
                <c:pt idx="271">
                  <c:v>1.2696799999999999</c:v>
                </c:pt>
                <c:pt idx="272">
                  <c:v>1.2747200000000001</c:v>
                </c:pt>
                <c:pt idx="273">
                  <c:v>1.2797499999999999</c:v>
                </c:pt>
                <c:pt idx="274">
                  <c:v>1.2847900000000001</c:v>
                </c:pt>
                <c:pt idx="275">
                  <c:v>1.28983</c:v>
                </c:pt>
                <c:pt idx="276">
                  <c:v>1.2948599999999999</c:v>
                </c:pt>
                <c:pt idx="277">
                  <c:v>1.2999000000000001</c:v>
                </c:pt>
                <c:pt idx="278">
                  <c:v>1.3049299999999999</c:v>
                </c:pt>
                <c:pt idx="279">
                  <c:v>1.3099700000000001</c:v>
                </c:pt>
                <c:pt idx="280">
                  <c:v>1.3149999999999999</c:v>
                </c:pt>
                <c:pt idx="281">
                  <c:v>1.3200400000000001</c:v>
                </c:pt>
                <c:pt idx="282">
                  <c:v>1.32507</c:v>
                </c:pt>
                <c:pt idx="283">
                  <c:v>1.3301099999999999</c:v>
                </c:pt>
                <c:pt idx="284">
                  <c:v>1.33514</c:v>
                </c:pt>
                <c:pt idx="285">
                  <c:v>1.3401799999999999</c:v>
                </c:pt>
                <c:pt idx="286">
                  <c:v>1.34521</c:v>
                </c:pt>
                <c:pt idx="287">
                  <c:v>1.35025</c:v>
                </c:pt>
                <c:pt idx="288">
                  <c:v>1.3552900000000001</c:v>
                </c:pt>
                <c:pt idx="289">
                  <c:v>1.36032</c:v>
                </c:pt>
                <c:pt idx="290">
                  <c:v>1.3653599999999999</c:v>
                </c:pt>
                <c:pt idx="291">
                  <c:v>1.37039</c:v>
                </c:pt>
                <c:pt idx="292">
                  <c:v>1.3754299999999999</c:v>
                </c:pt>
                <c:pt idx="293">
                  <c:v>1.38046</c:v>
                </c:pt>
                <c:pt idx="294">
                  <c:v>1.3855</c:v>
                </c:pt>
                <c:pt idx="295">
                  <c:v>1.39053</c:v>
                </c:pt>
                <c:pt idx="296">
                  <c:v>1.39557</c:v>
                </c:pt>
                <c:pt idx="297">
                  <c:v>1.4006000000000001</c:v>
                </c:pt>
                <c:pt idx="298">
                  <c:v>1.40564</c:v>
                </c:pt>
                <c:pt idx="299">
                  <c:v>1.4106799999999999</c:v>
                </c:pt>
                <c:pt idx="300">
                  <c:v>1.41571</c:v>
                </c:pt>
                <c:pt idx="301">
                  <c:v>1.42075</c:v>
                </c:pt>
                <c:pt idx="302">
                  <c:v>1.42578</c:v>
                </c:pt>
                <c:pt idx="303">
                  <c:v>1.43082</c:v>
                </c:pt>
                <c:pt idx="304">
                  <c:v>1.4358500000000001</c:v>
                </c:pt>
                <c:pt idx="305">
                  <c:v>1.44089</c:v>
                </c:pt>
                <c:pt idx="306">
                  <c:v>1.4459200000000001</c:v>
                </c:pt>
                <c:pt idx="307">
                  <c:v>1.45096</c:v>
                </c:pt>
                <c:pt idx="308">
                  <c:v>1.4559899999999999</c:v>
                </c:pt>
                <c:pt idx="309">
                  <c:v>1.4610300000000001</c:v>
                </c:pt>
                <c:pt idx="310">
                  <c:v>1.4660599999999999</c:v>
                </c:pt>
                <c:pt idx="311">
                  <c:v>1.4711000000000001</c:v>
                </c:pt>
                <c:pt idx="312">
                  <c:v>1.47614</c:v>
                </c:pt>
                <c:pt idx="313">
                  <c:v>1.4811700000000001</c:v>
                </c:pt>
                <c:pt idx="314">
                  <c:v>1.48621</c:v>
                </c:pt>
                <c:pt idx="315">
                  <c:v>1.4912399999999999</c:v>
                </c:pt>
                <c:pt idx="316">
                  <c:v>1.4962800000000001</c:v>
                </c:pt>
                <c:pt idx="317">
                  <c:v>1.5013099999999999</c:v>
                </c:pt>
                <c:pt idx="318">
                  <c:v>1.5063500000000001</c:v>
                </c:pt>
                <c:pt idx="319">
                  <c:v>1.5113799999999999</c:v>
                </c:pt>
                <c:pt idx="320">
                  <c:v>1.5164200000000001</c:v>
                </c:pt>
                <c:pt idx="321">
                  <c:v>1.52145</c:v>
                </c:pt>
                <c:pt idx="322">
                  <c:v>1.5264899999999999</c:v>
                </c:pt>
                <c:pt idx="323">
                  <c:v>1.53152</c:v>
                </c:pt>
                <c:pt idx="324">
                  <c:v>1.5365599999999999</c:v>
                </c:pt>
                <c:pt idx="325">
                  <c:v>1.5416000000000001</c:v>
                </c:pt>
                <c:pt idx="326">
                  <c:v>1.5466299999999999</c:v>
                </c:pt>
                <c:pt idx="327">
                  <c:v>1.5516700000000001</c:v>
                </c:pt>
                <c:pt idx="328">
                  <c:v>1.5567</c:v>
                </c:pt>
                <c:pt idx="329">
                  <c:v>1.5617399999999999</c:v>
                </c:pt>
                <c:pt idx="330">
                  <c:v>1.56677</c:v>
                </c:pt>
                <c:pt idx="331">
                  <c:v>1.5718099999999999</c:v>
                </c:pt>
                <c:pt idx="332">
                  <c:v>1.57684</c:v>
                </c:pt>
                <c:pt idx="333">
                  <c:v>1.58188</c:v>
                </c:pt>
                <c:pt idx="334">
                  <c:v>1.58691</c:v>
                </c:pt>
                <c:pt idx="335">
                  <c:v>1.59195</c:v>
                </c:pt>
                <c:pt idx="336">
                  <c:v>1.5969800000000001</c:v>
                </c:pt>
                <c:pt idx="337">
                  <c:v>1.60202</c:v>
                </c:pt>
                <c:pt idx="338">
                  <c:v>1.6070599999999999</c:v>
                </c:pt>
                <c:pt idx="339">
                  <c:v>1.61209</c:v>
                </c:pt>
                <c:pt idx="340">
                  <c:v>1.61713</c:v>
                </c:pt>
                <c:pt idx="341">
                  <c:v>1.62216</c:v>
                </c:pt>
                <c:pt idx="342">
                  <c:v>1.6272</c:v>
                </c:pt>
                <c:pt idx="343">
                  <c:v>1.6322300000000001</c:v>
                </c:pt>
                <c:pt idx="344">
                  <c:v>1.63727</c:v>
                </c:pt>
                <c:pt idx="345">
                  <c:v>1.6423000000000001</c:v>
                </c:pt>
                <c:pt idx="346">
                  <c:v>1.64734</c:v>
                </c:pt>
                <c:pt idx="347">
                  <c:v>1.6523699999999999</c:v>
                </c:pt>
                <c:pt idx="348">
                  <c:v>1.65741</c:v>
                </c:pt>
                <c:pt idx="349">
                  <c:v>1.66245</c:v>
                </c:pt>
                <c:pt idx="350">
                  <c:v>1.6674800000000001</c:v>
                </c:pt>
                <c:pt idx="351">
                  <c:v>1.67252</c:v>
                </c:pt>
                <c:pt idx="352">
                  <c:v>1.6775500000000001</c:v>
                </c:pt>
                <c:pt idx="353">
                  <c:v>1.68259</c:v>
                </c:pt>
                <c:pt idx="354">
                  <c:v>1.6876199999999999</c:v>
                </c:pt>
                <c:pt idx="355">
                  <c:v>1.6926600000000001</c:v>
                </c:pt>
                <c:pt idx="356">
                  <c:v>1.6976899999999999</c:v>
                </c:pt>
                <c:pt idx="357">
                  <c:v>1.7027300000000001</c:v>
                </c:pt>
                <c:pt idx="358">
                  <c:v>1.7077599999999999</c:v>
                </c:pt>
                <c:pt idx="359">
                  <c:v>1.7128000000000001</c:v>
                </c:pt>
                <c:pt idx="360">
                  <c:v>1.71783</c:v>
                </c:pt>
                <c:pt idx="361">
                  <c:v>1.7228699999999999</c:v>
                </c:pt>
                <c:pt idx="362">
                  <c:v>1.7279100000000001</c:v>
                </c:pt>
                <c:pt idx="363">
                  <c:v>1.7329399999999999</c:v>
                </c:pt>
                <c:pt idx="364">
                  <c:v>1.7379800000000001</c:v>
                </c:pt>
                <c:pt idx="365">
                  <c:v>1.7430099999999999</c:v>
                </c:pt>
                <c:pt idx="366">
                  <c:v>1.7480500000000001</c:v>
                </c:pt>
                <c:pt idx="367">
                  <c:v>1.75308</c:v>
                </c:pt>
                <c:pt idx="368">
                  <c:v>1.7581199999999999</c:v>
                </c:pt>
                <c:pt idx="369">
                  <c:v>1.76315</c:v>
                </c:pt>
                <c:pt idx="370">
                  <c:v>1.7681899999999999</c:v>
                </c:pt>
                <c:pt idx="371">
                  <c:v>1.77322</c:v>
                </c:pt>
              </c:numCache>
            </c:numRef>
          </c:xVal>
          <c:yVal>
            <c:numRef>
              <c:f>'20221210T210000'!$AL$11:$AL$500</c:f>
              <c:numCache>
                <c:formatCode>General</c:formatCode>
                <c:ptCount val="490"/>
                <c:pt idx="0">
                  <c:v>18.611975308641973</c:v>
                </c:pt>
                <c:pt idx="1">
                  <c:v>18.61567901234568</c:v>
                </c:pt>
                <c:pt idx="2">
                  <c:v>18.619506172839504</c:v>
                </c:pt>
                <c:pt idx="3">
                  <c:v>18.619506172839504</c:v>
                </c:pt>
                <c:pt idx="4">
                  <c:v>18.623209876543207</c:v>
                </c:pt>
                <c:pt idx="5">
                  <c:v>18.61567901234568</c:v>
                </c:pt>
                <c:pt idx="6">
                  <c:v>18.623209876543207</c:v>
                </c:pt>
                <c:pt idx="7">
                  <c:v>18.630740740740741</c:v>
                </c:pt>
                <c:pt idx="8">
                  <c:v>18.627037037037034</c:v>
                </c:pt>
                <c:pt idx="9">
                  <c:v>18.627037037037034</c:v>
                </c:pt>
                <c:pt idx="10">
                  <c:v>18.600617283950616</c:v>
                </c:pt>
                <c:pt idx="11">
                  <c:v>18.593086419753085</c:v>
                </c:pt>
                <c:pt idx="12">
                  <c:v>18.585555555555555</c:v>
                </c:pt>
                <c:pt idx="13">
                  <c:v>18.574320987654321</c:v>
                </c:pt>
                <c:pt idx="14">
                  <c:v>18.566790123456791</c:v>
                </c:pt>
                <c:pt idx="15">
                  <c:v>18.570493827160494</c:v>
                </c:pt>
                <c:pt idx="16">
                  <c:v>18.574320987654321</c:v>
                </c:pt>
                <c:pt idx="17">
                  <c:v>18.585555555555555</c:v>
                </c:pt>
                <c:pt idx="18">
                  <c:v>18.596913580246913</c:v>
                </c:pt>
                <c:pt idx="19">
                  <c:v>18.600617283950616</c:v>
                </c:pt>
                <c:pt idx="20">
                  <c:v>18.604444444444443</c:v>
                </c:pt>
                <c:pt idx="21">
                  <c:v>18.619506172839504</c:v>
                </c:pt>
                <c:pt idx="22">
                  <c:v>18.623209876543207</c:v>
                </c:pt>
                <c:pt idx="23">
                  <c:v>18.627037037037034</c:v>
                </c:pt>
                <c:pt idx="24">
                  <c:v>18.619506172839504</c:v>
                </c:pt>
                <c:pt idx="25">
                  <c:v>18.611975308641973</c:v>
                </c:pt>
                <c:pt idx="26">
                  <c:v>18.600617283950616</c:v>
                </c:pt>
                <c:pt idx="27">
                  <c:v>18.589382716049382</c:v>
                </c:pt>
                <c:pt idx="28">
                  <c:v>18.596913580246913</c:v>
                </c:pt>
                <c:pt idx="29">
                  <c:v>18.596913580246913</c:v>
                </c:pt>
                <c:pt idx="30">
                  <c:v>18.596913580246913</c:v>
                </c:pt>
                <c:pt idx="31">
                  <c:v>18.585555555555555</c:v>
                </c:pt>
                <c:pt idx="32">
                  <c:v>18.570493827160494</c:v>
                </c:pt>
                <c:pt idx="33">
                  <c:v>18.562962962962963</c:v>
                </c:pt>
                <c:pt idx="34">
                  <c:v>18.547901234567902</c:v>
                </c:pt>
                <c:pt idx="35">
                  <c:v>18.544197530864199</c:v>
                </c:pt>
                <c:pt idx="36">
                  <c:v>18.540370370370372</c:v>
                </c:pt>
                <c:pt idx="37">
                  <c:v>18.555432098765429</c:v>
                </c:pt>
                <c:pt idx="38">
                  <c:v>18.570493827160494</c:v>
                </c:pt>
                <c:pt idx="39">
                  <c:v>18.574320987654321</c:v>
                </c:pt>
                <c:pt idx="40">
                  <c:v>18.581851851851848</c:v>
                </c:pt>
                <c:pt idx="41">
                  <c:v>18.574320987654321</c:v>
                </c:pt>
                <c:pt idx="42">
                  <c:v>18.578024691358021</c:v>
                </c:pt>
                <c:pt idx="43">
                  <c:v>18.585555555555555</c:v>
                </c:pt>
                <c:pt idx="44">
                  <c:v>18.593086419753085</c:v>
                </c:pt>
                <c:pt idx="45">
                  <c:v>18.596913580246913</c:v>
                </c:pt>
                <c:pt idx="46">
                  <c:v>18.589382716049382</c:v>
                </c:pt>
                <c:pt idx="47">
                  <c:v>18.589382716049382</c:v>
                </c:pt>
                <c:pt idx="48">
                  <c:v>18.574320987654321</c:v>
                </c:pt>
                <c:pt idx="49">
                  <c:v>18.559259259259257</c:v>
                </c:pt>
                <c:pt idx="50">
                  <c:v>18.555432098765429</c:v>
                </c:pt>
                <c:pt idx="51">
                  <c:v>18.547901234567902</c:v>
                </c:pt>
                <c:pt idx="52">
                  <c:v>18.547901234567902</c:v>
                </c:pt>
                <c:pt idx="53">
                  <c:v>18.544197530864199</c:v>
                </c:pt>
                <c:pt idx="54">
                  <c:v>18.547901234567902</c:v>
                </c:pt>
                <c:pt idx="55">
                  <c:v>18.555432098765429</c:v>
                </c:pt>
                <c:pt idx="56">
                  <c:v>18.555432098765429</c:v>
                </c:pt>
                <c:pt idx="57">
                  <c:v>18.555432098765429</c:v>
                </c:pt>
                <c:pt idx="58">
                  <c:v>18.555432098765429</c:v>
                </c:pt>
                <c:pt idx="59">
                  <c:v>18.555432098765429</c:v>
                </c:pt>
                <c:pt idx="60">
                  <c:v>18.555432098765429</c:v>
                </c:pt>
                <c:pt idx="61">
                  <c:v>18.551728395061726</c:v>
                </c:pt>
                <c:pt idx="62">
                  <c:v>18.544197530864199</c:v>
                </c:pt>
                <c:pt idx="63">
                  <c:v>18.536543209876541</c:v>
                </c:pt>
                <c:pt idx="64">
                  <c:v>18.529012345679011</c:v>
                </c:pt>
                <c:pt idx="65">
                  <c:v>18.51395061728395</c:v>
                </c:pt>
                <c:pt idx="66">
                  <c:v>18.51395061728395</c:v>
                </c:pt>
                <c:pt idx="67">
                  <c:v>18.51395061728395</c:v>
                </c:pt>
                <c:pt idx="68">
                  <c:v>18.517777777777777</c:v>
                </c:pt>
                <c:pt idx="69">
                  <c:v>18.532839506172838</c:v>
                </c:pt>
                <c:pt idx="70">
                  <c:v>18.525308641975307</c:v>
                </c:pt>
                <c:pt idx="71">
                  <c:v>18.502716049382713</c:v>
                </c:pt>
                <c:pt idx="72">
                  <c:v>18.480123456790125</c:v>
                </c:pt>
                <c:pt idx="73">
                  <c:v>18.483827160493824</c:v>
                </c:pt>
                <c:pt idx="74">
                  <c:v>18.495185185185186</c:v>
                </c:pt>
                <c:pt idx="75">
                  <c:v>18.506419753086419</c:v>
                </c:pt>
                <c:pt idx="76">
                  <c:v>18.510246913580243</c:v>
                </c:pt>
                <c:pt idx="77">
                  <c:v>18.510246913580243</c:v>
                </c:pt>
                <c:pt idx="78">
                  <c:v>18.510246913580243</c:v>
                </c:pt>
                <c:pt idx="79">
                  <c:v>18.506419753086419</c:v>
                </c:pt>
                <c:pt idx="80">
                  <c:v>18.487654320987652</c:v>
                </c:pt>
                <c:pt idx="81">
                  <c:v>18.487654320987652</c:v>
                </c:pt>
                <c:pt idx="82">
                  <c:v>18.491358024691355</c:v>
                </c:pt>
                <c:pt idx="83">
                  <c:v>18.495185185185186</c:v>
                </c:pt>
                <c:pt idx="84">
                  <c:v>18.495185185185186</c:v>
                </c:pt>
                <c:pt idx="85">
                  <c:v>18.487654320987652</c:v>
                </c:pt>
                <c:pt idx="86">
                  <c:v>18.483827160493824</c:v>
                </c:pt>
                <c:pt idx="87">
                  <c:v>18.483827160493824</c:v>
                </c:pt>
                <c:pt idx="88">
                  <c:v>18.487654320987652</c:v>
                </c:pt>
                <c:pt idx="89">
                  <c:v>18.495185185185186</c:v>
                </c:pt>
                <c:pt idx="90">
                  <c:v>18.491358024691355</c:v>
                </c:pt>
                <c:pt idx="91">
                  <c:v>18.491358024691355</c:v>
                </c:pt>
                <c:pt idx="92">
                  <c:v>18.476296296296297</c:v>
                </c:pt>
                <c:pt idx="93">
                  <c:v>18.46506172839506</c:v>
                </c:pt>
                <c:pt idx="94">
                  <c:v>18.461234567901233</c:v>
                </c:pt>
                <c:pt idx="95">
                  <c:v>18.46506172839506</c:v>
                </c:pt>
                <c:pt idx="96">
                  <c:v>18.468765432098763</c:v>
                </c:pt>
                <c:pt idx="97">
                  <c:v>18.461234567901233</c:v>
                </c:pt>
                <c:pt idx="98">
                  <c:v>18.453703703703706</c:v>
                </c:pt>
                <c:pt idx="99">
                  <c:v>18.442469135802465</c:v>
                </c:pt>
                <c:pt idx="100">
                  <c:v>18.45</c:v>
                </c:pt>
                <c:pt idx="101">
                  <c:v>18.453703703703706</c:v>
                </c:pt>
                <c:pt idx="102">
                  <c:v>18.453703703703706</c:v>
                </c:pt>
                <c:pt idx="103">
                  <c:v>18.446172839506172</c:v>
                </c:pt>
                <c:pt idx="104">
                  <c:v>18.438641975308641</c:v>
                </c:pt>
                <c:pt idx="105">
                  <c:v>18.438641975308641</c:v>
                </c:pt>
                <c:pt idx="106">
                  <c:v>18.427283950617284</c:v>
                </c:pt>
                <c:pt idx="107">
                  <c:v>18.423580246913577</c:v>
                </c:pt>
                <c:pt idx="108">
                  <c:v>18.416049382716047</c:v>
                </c:pt>
                <c:pt idx="109">
                  <c:v>18.404691358024692</c:v>
                </c:pt>
                <c:pt idx="110">
                  <c:v>18.400987654320986</c:v>
                </c:pt>
                <c:pt idx="111">
                  <c:v>18.393456790123455</c:v>
                </c:pt>
                <c:pt idx="112">
                  <c:v>18.378395061728394</c:v>
                </c:pt>
                <c:pt idx="113">
                  <c:v>18.363333333333333</c:v>
                </c:pt>
                <c:pt idx="114">
                  <c:v>18.367037037037036</c:v>
                </c:pt>
                <c:pt idx="115">
                  <c:v>18.370864197530864</c:v>
                </c:pt>
                <c:pt idx="116">
                  <c:v>18.363333333333333</c:v>
                </c:pt>
                <c:pt idx="117">
                  <c:v>18.348271604938269</c:v>
                </c:pt>
                <c:pt idx="118">
                  <c:v>18.340740740740738</c:v>
                </c:pt>
                <c:pt idx="119">
                  <c:v>18.336913580246915</c:v>
                </c:pt>
                <c:pt idx="120">
                  <c:v>18.333209876543208</c:v>
                </c:pt>
                <c:pt idx="121">
                  <c:v>18.329382716049381</c:v>
                </c:pt>
                <c:pt idx="122">
                  <c:v>18.325679012345677</c:v>
                </c:pt>
                <c:pt idx="123">
                  <c:v>18.329382716049381</c:v>
                </c:pt>
                <c:pt idx="124">
                  <c:v>18.336913580246915</c:v>
                </c:pt>
                <c:pt idx="125">
                  <c:v>18.348271604938269</c:v>
                </c:pt>
                <c:pt idx="126">
                  <c:v>18.340740740740738</c:v>
                </c:pt>
                <c:pt idx="127">
                  <c:v>18.329382716049381</c:v>
                </c:pt>
                <c:pt idx="128">
                  <c:v>18.318024691358023</c:v>
                </c:pt>
                <c:pt idx="129">
                  <c:v>18.31432098765432</c:v>
                </c:pt>
                <c:pt idx="130">
                  <c:v>18.31432098765432</c:v>
                </c:pt>
                <c:pt idx="131">
                  <c:v>18.302962962962962</c:v>
                </c:pt>
                <c:pt idx="132">
                  <c:v>18.299259259259259</c:v>
                </c:pt>
                <c:pt idx="133">
                  <c:v>18.310493827160489</c:v>
                </c:pt>
                <c:pt idx="134">
                  <c:v>18.31432098765432</c:v>
                </c:pt>
                <c:pt idx="135">
                  <c:v>18.306790123456789</c:v>
                </c:pt>
                <c:pt idx="136">
                  <c:v>18.299259259259259</c:v>
                </c:pt>
                <c:pt idx="137">
                  <c:v>18.291728395061728</c:v>
                </c:pt>
                <c:pt idx="138">
                  <c:v>18.28037037037037</c:v>
                </c:pt>
                <c:pt idx="139">
                  <c:v>18.276666666666667</c:v>
                </c:pt>
                <c:pt idx="140">
                  <c:v>18.28037037037037</c:v>
                </c:pt>
                <c:pt idx="141">
                  <c:v>18.27283950617284</c:v>
                </c:pt>
                <c:pt idx="142">
                  <c:v>18.257777777777775</c:v>
                </c:pt>
                <c:pt idx="143">
                  <c:v>18.254074074074072</c:v>
                </c:pt>
                <c:pt idx="144">
                  <c:v>18.261604938271603</c:v>
                </c:pt>
                <c:pt idx="145">
                  <c:v>18.265308641975306</c:v>
                </c:pt>
                <c:pt idx="146">
                  <c:v>18.269135802469137</c:v>
                </c:pt>
                <c:pt idx="147">
                  <c:v>18.265308641975306</c:v>
                </c:pt>
                <c:pt idx="148">
                  <c:v>18.254074074074072</c:v>
                </c:pt>
                <c:pt idx="149">
                  <c:v>18.257777777777775</c:v>
                </c:pt>
                <c:pt idx="150">
                  <c:v>18.265308641975306</c:v>
                </c:pt>
                <c:pt idx="151">
                  <c:v>18.261604938271603</c:v>
                </c:pt>
                <c:pt idx="152">
                  <c:v>18.246543209876542</c:v>
                </c:pt>
                <c:pt idx="153">
                  <c:v>18.242716049382715</c:v>
                </c:pt>
                <c:pt idx="154">
                  <c:v>18.239012345679011</c:v>
                </c:pt>
                <c:pt idx="155">
                  <c:v>18.235185185185184</c:v>
                </c:pt>
                <c:pt idx="156">
                  <c:v>18.239012345679011</c:v>
                </c:pt>
                <c:pt idx="157">
                  <c:v>18.239012345679011</c:v>
                </c:pt>
                <c:pt idx="158">
                  <c:v>18.242716049382715</c:v>
                </c:pt>
                <c:pt idx="159">
                  <c:v>18.231481481481481</c:v>
                </c:pt>
                <c:pt idx="160">
                  <c:v>18.22395061728395</c:v>
                </c:pt>
                <c:pt idx="161">
                  <c:v>18.208765432098765</c:v>
                </c:pt>
                <c:pt idx="162">
                  <c:v>18.205061728395062</c:v>
                </c:pt>
                <c:pt idx="163">
                  <c:v>18.205061728395062</c:v>
                </c:pt>
                <c:pt idx="164">
                  <c:v>18.201234567901235</c:v>
                </c:pt>
                <c:pt idx="165">
                  <c:v>18.201234567901235</c:v>
                </c:pt>
                <c:pt idx="166">
                  <c:v>18.197530864197528</c:v>
                </c:pt>
                <c:pt idx="167">
                  <c:v>18.193703703703704</c:v>
                </c:pt>
                <c:pt idx="168">
                  <c:v>18.186172839506174</c:v>
                </c:pt>
                <c:pt idx="169">
                  <c:v>18.174938271604937</c:v>
                </c:pt>
                <c:pt idx="170">
                  <c:v>18.171111111111109</c:v>
                </c:pt>
                <c:pt idx="171">
                  <c:v>18.174938271604937</c:v>
                </c:pt>
                <c:pt idx="172">
                  <c:v>18.182469135802467</c:v>
                </c:pt>
                <c:pt idx="173">
                  <c:v>18.171111111111109</c:v>
                </c:pt>
                <c:pt idx="174">
                  <c:v>18.163580246913579</c:v>
                </c:pt>
                <c:pt idx="175">
                  <c:v>18.163580246913579</c:v>
                </c:pt>
                <c:pt idx="176">
                  <c:v>18.152345679012342</c:v>
                </c:pt>
                <c:pt idx="177">
                  <c:v>18.140987654320988</c:v>
                </c:pt>
                <c:pt idx="178">
                  <c:v>18.118395061728396</c:v>
                </c:pt>
                <c:pt idx="179">
                  <c:v>18.11469135802469</c:v>
                </c:pt>
                <c:pt idx="180">
                  <c:v>18.103333333333332</c:v>
                </c:pt>
                <c:pt idx="181">
                  <c:v>18.088271604938271</c:v>
                </c:pt>
                <c:pt idx="182">
                  <c:v>18.088271604938271</c:v>
                </c:pt>
                <c:pt idx="183">
                  <c:v>18.080740740740737</c:v>
                </c:pt>
                <c:pt idx="184">
                  <c:v>18.076913580246913</c:v>
                </c:pt>
                <c:pt idx="185">
                  <c:v>18.058148148148145</c:v>
                </c:pt>
                <c:pt idx="186">
                  <c:v>18.043086419753088</c:v>
                </c:pt>
                <c:pt idx="187">
                  <c:v>18.035555555555554</c:v>
                </c:pt>
                <c:pt idx="188">
                  <c:v>18.028024691358024</c:v>
                </c:pt>
                <c:pt idx="189">
                  <c:v>18.035555555555554</c:v>
                </c:pt>
                <c:pt idx="190">
                  <c:v>18.031728395061727</c:v>
                </c:pt>
                <c:pt idx="191">
                  <c:v>18.028024691358024</c:v>
                </c:pt>
                <c:pt idx="192">
                  <c:v>18.0241975308642</c:v>
                </c:pt>
                <c:pt idx="193">
                  <c:v>18.020493827160493</c:v>
                </c:pt>
                <c:pt idx="194">
                  <c:v>18.012962962962959</c:v>
                </c:pt>
                <c:pt idx="195">
                  <c:v>18.001604938271605</c:v>
                </c:pt>
                <c:pt idx="196">
                  <c:v>17.994074074074071</c:v>
                </c:pt>
                <c:pt idx="197">
                  <c:v>17.98654320987654</c:v>
                </c:pt>
                <c:pt idx="198">
                  <c:v>17.982716049382717</c:v>
                </c:pt>
                <c:pt idx="199">
                  <c:v>17.971481481481479</c:v>
                </c:pt>
                <c:pt idx="200">
                  <c:v>17.956419753086422</c:v>
                </c:pt>
                <c:pt idx="201">
                  <c:v>17.952592592592595</c:v>
                </c:pt>
                <c:pt idx="202">
                  <c:v>17.952592592592595</c:v>
                </c:pt>
                <c:pt idx="203">
                  <c:v>17.945061728395061</c:v>
                </c:pt>
                <c:pt idx="204">
                  <c:v>17.933827160493827</c:v>
                </c:pt>
                <c:pt idx="205">
                  <c:v>17.926296296296293</c:v>
                </c:pt>
                <c:pt idx="206">
                  <c:v>17.922469135802466</c:v>
                </c:pt>
                <c:pt idx="207">
                  <c:v>17.922469135802466</c:v>
                </c:pt>
                <c:pt idx="208">
                  <c:v>17.922469135802466</c:v>
                </c:pt>
                <c:pt idx="209">
                  <c:v>17.911234567901232</c:v>
                </c:pt>
                <c:pt idx="210">
                  <c:v>17.903703703703702</c:v>
                </c:pt>
                <c:pt idx="211">
                  <c:v>17.896049382716047</c:v>
                </c:pt>
                <c:pt idx="212">
                  <c:v>17.880987654320986</c:v>
                </c:pt>
                <c:pt idx="213">
                  <c:v>17.873456790123456</c:v>
                </c:pt>
                <c:pt idx="214">
                  <c:v>17.858395061728395</c:v>
                </c:pt>
                <c:pt idx="215">
                  <c:v>17.847160493827161</c:v>
                </c:pt>
                <c:pt idx="216">
                  <c:v>17.839629629629631</c:v>
                </c:pt>
                <c:pt idx="217">
                  <c:v>17.824567901234566</c:v>
                </c:pt>
                <c:pt idx="218">
                  <c:v>17.820740740740739</c:v>
                </c:pt>
                <c:pt idx="219">
                  <c:v>17.817037037037036</c:v>
                </c:pt>
                <c:pt idx="220">
                  <c:v>17.805679012345678</c:v>
                </c:pt>
                <c:pt idx="221">
                  <c:v>17.801975308641975</c:v>
                </c:pt>
                <c:pt idx="222">
                  <c:v>17.798148148148147</c:v>
                </c:pt>
                <c:pt idx="223">
                  <c:v>17.790617283950617</c:v>
                </c:pt>
                <c:pt idx="224">
                  <c:v>17.783086419753086</c:v>
                </c:pt>
                <c:pt idx="225">
                  <c:v>17.779259259259259</c:v>
                </c:pt>
                <c:pt idx="226">
                  <c:v>17.760493827160492</c:v>
                </c:pt>
                <c:pt idx="227">
                  <c:v>17.749135802469137</c:v>
                </c:pt>
                <c:pt idx="228">
                  <c:v>17.7379012345679</c:v>
                </c:pt>
                <c:pt idx="229">
                  <c:v>17.722839506172836</c:v>
                </c:pt>
                <c:pt idx="230">
                  <c:v>17.715308641975309</c:v>
                </c:pt>
                <c:pt idx="231">
                  <c:v>17.703950617283951</c:v>
                </c:pt>
                <c:pt idx="232">
                  <c:v>17.703950617283951</c:v>
                </c:pt>
                <c:pt idx="233">
                  <c:v>17.69641975308642</c:v>
                </c:pt>
                <c:pt idx="234">
                  <c:v>17.685185185185183</c:v>
                </c:pt>
                <c:pt idx="235">
                  <c:v>17.662469135802468</c:v>
                </c:pt>
                <c:pt idx="236">
                  <c:v>17.647407407407407</c:v>
                </c:pt>
                <c:pt idx="237">
                  <c:v>17.643703703703704</c:v>
                </c:pt>
                <c:pt idx="238">
                  <c:v>17.632345679012342</c:v>
                </c:pt>
                <c:pt idx="239">
                  <c:v>17.621111111111112</c:v>
                </c:pt>
                <c:pt idx="240">
                  <c:v>17.617283950617285</c:v>
                </c:pt>
                <c:pt idx="241">
                  <c:v>17.606049382716048</c:v>
                </c:pt>
                <c:pt idx="242">
                  <c:v>17.594691358024694</c:v>
                </c:pt>
                <c:pt idx="243">
                  <c:v>17.58716049382716</c:v>
                </c:pt>
                <c:pt idx="244">
                  <c:v>17.579629629629629</c:v>
                </c:pt>
                <c:pt idx="245">
                  <c:v>17.564567901234565</c:v>
                </c:pt>
                <c:pt idx="246">
                  <c:v>17.553209876543207</c:v>
                </c:pt>
                <c:pt idx="247">
                  <c:v>17.538148148148146</c:v>
                </c:pt>
                <c:pt idx="248">
                  <c:v>17.519382716049382</c:v>
                </c:pt>
                <c:pt idx="249">
                  <c:v>17.504320987654321</c:v>
                </c:pt>
                <c:pt idx="250">
                  <c:v>17.492962962962959</c:v>
                </c:pt>
                <c:pt idx="251">
                  <c:v>17.492962962962959</c:v>
                </c:pt>
                <c:pt idx="252">
                  <c:v>17.485432098765433</c:v>
                </c:pt>
                <c:pt idx="253">
                  <c:v>17.466543209876541</c:v>
                </c:pt>
                <c:pt idx="254">
                  <c:v>17.455308641975307</c:v>
                </c:pt>
                <c:pt idx="255">
                  <c:v>17.440246913580246</c:v>
                </c:pt>
                <c:pt idx="256">
                  <c:v>17.428888888888888</c:v>
                </c:pt>
                <c:pt idx="257">
                  <c:v>17.421358024691358</c:v>
                </c:pt>
                <c:pt idx="258">
                  <c:v>17.406296296296293</c:v>
                </c:pt>
                <c:pt idx="259">
                  <c:v>17.387530864197529</c:v>
                </c:pt>
                <c:pt idx="260">
                  <c:v>17.372469135802469</c:v>
                </c:pt>
                <c:pt idx="261">
                  <c:v>17.357283950617283</c:v>
                </c:pt>
                <c:pt idx="262">
                  <c:v>17.34604938271605</c:v>
                </c:pt>
                <c:pt idx="263">
                  <c:v>17.327160493827162</c:v>
                </c:pt>
                <c:pt idx="264">
                  <c:v>17.308395061728394</c:v>
                </c:pt>
                <c:pt idx="265">
                  <c:v>17.285802469135803</c:v>
                </c:pt>
                <c:pt idx="266">
                  <c:v>17.266913580246914</c:v>
                </c:pt>
                <c:pt idx="267">
                  <c:v>17.244320987654319</c:v>
                </c:pt>
                <c:pt idx="268">
                  <c:v>17.229259259259258</c:v>
                </c:pt>
                <c:pt idx="269">
                  <c:v>17.21037037037037</c:v>
                </c:pt>
                <c:pt idx="270">
                  <c:v>17.195308641975309</c:v>
                </c:pt>
                <c:pt idx="271">
                  <c:v>17.180246913580245</c:v>
                </c:pt>
                <c:pt idx="272">
                  <c:v>17.161481481481481</c:v>
                </c:pt>
                <c:pt idx="273">
                  <c:v>17.142592592592592</c:v>
                </c:pt>
                <c:pt idx="274">
                  <c:v>17.127530864197528</c:v>
                </c:pt>
                <c:pt idx="275">
                  <c:v>17.112469135802467</c:v>
                </c:pt>
                <c:pt idx="276">
                  <c:v>17.089876543209876</c:v>
                </c:pt>
                <c:pt idx="277">
                  <c:v>17.067283950617281</c:v>
                </c:pt>
                <c:pt idx="278">
                  <c:v>17.048395061728392</c:v>
                </c:pt>
                <c:pt idx="279">
                  <c:v>17.018271604938271</c:v>
                </c:pt>
                <c:pt idx="280">
                  <c:v>16.995679012345676</c:v>
                </c:pt>
                <c:pt idx="281">
                  <c:v>16.973086419753084</c:v>
                </c:pt>
                <c:pt idx="282">
                  <c:v>16.946666666666665</c:v>
                </c:pt>
                <c:pt idx="283">
                  <c:v>16.916543209876544</c:v>
                </c:pt>
                <c:pt idx="284">
                  <c:v>16.890123456790121</c:v>
                </c:pt>
                <c:pt idx="285">
                  <c:v>16.86</c:v>
                </c:pt>
                <c:pt idx="286">
                  <c:v>16.833703703703701</c:v>
                </c:pt>
                <c:pt idx="287">
                  <c:v>16.807283950617283</c:v>
                </c:pt>
                <c:pt idx="288">
                  <c:v>16.777160493827161</c:v>
                </c:pt>
                <c:pt idx="289">
                  <c:v>16.750740740740738</c:v>
                </c:pt>
                <c:pt idx="290">
                  <c:v>16.716790123456789</c:v>
                </c:pt>
                <c:pt idx="291">
                  <c:v>16.686666666666664</c:v>
                </c:pt>
                <c:pt idx="292">
                  <c:v>16.660370370370369</c:v>
                </c:pt>
                <c:pt idx="293">
                  <c:v>16.630246913580244</c:v>
                </c:pt>
                <c:pt idx="294">
                  <c:v>16.607530864197528</c:v>
                </c:pt>
                <c:pt idx="295">
                  <c:v>16.581234567901234</c:v>
                </c:pt>
                <c:pt idx="296">
                  <c:v>16.562345679012346</c:v>
                </c:pt>
                <c:pt idx="297">
                  <c:v>16.539753086419751</c:v>
                </c:pt>
                <c:pt idx="298">
                  <c:v>16.509629629629632</c:v>
                </c:pt>
                <c:pt idx="299">
                  <c:v>16.471975308641973</c:v>
                </c:pt>
                <c:pt idx="300">
                  <c:v>16.438024691358024</c:v>
                </c:pt>
                <c:pt idx="301">
                  <c:v>16.396666666666665</c:v>
                </c:pt>
                <c:pt idx="302">
                  <c:v>16.358888888888888</c:v>
                </c:pt>
                <c:pt idx="303">
                  <c:v>16.32506172839506</c:v>
                </c:pt>
                <c:pt idx="304">
                  <c:v>16.287283950617283</c:v>
                </c:pt>
                <c:pt idx="305">
                  <c:v>16.245925925925924</c:v>
                </c:pt>
                <c:pt idx="306">
                  <c:v>16.204444444444441</c:v>
                </c:pt>
                <c:pt idx="307">
                  <c:v>16.159259259259258</c:v>
                </c:pt>
                <c:pt idx="308">
                  <c:v>16.114074074074072</c:v>
                </c:pt>
                <c:pt idx="309">
                  <c:v>16.065061728395062</c:v>
                </c:pt>
                <c:pt idx="310">
                  <c:v>16.027407407407406</c:v>
                </c:pt>
                <c:pt idx="311">
                  <c:v>15.982222222222221</c:v>
                </c:pt>
                <c:pt idx="312">
                  <c:v>15.936913580246911</c:v>
                </c:pt>
                <c:pt idx="313">
                  <c:v>15.884197530864196</c:v>
                </c:pt>
                <c:pt idx="314">
                  <c:v>15.827654320987653</c:v>
                </c:pt>
                <c:pt idx="315">
                  <c:v>15.771234567901235</c:v>
                </c:pt>
                <c:pt idx="316">
                  <c:v>15.722222222222221</c:v>
                </c:pt>
                <c:pt idx="317">
                  <c:v>15.665679012345679</c:v>
                </c:pt>
                <c:pt idx="318">
                  <c:v>15.60543209876543</c:v>
                </c:pt>
                <c:pt idx="319">
                  <c:v>15.545185185185185</c:v>
                </c:pt>
                <c:pt idx="320">
                  <c:v>15.473580246913581</c:v>
                </c:pt>
                <c:pt idx="321">
                  <c:v>15.413209876543208</c:v>
                </c:pt>
                <c:pt idx="322">
                  <c:v>15.341728395061727</c:v>
                </c:pt>
                <c:pt idx="323">
                  <c:v>15.266296296296295</c:v>
                </c:pt>
                <c:pt idx="324">
                  <c:v>15.187160493827157</c:v>
                </c:pt>
                <c:pt idx="325">
                  <c:v>15.108024691358024</c:v>
                </c:pt>
                <c:pt idx="326">
                  <c:v>15.032716049382715</c:v>
                </c:pt>
                <c:pt idx="327">
                  <c:v>14.957407407407405</c:v>
                </c:pt>
                <c:pt idx="328">
                  <c:v>14.874444444444444</c:v>
                </c:pt>
                <c:pt idx="329">
                  <c:v>14.784074074074075</c:v>
                </c:pt>
                <c:pt idx="330">
                  <c:v>14.686172839506172</c:v>
                </c:pt>
                <c:pt idx="331">
                  <c:v>14.588148148148147</c:v>
                </c:pt>
                <c:pt idx="332">
                  <c:v>14.486419753086418</c:v>
                </c:pt>
                <c:pt idx="333">
                  <c:v>14.369629629629628</c:v>
                </c:pt>
                <c:pt idx="334">
                  <c:v>14.252839506172839</c:v>
                </c:pt>
                <c:pt idx="335">
                  <c:v>14.136049382716049</c:v>
                </c:pt>
                <c:pt idx="336">
                  <c:v>14.004197530864197</c:v>
                </c:pt>
                <c:pt idx="337">
                  <c:v>13.864814814814812</c:v>
                </c:pt>
                <c:pt idx="338">
                  <c:v>13.729135802469134</c:v>
                </c:pt>
                <c:pt idx="339">
                  <c:v>13.578395061728394</c:v>
                </c:pt>
                <c:pt idx="340">
                  <c:v>13.420246913580247</c:v>
                </c:pt>
                <c:pt idx="341">
                  <c:v>13.258148148148148</c:v>
                </c:pt>
                <c:pt idx="342">
                  <c:v>13.08111111111111</c:v>
                </c:pt>
                <c:pt idx="343">
                  <c:v>12.900246913580247</c:v>
                </c:pt>
                <c:pt idx="344">
                  <c:v>12.700617283950615</c:v>
                </c:pt>
                <c:pt idx="345">
                  <c:v>12.49716049382716</c:v>
                </c:pt>
                <c:pt idx="346">
                  <c:v>12.263543209876541</c:v>
                </c:pt>
                <c:pt idx="347">
                  <c:v>12.018654320987654</c:v>
                </c:pt>
                <c:pt idx="348">
                  <c:v>11.754913580246914</c:v>
                </c:pt>
                <c:pt idx="349">
                  <c:v>11.487419753086421</c:v>
                </c:pt>
                <c:pt idx="350">
                  <c:v>11.197308641975308</c:v>
                </c:pt>
                <c:pt idx="351">
                  <c:v>10.888370370370369</c:v>
                </c:pt>
                <c:pt idx="352">
                  <c:v>10.568123456790124</c:v>
                </c:pt>
                <c:pt idx="353">
                  <c:v>10.210197530864198</c:v>
                </c:pt>
                <c:pt idx="354">
                  <c:v>9.8372098765432092</c:v>
                </c:pt>
                <c:pt idx="355">
                  <c:v>9.4189999999999987</c:v>
                </c:pt>
                <c:pt idx="356">
                  <c:v>8.9480493827160483</c:v>
                </c:pt>
                <c:pt idx="357">
                  <c:v>8.4394320987654314</c:v>
                </c:pt>
                <c:pt idx="358">
                  <c:v>7.8742839506172837</c:v>
                </c:pt>
                <c:pt idx="359">
                  <c:v>7.2677037037037033</c:v>
                </c:pt>
                <c:pt idx="360">
                  <c:v>6.5782345679012337</c:v>
                </c:pt>
                <c:pt idx="361">
                  <c:v>5.8054938271604941</c:v>
                </c:pt>
                <c:pt idx="362">
                  <c:v>4.945358024691358</c:v>
                </c:pt>
                <c:pt idx="363">
                  <c:v>3.9250864197530859</c:v>
                </c:pt>
                <c:pt idx="364">
                  <c:v>2.7526049382716047</c:v>
                </c:pt>
                <c:pt idx="365">
                  <c:v>1.373296296296296</c:v>
                </c:pt>
                <c:pt idx="366">
                  <c:v>-0.30807654320987649</c:v>
                </c:pt>
                <c:pt idx="367">
                  <c:v>-2.3524938271604934</c:v>
                </c:pt>
                <c:pt idx="368">
                  <c:v>-4.7893703703703698</c:v>
                </c:pt>
                <c:pt idx="369">
                  <c:v>-7.7198148148148142</c:v>
                </c:pt>
                <c:pt idx="370">
                  <c:v>-11.189777777777778</c:v>
                </c:pt>
                <c:pt idx="371">
                  <c:v>-15.187160493827157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7435-4110-8E96-102166006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356928"/>
        <c:axId val="63358464"/>
      </c:scatterChart>
      <c:valAx>
        <c:axId val="63356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3358464"/>
        <c:crosses val="autoZero"/>
        <c:crossBetween val="midCat"/>
      </c:valAx>
      <c:valAx>
        <c:axId val="63358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3356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'20221210T210000'!$AV$10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'20221210T210000'!$AQ$11:$AQ$398</c:f>
              <c:numCache>
                <c:formatCode>General</c:formatCode>
                <c:ptCount val="388"/>
                <c:pt idx="0">
                  <c:v>1.76498</c:v>
                </c:pt>
                <c:pt idx="1">
                  <c:v>1.7599499999999999</c:v>
                </c:pt>
                <c:pt idx="2">
                  <c:v>1.75491</c:v>
                </c:pt>
                <c:pt idx="3">
                  <c:v>1.7498800000000001</c:v>
                </c:pt>
                <c:pt idx="4">
                  <c:v>1.7448399999999999</c:v>
                </c:pt>
                <c:pt idx="5">
                  <c:v>1.7398100000000001</c:v>
                </c:pt>
                <c:pt idx="6">
                  <c:v>1.7347699999999999</c:v>
                </c:pt>
                <c:pt idx="7">
                  <c:v>1.7297400000000001</c:v>
                </c:pt>
                <c:pt idx="8">
                  <c:v>1.7246999999999999</c:v>
                </c:pt>
                <c:pt idx="9">
                  <c:v>1.71967</c:v>
                </c:pt>
                <c:pt idx="10">
                  <c:v>1.7146300000000001</c:v>
                </c:pt>
                <c:pt idx="11">
                  <c:v>1.7095899999999999</c:v>
                </c:pt>
                <c:pt idx="12">
                  <c:v>1.7045600000000001</c:v>
                </c:pt>
                <c:pt idx="13">
                  <c:v>1.6995199999999999</c:v>
                </c:pt>
                <c:pt idx="14">
                  <c:v>1.6944900000000001</c:v>
                </c:pt>
                <c:pt idx="15">
                  <c:v>1.6894499999999999</c:v>
                </c:pt>
                <c:pt idx="16">
                  <c:v>1.68442</c:v>
                </c:pt>
                <c:pt idx="17">
                  <c:v>1.6793800000000001</c:v>
                </c:pt>
                <c:pt idx="18">
                  <c:v>1.67435</c:v>
                </c:pt>
                <c:pt idx="19">
                  <c:v>1.6693100000000001</c:v>
                </c:pt>
                <c:pt idx="20">
                  <c:v>1.66428</c:v>
                </c:pt>
                <c:pt idx="21">
                  <c:v>1.65924</c:v>
                </c:pt>
                <c:pt idx="22">
                  <c:v>1.65421</c:v>
                </c:pt>
                <c:pt idx="23">
                  <c:v>1.64917</c:v>
                </c:pt>
                <c:pt idx="24">
                  <c:v>1.6441300000000001</c:v>
                </c:pt>
                <c:pt idx="25">
                  <c:v>1.6391</c:v>
                </c:pt>
                <c:pt idx="26">
                  <c:v>1.6340600000000001</c:v>
                </c:pt>
                <c:pt idx="27">
                  <c:v>1.62903</c:v>
                </c:pt>
                <c:pt idx="28">
                  <c:v>1.62399</c:v>
                </c:pt>
                <c:pt idx="29">
                  <c:v>1.61896</c:v>
                </c:pt>
                <c:pt idx="30">
                  <c:v>1.61392</c:v>
                </c:pt>
                <c:pt idx="31">
                  <c:v>1.6088899999999999</c:v>
                </c:pt>
                <c:pt idx="32">
                  <c:v>1.60385</c:v>
                </c:pt>
                <c:pt idx="33">
                  <c:v>1.5988199999999999</c:v>
                </c:pt>
                <c:pt idx="34">
                  <c:v>1.59378</c:v>
                </c:pt>
                <c:pt idx="35">
                  <c:v>1.5887500000000001</c:v>
                </c:pt>
                <c:pt idx="36">
                  <c:v>1.58371</c:v>
                </c:pt>
                <c:pt idx="37">
                  <c:v>1.57867</c:v>
                </c:pt>
                <c:pt idx="38">
                  <c:v>1.5736399999999999</c:v>
                </c:pt>
                <c:pt idx="39">
                  <c:v>1.5686</c:v>
                </c:pt>
                <c:pt idx="40">
                  <c:v>1.5635699999999999</c:v>
                </c:pt>
                <c:pt idx="41">
                  <c:v>1.55853</c:v>
                </c:pt>
                <c:pt idx="42">
                  <c:v>1.5535000000000001</c:v>
                </c:pt>
                <c:pt idx="43">
                  <c:v>1.5484599999999999</c:v>
                </c:pt>
                <c:pt idx="44">
                  <c:v>1.5434300000000001</c:v>
                </c:pt>
                <c:pt idx="45">
                  <c:v>1.5383899999999999</c:v>
                </c:pt>
                <c:pt idx="46">
                  <c:v>1.5333600000000001</c:v>
                </c:pt>
                <c:pt idx="47">
                  <c:v>1.5283199999999999</c:v>
                </c:pt>
                <c:pt idx="48">
                  <c:v>1.52328</c:v>
                </c:pt>
                <c:pt idx="49">
                  <c:v>1.5182500000000001</c:v>
                </c:pt>
                <c:pt idx="50">
                  <c:v>1.5132099999999999</c:v>
                </c:pt>
                <c:pt idx="51">
                  <c:v>1.5081800000000001</c:v>
                </c:pt>
                <c:pt idx="52">
                  <c:v>1.5031399999999999</c:v>
                </c:pt>
                <c:pt idx="53">
                  <c:v>1.4981100000000001</c:v>
                </c:pt>
                <c:pt idx="54">
                  <c:v>1.4930699999999999</c:v>
                </c:pt>
                <c:pt idx="55">
                  <c:v>1.48804</c:v>
                </c:pt>
                <c:pt idx="56">
                  <c:v>1.4830000000000001</c:v>
                </c:pt>
                <c:pt idx="57">
                  <c:v>1.47797</c:v>
                </c:pt>
                <c:pt idx="58">
                  <c:v>1.4729300000000001</c:v>
                </c:pt>
                <c:pt idx="59">
                  <c:v>1.4679</c:v>
                </c:pt>
                <c:pt idx="60">
                  <c:v>1.46286</c:v>
                </c:pt>
                <c:pt idx="61">
                  <c:v>1.4578199999999999</c:v>
                </c:pt>
                <c:pt idx="62">
                  <c:v>1.45279</c:v>
                </c:pt>
                <c:pt idx="63">
                  <c:v>1.4477500000000001</c:v>
                </c:pt>
                <c:pt idx="64">
                  <c:v>1.44272</c:v>
                </c:pt>
                <c:pt idx="65">
                  <c:v>1.4376800000000001</c:v>
                </c:pt>
                <c:pt idx="66">
                  <c:v>1.43265</c:v>
                </c:pt>
                <c:pt idx="67">
                  <c:v>1.42761</c:v>
                </c:pt>
                <c:pt idx="68">
                  <c:v>1.42258</c:v>
                </c:pt>
                <c:pt idx="69">
                  <c:v>1.41754</c:v>
                </c:pt>
                <c:pt idx="70">
                  <c:v>1.4125099999999999</c:v>
                </c:pt>
                <c:pt idx="71">
                  <c:v>1.40747</c:v>
                </c:pt>
                <c:pt idx="72">
                  <c:v>1.4024399999999999</c:v>
                </c:pt>
                <c:pt idx="73">
                  <c:v>1.3974</c:v>
                </c:pt>
                <c:pt idx="74">
                  <c:v>1.39236</c:v>
                </c:pt>
                <c:pt idx="75">
                  <c:v>1.38733</c:v>
                </c:pt>
                <c:pt idx="76">
                  <c:v>1.38229</c:v>
                </c:pt>
                <c:pt idx="77">
                  <c:v>1.3772599999999999</c:v>
                </c:pt>
                <c:pt idx="78">
                  <c:v>1.37222</c:v>
                </c:pt>
                <c:pt idx="79">
                  <c:v>1.3671899999999999</c:v>
                </c:pt>
                <c:pt idx="80">
                  <c:v>1.36215</c:v>
                </c:pt>
                <c:pt idx="81">
                  <c:v>1.3571200000000001</c:v>
                </c:pt>
                <c:pt idx="82">
                  <c:v>1.3520799999999999</c:v>
                </c:pt>
                <c:pt idx="83">
                  <c:v>1.3470500000000001</c:v>
                </c:pt>
                <c:pt idx="84">
                  <c:v>1.3420099999999999</c:v>
                </c:pt>
                <c:pt idx="85">
                  <c:v>1.3369800000000001</c:v>
                </c:pt>
                <c:pt idx="86">
                  <c:v>1.3319399999999999</c:v>
                </c:pt>
                <c:pt idx="87">
                  <c:v>1.3269</c:v>
                </c:pt>
                <c:pt idx="88">
                  <c:v>1.3218700000000001</c:v>
                </c:pt>
                <c:pt idx="89">
                  <c:v>1.3168299999999999</c:v>
                </c:pt>
                <c:pt idx="90">
                  <c:v>1.3118000000000001</c:v>
                </c:pt>
                <c:pt idx="91">
                  <c:v>1.3067599999999999</c:v>
                </c:pt>
                <c:pt idx="92">
                  <c:v>1.3017300000000001</c:v>
                </c:pt>
                <c:pt idx="93">
                  <c:v>1.2966899999999999</c:v>
                </c:pt>
                <c:pt idx="94">
                  <c:v>1.29166</c:v>
                </c:pt>
                <c:pt idx="95">
                  <c:v>1.2866200000000001</c:v>
                </c:pt>
                <c:pt idx="96">
                  <c:v>1.28159</c:v>
                </c:pt>
                <c:pt idx="97">
                  <c:v>1.2765500000000001</c:v>
                </c:pt>
                <c:pt idx="98">
                  <c:v>1.2715099999999999</c:v>
                </c:pt>
                <c:pt idx="99">
                  <c:v>1.2664800000000001</c:v>
                </c:pt>
                <c:pt idx="100">
                  <c:v>1.2614399999999999</c:v>
                </c:pt>
                <c:pt idx="101">
                  <c:v>1.25641</c:v>
                </c:pt>
                <c:pt idx="102">
                  <c:v>1.2513700000000001</c:v>
                </c:pt>
                <c:pt idx="103">
                  <c:v>1.24634</c:v>
                </c:pt>
                <c:pt idx="104">
                  <c:v>1.2413000000000001</c:v>
                </c:pt>
                <c:pt idx="105">
                  <c:v>1.23627</c:v>
                </c:pt>
                <c:pt idx="106">
                  <c:v>1.23123</c:v>
                </c:pt>
                <c:pt idx="107">
                  <c:v>1.2262</c:v>
                </c:pt>
                <c:pt idx="108">
                  <c:v>1.22116</c:v>
                </c:pt>
                <c:pt idx="109">
                  <c:v>1.2161299999999999</c:v>
                </c:pt>
                <c:pt idx="110">
                  <c:v>1.21109</c:v>
                </c:pt>
                <c:pt idx="111">
                  <c:v>1.2060500000000001</c:v>
                </c:pt>
                <c:pt idx="112">
                  <c:v>1.20102</c:v>
                </c:pt>
                <c:pt idx="113">
                  <c:v>1.19598</c:v>
                </c:pt>
                <c:pt idx="114">
                  <c:v>1.19095</c:v>
                </c:pt>
                <c:pt idx="115">
                  <c:v>1.18591</c:v>
                </c:pt>
                <c:pt idx="116">
                  <c:v>1.1808799999999999</c:v>
                </c:pt>
                <c:pt idx="117">
                  <c:v>1.17584</c:v>
                </c:pt>
                <c:pt idx="118">
                  <c:v>1.1708099999999999</c:v>
                </c:pt>
                <c:pt idx="119">
                  <c:v>1.16577</c:v>
                </c:pt>
                <c:pt idx="120">
                  <c:v>1.1607400000000001</c:v>
                </c:pt>
                <c:pt idx="121">
                  <c:v>1.1556999999999999</c:v>
                </c:pt>
                <c:pt idx="122">
                  <c:v>1.1506700000000001</c:v>
                </c:pt>
                <c:pt idx="123">
                  <c:v>1.1456299999999999</c:v>
                </c:pt>
                <c:pt idx="124">
                  <c:v>1.14059</c:v>
                </c:pt>
                <c:pt idx="125">
                  <c:v>1.1355599999999999</c:v>
                </c:pt>
                <c:pt idx="126">
                  <c:v>1.13052</c:v>
                </c:pt>
                <c:pt idx="127">
                  <c:v>1.1254900000000001</c:v>
                </c:pt>
                <c:pt idx="128">
                  <c:v>1.1204499999999999</c:v>
                </c:pt>
                <c:pt idx="129">
                  <c:v>1.1154200000000001</c:v>
                </c:pt>
                <c:pt idx="130">
                  <c:v>1.1103799999999999</c:v>
                </c:pt>
                <c:pt idx="131">
                  <c:v>1.1053500000000001</c:v>
                </c:pt>
                <c:pt idx="132">
                  <c:v>1.1003099999999999</c:v>
                </c:pt>
                <c:pt idx="133">
                  <c:v>1.09528</c:v>
                </c:pt>
                <c:pt idx="134">
                  <c:v>1.0902400000000001</c:v>
                </c:pt>
                <c:pt idx="135">
                  <c:v>1.08521</c:v>
                </c:pt>
                <c:pt idx="136">
                  <c:v>1.0801700000000001</c:v>
                </c:pt>
                <c:pt idx="137">
                  <c:v>1.0751299999999999</c:v>
                </c:pt>
                <c:pt idx="138">
                  <c:v>1.0701000000000001</c:v>
                </c:pt>
                <c:pt idx="139">
                  <c:v>1.0650599999999999</c:v>
                </c:pt>
                <c:pt idx="140">
                  <c:v>1.06003</c:v>
                </c:pt>
                <c:pt idx="141">
                  <c:v>1.0549900000000001</c:v>
                </c:pt>
                <c:pt idx="142">
                  <c:v>1.04996</c:v>
                </c:pt>
                <c:pt idx="143">
                  <c:v>1.0449200000000001</c:v>
                </c:pt>
                <c:pt idx="144">
                  <c:v>1.03989</c:v>
                </c:pt>
                <c:pt idx="145">
                  <c:v>1.03485</c:v>
                </c:pt>
                <c:pt idx="146">
                  <c:v>1.02982</c:v>
                </c:pt>
                <c:pt idx="147">
                  <c:v>1.02478</c:v>
                </c:pt>
                <c:pt idx="148">
                  <c:v>1.0197400000000001</c:v>
                </c:pt>
                <c:pt idx="149">
                  <c:v>1.01471</c:v>
                </c:pt>
                <c:pt idx="150">
                  <c:v>1.0096700000000001</c:v>
                </c:pt>
                <c:pt idx="151">
                  <c:v>1.00464</c:v>
                </c:pt>
                <c:pt idx="152">
                  <c:v>0.99960300000000002</c:v>
                </c:pt>
                <c:pt idx="153">
                  <c:v>0.99456800000000001</c:v>
                </c:pt>
                <c:pt idx="154">
                  <c:v>0.98953199999999997</c:v>
                </c:pt>
                <c:pt idx="155">
                  <c:v>0.98449699999999996</c:v>
                </c:pt>
                <c:pt idx="156">
                  <c:v>0.97946200000000005</c:v>
                </c:pt>
                <c:pt idx="157">
                  <c:v>0.97442600000000001</c:v>
                </c:pt>
                <c:pt idx="158">
                  <c:v>0.969391</c:v>
                </c:pt>
                <c:pt idx="159">
                  <c:v>0.96435499999999996</c:v>
                </c:pt>
                <c:pt idx="160">
                  <c:v>0.95931999999999995</c:v>
                </c:pt>
                <c:pt idx="161">
                  <c:v>0.95428500000000005</c:v>
                </c:pt>
                <c:pt idx="162">
                  <c:v>0.94924900000000001</c:v>
                </c:pt>
                <c:pt idx="163">
                  <c:v>0.944214</c:v>
                </c:pt>
                <c:pt idx="164">
                  <c:v>0.93917799999999996</c:v>
                </c:pt>
                <c:pt idx="165">
                  <c:v>0.93414299999999995</c:v>
                </c:pt>
                <c:pt idx="166">
                  <c:v>0.92910800000000004</c:v>
                </c:pt>
                <c:pt idx="167">
                  <c:v>0.924072</c:v>
                </c:pt>
                <c:pt idx="168">
                  <c:v>0.91903699999999999</c:v>
                </c:pt>
                <c:pt idx="169">
                  <c:v>0.91400099999999995</c:v>
                </c:pt>
                <c:pt idx="170">
                  <c:v>0.90896600000000005</c:v>
                </c:pt>
                <c:pt idx="171">
                  <c:v>0.90393100000000004</c:v>
                </c:pt>
                <c:pt idx="172">
                  <c:v>0.898895</c:v>
                </c:pt>
                <c:pt idx="173">
                  <c:v>0.89385999999999999</c:v>
                </c:pt>
                <c:pt idx="174">
                  <c:v>0.88882399999999995</c:v>
                </c:pt>
                <c:pt idx="175">
                  <c:v>0.88378900000000005</c:v>
                </c:pt>
                <c:pt idx="176">
                  <c:v>0.87875400000000004</c:v>
                </c:pt>
                <c:pt idx="177">
                  <c:v>0.87371799999999999</c:v>
                </c:pt>
                <c:pt idx="178">
                  <c:v>0.86868299999999998</c:v>
                </c:pt>
                <c:pt idx="179">
                  <c:v>0.86364700000000005</c:v>
                </c:pt>
                <c:pt idx="180">
                  <c:v>0.85861200000000004</c:v>
                </c:pt>
                <c:pt idx="181">
                  <c:v>0.85357700000000003</c:v>
                </c:pt>
                <c:pt idx="182">
                  <c:v>0.84854099999999999</c:v>
                </c:pt>
                <c:pt idx="183">
                  <c:v>0.84350599999999998</c:v>
                </c:pt>
                <c:pt idx="184">
                  <c:v>0.83847000000000005</c:v>
                </c:pt>
                <c:pt idx="185">
                  <c:v>0.83343500000000004</c:v>
                </c:pt>
                <c:pt idx="186">
                  <c:v>0.82840000000000003</c:v>
                </c:pt>
                <c:pt idx="187">
                  <c:v>0.82336399999999998</c:v>
                </c:pt>
                <c:pt idx="188">
                  <c:v>0.81832899999999997</c:v>
                </c:pt>
                <c:pt idx="189">
                  <c:v>0.81329300000000004</c:v>
                </c:pt>
                <c:pt idx="190">
                  <c:v>0.80825800000000003</c:v>
                </c:pt>
                <c:pt idx="191">
                  <c:v>0.80322300000000002</c:v>
                </c:pt>
                <c:pt idx="192">
                  <c:v>0.79818699999999998</c:v>
                </c:pt>
                <c:pt idx="193">
                  <c:v>0.79315199999999997</c:v>
                </c:pt>
                <c:pt idx="194">
                  <c:v>0.78811600000000004</c:v>
                </c:pt>
                <c:pt idx="195">
                  <c:v>0.78308100000000003</c:v>
                </c:pt>
                <c:pt idx="196">
                  <c:v>0.77804600000000002</c:v>
                </c:pt>
                <c:pt idx="197">
                  <c:v>0.77300999999999997</c:v>
                </c:pt>
                <c:pt idx="198">
                  <c:v>0.76797499999999996</c:v>
                </c:pt>
                <c:pt idx="199">
                  <c:v>0.76293900000000003</c:v>
                </c:pt>
                <c:pt idx="200">
                  <c:v>0.75790400000000002</c:v>
                </c:pt>
                <c:pt idx="201">
                  <c:v>0.75286900000000001</c:v>
                </c:pt>
                <c:pt idx="202">
                  <c:v>0.74783299999999997</c:v>
                </c:pt>
                <c:pt idx="203">
                  <c:v>0.74279799999999996</c:v>
                </c:pt>
                <c:pt idx="204">
                  <c:v>0.73776200000000003</c:v>
                </c:pt>
                <c:pt idx="205">
                  <c:v>0.73272700000000002</c:v>
                </c:pt>
                <c:pt idx="206">
                  <c:v>0.72769200000000001</c:v>
                </c:pt>
                <c:pt idx="207">
                  <c:v>0.72265599999999997</c:v>
                </c:pt>
                <c:pt idx="208">
                  <c:v>0.71762099999999995</c:v>
                </c:pt>
                <c:pt idx="209">
                  <c:v>0.71258500000000002</c:v>
                </c:pt>
                <c:pt idx="210">
                  <c:v>0.70755000000000001</c:v>
                </c:pt>
                <c:pt idx="211">
                  <c:v>0.702515</c:v>
                </c:pt>
                <c:pt idx="212">
                  <c:v>0.69747899999999996</c:v>
                </c:pt>
                <c:pt idx="213">
                  <c:v>0.69244399999999995</c:v>
                </c:pt>
                <c:pt idx="214">
                  <c:v>0.68740800000000002</c:v>
                </c:pt>
                <c:pt idx="215">
                  <c:v>0.68237300000000001</c:v>
                </c:pt>
                <c:pt idx="216">
                  <c:v>0.677338</c:v>
                </c:pt>
                <c:pt idx="217">
                  <c:v>0.67230199999999996</c:v>
                </c:pt>
                <c:pt idx="218">
                  <c:v>0.66726700000000005</c:v>
                </c:pt>
                <c:pt idx="219">
                  <c:v>0.66223100000000001</c:v>
                </c:pt>
                <c:pt idx="220">
                  <c:v>0.657196</c:v>
                </c:pt>
                <c:pt idx="221">
                  <c:v>0.65216099999999999</c:v>
                </c:pt>
                <c:pt idx="222">
                  <c:v>0.64712499999999995</c:v>
                </c:pt>
                <c:pt idx="223">
                  <c:v>0.64209000000000005</c:v>
                </c:pt>
                <c:pt idx="224">
                  <c:v>0.63705400000000001</c:v>
                </c:pt>
                <c:pt idx="225">
                  <c:v>0.632019</c:v>
                </c:pt>
                <c:pt idx="226">
                  <c:v>0.62698399999999999</c:v>
                </c:pt>
                <c:pt idx="227">
                  <c:v>0.62194799999999995</c:v>
                </c:pt>
                <c:pt idx="228">
                  <c:v>0.61691300000000004</c:v>
                </c:pt>
                <c:pt idx="229">
                  <c:v>0.611877</c:v>
                </c:pt>
                <c:pt idx="230">
                  <c:v>0.60684199999999999</c:v>
                </c:pt>
                <c:pt idx="231">
                  <c:v>0.60180699999999998</c:v>
                </c:pt>
                <c:pt idx="232">
                  <c:v>0.59677100000000005</c:v>
                </c:pt>
                <c:pt idx="233">
                  <c:v>0.59173600000000004</c:v>
                </c:pt>
                <c:pt idx="234">
                  <c:v>0.5867</c:v>
                </c:pt>
                <c:pt idx="235">
                  <c:v>0.58166499999999999</c:v>
                </c:pt>
                <c:pt idx="236">
                  <c:v>0.57662999999999998</c:v>
                </c:pt>
                <c:pt idx="237">
                  <c:v>0.57159400000000005</c:v>
                </c:pt>
                <c:pt idx="238">
                  <c:v>0.56655900000000003</c:v>
                </c:pt>
                <c:pt idx="239">
                  <c:v>0.56152299999999999</c:v>
                </c:pt>
                <c:pt idx="240">
                  <c:v>0.55648799999999998</c:v>
                </c:pt>
                <c:pt idx="241">
                  <c:v>0.55145299999999997</c:v>
                </c:pt>
                <c:pt idx="242">
                  <c:v>0.54641700000000004</c:v>
                </c:pt>
                <c:pt idx="243">
                  <c:v>0.54138200000000003</c:v>
                </c:pt>
                <c:pt idx="244">
                  <c:v>0.53634599999999999</c:v>
                </c:pt>
                <c:pt idx="245">
                  <c:v>0.53131099999999998</c:v>
                </c:pt>
                <c:pt idx="246">
                  <c:v>0.52627599999999997</c:v>
                </c:pt>
                <c:pt idx="247">
                  <c:v>0.52124000000000004</c:v>
                </c:pt>
                <c:pt idx="248">
                  <c:v>0.51620500000000002</c:v>
                </c:pt>
                <c:pt idx="249">
                  <c:v>0.51116899999999998</c:v>
                </c:pt>
                <c:pt idx="250">
                  <c:v>0.50613399999999997</c:v>
                </c:pt>
                <c:pt idx="251">
                  <c:v>0.50109899999999996</c:v>
                </c:pt>
                <c:pt idx="252">
                  <c:v>0.49606299999999998</c:v>
                </c:pt>
                <c:pt idx="253">
                  <c:v>0.49102800000000002</c:v>
                </c:pt>
                <c:pt idx="254">
                  <c:v>0.48599199999999998</c:v>
                </c:pt>
                <c:pt idx="255">
                  <c:v>0.48095700000000002</c:v>
                </c:pt>
                <c:pt idx="256">
                  <c:v>0.47592200000000001</c:v>
                </c:pt>
                <c:pt idx="257">
                  <c:v>0.47088600000000003</c:v>
                </c:pt>
                <c:pt idx="258">
                  <c:v>0.46585100000000002</c:v>
                </c:pt>
                <c:pt idx="259">
                  <c:v>0.46081499999999997</c:v>
                </c:pt>
                <c:pt idx="260">
                  <c:v>0.45578000000000002</c:v>
                </c:pt>
                <c:pt idx="261">
                  <c:v>0.45074500000000001</c:v>
                </c:pt>
                <c:pt idx="262">
                  <c:v>0.44570900000000002</c:v>
                </c:pt>
                <c:pt idx="263">
                  <c:v>0.44067400000000001</c:v>
                </c:pt>
                <c:pt idx="264">
                  <c:v>0.43563800000000003</c:v>
                </c:pt>
                <c:pt idx="265">
                  <c:v>0.43060300000000001</c:v>
                </c:pt>
                <c:pt idx="266">
                  <c:v>0.425568</c:v>
                </c:pt>
                <c:pt idx="267">
                  <c:v>0.42053200000000002</c:v>
                </c:pt>
                <c:pt idx="268">
                  <c:v>0.41549700000000001</c:v>
                </c:pt>
                <c:pt idx="269">
                  <c:v>0.41046100000000002</c:v>
                </c:pt>
                <c:pt idx="270">
                  <c:v>0.40542600000000001</c:v>
                </c:pt>
                <c:pt idx="271">
                  <c:v>0.400391</c:v>
                </c:pt>
                <c:pt idx="272">
                  <c:v>0.39535500000000001</c:v>
                </c:pt>
                <c:pt idx="273">
                  <c:v>0.39032</c:v>
                </c:pt>
                <c:pt idx="274">
                  <c:v>0.38528400000000002</c:v>
                </c:pt>
                <c:pt idx="275">
                  <c:v>0.380249</c:v>
                </c:pt>
                <c:pt idx="276">
                  <c:v>0.37521399999999999</c:v>
                </c:pt>
                <c:pt idx="277">
                  <c:v>0.37017800000000001</c:v>
                </c:pt>
                <c:pt idx="278">
                  <c:v>0.365143</c:v>
                </c:pt>
                <c:pt idx="279">
                  <c:v>0.36010700000000001</c:v>
                </c:pt>
                <c:pt idx="280">
                  <c:v>0.355072</c:v>
                </c:pt>
                <c:pt idx="281">
                  <c:v>0.35003699999999999</c:v>
                </c:pt>
                <c:pt idx="282">
                  <c:v>0.345001</c:v>
                </c:pt>
                <c:pt idx="283">
                  <c:v>0.33996599999999999</c:v>
                </c:pt>
                <c:pt idx="284">
                  <c:v>0.33493000000000001</c:v>
                </c:pt>
                <c:pt idx="285">
                  <c:v>0.32989499999999999</c:v>
                </c:pt>
                <c:pt idx="286">
                  <c:v>0.32485999999999998</c:v>
                </c:pt>
                <c:pt idx="287">
                  <c:v>0.319824</c:v>
                </c:pt>
                <c:pt idx="288">
                  <c:v>0.31478899999999999</c:v>
                </c:pt>
                <c:pt idx="289">
                  <c:v>0.309753</c:v>
                </c:pt>
                <c:pt idx="290">
                  <c:v>0.30471799999999999</c:v>
                </c:pt>
                <c:pt idx="291">
                  <c:v>0.29968299999999998</c:v>
                </c:pt>
                <c:pt idx="292">
                  <c:v>0.29464699999999999</c:v>
                </c:pt>
                <c:pt idx="293">
                  <c:v>0.28961199999999998</c:v>
                </c:pt>
                <c:pt idx="294">
                  <c:v>0.284576</c:v>
                </c:pt>
                <c:pt idx="295">
                  <c:v>0.27954099999999998</c:v>
                </c:pt>
                <c:pt idx="296">
                  <c:v>0.27450600000000003</c:v>
                </c:pt>
                <c:pt idx="297">
                  <c:v>0.26946999999999999</c:v>
                </c:pt>
                <c:pt idx="298">
                  <c:v>0.26443499999999998</c:v>
                </c:pt>
                <c:pt idx="299">
                  <c:v>0.25939899999999999</c:v>
                </c:pt>
                <c:pt idx="300">
                  <c:v>0.25436399999999998</c:v>
                </c:pt>
                <c:pt idx="301">
                  <c:v>0.249329</c:v>
                </c:pt>
                <c:pt idx="302">
                  <c:v>0.24429300000000001</c:v>
                </c:pt>
                <c:pt idx="303">
                  <c:v>0.239258</c:v>
                </c:pt>
                <c:pt idx="304">
                  <c:v>0.23422200000000001</c:v>
                </c:pt>
                <c:pt idx="305">
                  <c:v>0.229187</c:v>
                </c:pt>
                <c:pt idx="306">
                  <c:v>0.22415199999999999</c:v>
                </c:pt>
                <c:pt idx="307">
                  <c:v>0.21911600000000001</c:v>
                </c:pt>
                <c:pt idx="308">
                  <c:v>0.21408099999999999</c:v>
                </c:pt>
                <c:pt idx="309">
                  <c:v>0.20904500000000001</c:v>
                </c:pt>
                <c:pt idx="310">
                  <c:v>0.20401</c:v>
                </c:pt>
                <c:pt idx="311">
                  <c:v>0.19897500000000001</c:v>
                </c:pt>
                <c:pt idx="312">
                  <c:v>0.193939</c:v>
                </c:pt>
                <c:pt idx="313">
                  <c:v>0.18890399999999999</c:v>
                </c:pt>
                <c:pt idx="314">
                  <c:v>0.183868</c:v>
                </c:pt>
                <c:pt idx="315">
                  <c:v>0.17883299999999999</c:v>
                </c:pt>
                <c:pt idx="316">
                  <c:v>0.17379800000000001</c:v>
                </c:pt>
                <c:pt idx="317">
                  <c:v>0.168762</c:v>
                </c:pt>
                <c:pt idx="318">
                  <c:v>0.16372700000000001</c:v>
                </c:pt>
                <c:pt idx="319">
                  <c:v>0.158691</c:v>
                </c:pt>
                <c:pt idx="320">
                  <c:v>0.15365599999999999</c:v>
                </c:pt>
                <c:pt idx="321">
                  <c:v>0.148621</c:v>
                </c:pt>
                <c:pt idx="322">
                  <c:v>0.14358499999999999</c:v>
                </c:pt>
                <c:pt idx="323">
                  <c:v>0.13855000000000001</c:v>
                </c:pt>
                <c:pt idx="324">
                  <c:v>0.13351399999999999</c:v>
                </c:pt>
                <c:pt idx="325">
                  <c:v>0.12847900000000001</c:v>
                </c:pt>
                <c:pt idx="326">
                  <c:v>0.123444</c:v>
                </c:pt>
                <c:pt idx="327">
                  <c:v>0.118408</c:v>
                </c:pt>
                <c:pt idx="328">
                  <c:v>0.113373</c:v>
                </c:pt>
                <c:pt idx="329">
                  <c:v>0.108337</c:v>
                </c:pt>
                <c:pt idx="330">
                  <c:v>0.103302</c:v>
                </c:pt>
                <c:pt idx="331">
                  <c:v>9.8266599999999996E-2</c:v>
                </c:pt>
                <c:pt idx="332">
                  <c:v>9.32312E-2</c:v>
                </c:pt>
                <c:pt idx="333">
                  <c:v>8.8195800000000005E-2</c:v>
                </c:pt>
                <c:pt idx="334">
                  <c:v>8.3160399999999995E-2</c:v>
                </c:pt>
                <c:pt idx="335">
                  <c:v>7.8125E-2</c:v>
                </c:pt>
                <c:pt idx="336">
                  <c:v>7.3089600000000005E-2</c:v>
                </c:pt>
                <c:pt idx="337">
                  <c:v>6.8054199999999995E-2</c:v>
                </c:pt>
                <c:pt idx="338">
                  <c:v>6.30188E-2</c:v>
                </c:pt>
                <c:pt idx="339">
                  <c:v>5.7983399999999997E-2</c:v>
                </c:pt>
                <c:pt idx="340">
                  <c:v>5.2948000000000002E-2</c:v>
                </c:pt>
                <c:pt idx="341">
                  <c:v>4.79126E-2</c:v>
                </c:pt>
                <c:pt idx="342">
                  <c:v>4.2877199999999997E-2</c:v>
                </c:pt>
                <c:pt idx="343">
                  <c:v>3.7841800000000002E-2</c:v>
                </c:pt>
                <c:pt idx="344">
                  <c:v>3.2806399999999999E-2</c:v>
                </c:pt>
                <c:pt idx="345">
                  <c:v>2.7771000000000001E-2</c:v>
                </c:pt>
                <c:pt idx="346">
                  <c:v>2.2735600000000002E-2</c:v>
                </c:pt>
                <c:pt idx="347">
                  <c:v>1.7700199999999999E-2</c:v>
                </c:pt>
                <c:pt idx="348">
                  <c:v>1.26648E-2</c:v>
                </c:pt>
                <c:pt idx="349">
                  <c:v>7.6293899999999998E-3</c:v>
                </c:pt>
                <c:pt idx="350">
                  <c:v>2.59399E-3</c:v>
                </c:pt>
                <c:pt idx="351">
                  <c:v>-2.4414100000000002E-3</c:v>
                </c:pt>
                <c:pt idx="352">
                  <c:v>-7.4768100000000004E-3</c:v>
                </c:pt>
                <c:pt idx="353">
                  <c:v>-1.2512199999999999E-2</c:v>
                </c:pt>
                <c:pt idx="354">
                  <c:v>-1.75476E-2</c:v>
                </c:pt>
                <c:pt idx="355">
                  <c:v>-2.2582999999999999E-2</c:v>
                </c:pt>
                <c:pt idx="356">
                  <c:v>-2.7618400000000001E-2</c:v>
                </c:pt>
                <c:pt idx="357">
                  <c:v>-3.2653799999999997E-2</c:v>
                </c:pt>
                <c:pt idx="358">
                  <c:v>-3.7689199999999999E-2</c:v>
                </c:pt>
                <c:pt idx="359">
                  <c:v>-4.2724600000000001E-2</c:v>
                </c:pt>
                <c:pt idx="360">
                  <c:v>-4.7759999999999997E-2</c:v>
                </c:pt>
                <c:pt idx="361">
                  <c:v>-5.2795399999999999E-2</c:v>
                </c:pt>
                <c:pt idx="362">
                  <c:v>-5.7830800000000002E-2</c:v>
                </c:pt>
                <c:pt idx="363">
                  <c:v>-6.2866199999999997E-2</c:v>
                </c:pt>
                <c:pt idx="364">
                  <c:v>-6.7901600000000006E-2</c:v>
                </c:pt>
                <c:pt idx="365">
                  <c:v>-7.2937000000000002E-2</c:v>
                </c:pt>
                <c:pt idx="366">
                  <c:v>-7.7972399999999997E-2</c:v>
                </c:pt>
                <c:pt idx="367">
                  <c:v>-8.3007800000000007E-2</c:v>
                </c:pt>
                <c:pt idx="368">
                  <c:v>-8.8043200000000002E-2</c:v>
                </c:pt>
                <c:pt idx="369">
                  <c:v>-9.3078599999999997E-2</c:v>
                </c:pt>
                <c:pt idx="370">
                  <c:v>-9.8114000000000007E-2</c:v>
                </c:pt>
                <c:pt idx="371">
                  <c:v>-0.103149</c:v>
                </c:pt>
              </c:numCache>
            </c:numRef>
          </c:xVal>
          <c:yVal>
            <c:numRef>
              <c:f>'20221210T210000'!$AV$11:$AV$398</c:f>
              <c:numCache>
                <c:formatCode>General</c:formatCode>
                <c:ptCount val="388"/>
                <c:pt idx="0">
                  <c:v>-14.000370370370367</c:v>
                </c:pt>
                <c:pt idx="1">
                  <c:v>-10.051962962962962</c:v>
                </c:pt>
                <c:pt idx="2">
                  <c:v>-6.6686543209876543</c:v>
                </c:pt>
                <c:pt idx="3">
                  <c:v>-3.8821358024691355</c:v>
                </c:pt>
                <c:pt idx="4">
                  <c:v>-1.524</c:v>
                </c:pt>
                <c:pt idx="5">
                  <c:v>0.43131481481481482</c:v>
                </c:pt>
                <c:pt idx="6">
                  <c:v>2.0458024691358019</c:v>
                </c:pt>
                <c:pt idx="7">
                  <c:v>3.381049382716049</c:v>
                </c:pt>
                <c:pt idx="8">
                  <c:v>4.5000246913580249</c:v>
                </c:pt>
                <c:pt idx="9">
                  <c:v>5.45737037037037</c:v>
                </c:pt>
                <c:pt idx="10">
                  <c:v>6.2805925925925923</c:v>
                </c:pt>
                <c:pt idx="11">
                  <c:v>7.037876543209876</c:v>
                </c:pt>
                <c:pt idx="12">
                  <c:v>7.7085185185185185</c:v>
                </c:pt>
                <c:pt idx="13">
                  <c:v>8.3226296296296294</c:v>
                </c:pt>
                <c:pt idx="14">
                  <c:v>8.8576296296296277</c:v>
                </c:pt>
                <c:pt idx="15">
                  <c:v>9.339888888888888</c:v>
                </c:pt>
                <c:pt idx="16">
                  <c:v>9.769395061728396</c:v>
                </c:pt>
                <c:pt idx="17">
                  <c:v>10.168753086419752</c:v>
                </c:pt>
                <c:pt idx="18">
                  <c:v>10.545518518518518</c:v>
                </c:pt>
                <c:pt idx="19">
                  <c:v>10.888370370370369</c:v>
                </c:pt>
                <c:pt idx="20">
                  <c:v>11.208617283950616</c:v>
                </c:pt>
                <c:pt idx="21">
                  <c:v>11.49495061728395</c:v>
                </c:pt>
                <c:pt idx="22">
                  <c:v>11.762456790123457</c:v>
                </c:pt>
                <c:pt idx="23">
                  <c:v>12.033716049382717</c:v>
                </c:pt>
                <c:pt idx="24">
                  <c:v>12.267308641975308</c:v>
                </c:pt>
                <c:pt idx="25">
                  <c:v>12.493333333333332</c:v>
                </c:pt>
                <c:pt idx="26">
                  <c:v>12.70432098765432</c:v>
                </c:pt>
                <c:pt idx="27">
                  <c:v>12.896543209876542</c:v>
                </c:pt>
                <c:pt idx="28">
                  <c:v>13.088641975308642</c:v>
                </c:pt>
                <c:pt idx="29">
                  <c:v>13.265679012345677</c:v>
                </c:pt>
                <c:pt idx="30">
                  <c:v>13.42395061728395</c:v>
                </c:pt>
                <c:pt idx="31">
                  <c:v>13.585925925925926</c:v>
                </c:pt>
                <c:pt idx="32">
                  <c:v>13.736666666666666</c:v>
                </c:pt>
                <c:pt idx="33">
                  <c:v>13.887407407407405</c:v>
                </c:pt>
                <c:pt idx="34">
                  <c:v>14.026790123456792</c:v>
                </c:pt>
                <c:pt idx="35">
                  <c:v>14.166172839506173</c:v>
                </c:pt>
                <c:pt idx="36">
                  <c:v>14.298024691358025</c:v>
                </c:pt>
                <c:pt idx="37">
                  <c:v>14.422345679012347</c:v>
                </c:pt>
                <c:pt idx="38">
                  <c:v>14.520370370370369</c:v>
                </c:pt>
                <c:pt idx="39">
                  <c:v>14.622098765432096</c:v>
                </c:pt>
                <c:pt idx="40">
                  <c:v>14.708765432098765</c:v>
                </c:pt>
                <c:pt idx="41">
                  <c:v>14.799135802469134</c:v>
                </c:pt>
                <c:pt idx="42">
                  <c:v>14.89716049382716</c:v>
                </c:pt>
                <c:pt idx="43">
                  <c:v>15.006419753086417</c:v>
                </c:pt>
                <c:pt idx="44">
                  <c:v>15.100493827160493</c:v>
                </c:pt>
                <c:pt idx="45">
                  <c:v>15.187160493827157</c:v>
                </c:pt>
                <c:pt idx="46">
                  <c:v>15.258765432098766</c:v>
                </c:pt>
                <c:pt idx="47">
                  <c:v>15.3379012345679</c:v>
                </c:pt>
                <c:pt idx="48">
                  <c:v>15.405679012345677</c:v>
                </c:pt>
                <c:pt idx="49">
                  <c:v>15.484814814814815</c:v>
                </c:pt>
                <c:pt idx="50">
                  <c:v>15.552716049382715</c:v>
                </c:pt>
                <c:pt idx="51">
                  <c:v>15.620493827160493</c:v>
                </c:pt>
                <c:pt idx="52">
                  <c:v>15.677037037037039</c:v>
                </c:pt>
                <c:pt idx="53">
                  <c:v>15.729753086419752</c:v>
                </c:pt>
                <c:pt idx="54">
                  <c:v>15.782469135802467</c:v>
                </c:pt>
                <c:pt idx="55">
                  <c:v>15.831481481481481</c:v>
                </c:pt>
                <c:pt idx="56">
                  <c:v>15.880493827160493</c:v>
                </c:pt>
                <c:pt idx="57">
                  <c:v>15.936913580246911</c:v>
                </c:pt>
                <c:pt idx="58">
                  <c:v>15.989753086419752</c:v>
                </c:pt>
                <c:pt idx="59">
                  <c:v>16.042469135802467</c:v>
                </c:pt>
                <c:pt idx="60">
                  <c:v>16.087654320987653</c:v>
                </c:pt>
                <c:pt idx="61">
                  <c:v>16.125308641975309</c:v>
                </c:pt>
                <c:pt idx="62">
                  <c:v>16.170493827160495</c:v>
                </c:pt>
                <c:pt idx="63">
                  <c:v>16.208271604938268</c:v>
                </c:pt>
                <c:pt idx="64">
                  <c:v>16.249629629629627</c:v>
                </c:pt>
                <c:pt idx="65">
                  <c:v>16.279753086419749</c:v>
                </c:pt>
                <c:pt idx="66">
                  <c:v>16.306172839506171</c:v>
                </c:pt>
                <c:pt idx="67">
                  <c:v>16.343827160493824</c:v>
                </c:pt>
                <c:pt idx="68">
                  <c:v>16.38901234567901</c:v>
                </c:pt>
                <c:pt idx="69">
                  <c:v>16.42679012345679</c:v>
                </c:pt>
                <c:pt idx="70">
                  <c:v>16.468148148148149</c:v>
                </c:pt>
                <c:pt idx="71">
                  <c:v>16.509629629629632</c:v>
                </c:pt>
                <c:pt idx="72">
                  <c:v>16.547283950617281</c:v>
                </c:pt>
                <c:pt idx="73">
                  <c:v>16.581234567901234</c:v>
                </c:pt>
                <c:pt idx="74">
                  <c:v>16.607530864197528</c:v>
                </c:pt>
                <c:pt idx="75">
                  <c:v>16.637777777777774</c:v>
                </c:pt>
                <c:pt idx="76">
                  <c:v>16.664074074074072</c:v>
                </c:pt>
                <c:pt idx="77">
                  <c:v>16.698024691358025</c:v>
                </c:pt>
                <c:pt idx="78">
                  <c:v>16.731975308641974</c:v>
                </c:pt>
                <c:pt idx="79">
                  <c:v>16.758271604938273</c:v>
                </c:pt>
                <c:pt idx="80">
                  <c:v>16.788395061728394</c:v>
                </c:pt>
                <c:pt idx="81">
                  <c:v>16.807283950617283</c:v>
                </c:pt>
                <c:pt idx="82">
                  <c:v>16.833703703703701</c:v>
                </c:pt>
                <c:pt idx="83">
                  <c:v>16.856296296296296</c:v>
                </c:pt>
                <c:pt idx="84">
                  <c:v>16.87506172839506</c:v>
                </c:pt>
                <c:pt idx="85">
                  <c:v>16.890123456790121</c:v>
                </c:pt>
                <c:pt idx="86">
                  <c:v>16.90901234567901</c:v>
                </c:pt>
                <c:pt idx="87">
                  <c:v>16.924074074074074</c:v>
                </c:pt>
                <c:pt idx="88">
                  <c:v>16.946666666666665</c:v>
                </c:pt>
                <c:pt idx="89">
                  <c:v>16.965555555555554</c:v>
                </c:pt>
                <c:pt idx="90">
                  <c:v>16.976790123456787</c:v>
                </c:pt>
                <c:pt idx="91">
                  <c:v>16.991851851851852</c:v>
                </c:pt>
                <c:pt idx="92">
                  <c:v>17.006913580246916</c:v>
                </c:pt>
                <c:pt idx="93">
                  <c:v>17.029506172839504</c:v>
                </c:pt>
                <c:pt idx="94">
                  <c:v>17.048395061728392</c:v>
                </c:pt>
                <c:pt idx="95">
                  <c:v>17.074814814814815</c:v>
                </c:pt>
                <c:pt idx="96">
                  <c:v>17.093580246913579</c:v>
                </c:pt>
                <c:pt idx="97">
                  <c:v>17.112469135802467</c:v>
                </c:pt>
                <c:pt idx="98">
                  <c:v>17.131234567901231</c:v>
                </c:pt>
                <c:pt idx="99">
                  <c:v>17.146296296296295</c:v>
                </c:pt>
                <c:pt idx="100">
                  <c:v>17.165185185185184</c:v>
                </c:pt>
                <c:pt idx="101">
                  <c:v>17.187777777777779</c:v>
                </c:pt>
                <c:pt idx="102">
                  <c:v>17.202839506172836</c:v>
                </c:pt>
                <c:pt idx="103">
                  <c:v>17.217901234567901</c:v>
                </c:pt>
                <c:pt idx="104">
                  <c:v>17.229259259259258</c:v>
                </c:pt>
                <c:pt idx="105">
                  <c:v>17.248024691358022</c:v>
                </c:pt>
                <c:pt idx="106">
                  <c:v>17.263209876543208</c:v>
                </c:pt>
                <c:pt idx="107">
                  <c:v>17.281975308641975</c:v>
                </c:pt>
                <c:pt idx="108">
                  <c:v>17.304567901234567</c:v>
                </c:pt>
                <c:pt idx="109">
                  <c:v>17.327160493827162</c:v>
                </c:pt>
                <c:pt idx="110">
                  <c:v>17.349753086419753</c:v>
                </c:pt>
                <c:pt idx="111">
                  <c:v>17.364938271604938</c:v>
                </c:pt>
                <c:pt idx="112">
                  <c:v>17.387530864197529</c:v>
                </c:pt>
                <c:pt idx="113">
                  <c:v>17.40259259259259</c:v>
                </c:pt>
                <c:pt idx="114">
                  <c:v>17.406296296296293</c:v>
                </c:pt>
                <c:pt idx="115">
                  <c:v>17.40259259259259</c:v>
                </c:pt>
                <c:pt idx="116">
                  <c:v>17.40259259259259</c:v>
                </c:pt>
                <c:pt idx="117">
                  <c:v>17.413827160493828</c:v>
                </c:pt>
                <c:pt idx="118">
                  <c:v>17.436419753086419</c:v>
                </c:pt>
                <c:pt idx="119">
                  <c:v>17.455308641975307</c:v>
                </c:pt>
                <c:pt idx="120">
                  <c:v>17.466543209876541</c:v>
                </c:pt>
                <c:pt idx="121">
                  <c:v>17.481728395061729</c:v>
                </c:pt>
                <c:pt idx="122">
                  <c:v>17.496790123456787</c:v>
                </c:pt>
                <c:pt idx="123">
                  <c:v>17.508024691358024</c:v>
                </c:pt>
                <c:pt idx="124">
                  <c:v>17.530617283950615</c:v>
                </c:pt>
                <c:pt idx="125">
                  <c:v>17.54567901234568</c:v>
                </c:pt>
                <c:pt idx="126">
                  <c:v>17.560740740740737</c:v>
                </c:pt>
                <c:pt idx="127">
                  <c:v>17.575925925925926</c:v>
                </c:pt>
                <c:pt idx="128">
                  <c:v>17.583456790123453</c:v>
                </c:pt>
                <c:pt idx="129">
                  <c:v>17.598518518518517</c:v>
                </c:pt>
                <c:pt idx="130">
                  <c:v>17.613580246913582</c:v>
                </c:pt>
                <c:pt idx="131">
                  <c:v>17.621111111111112</c:v>
                </c:pt>
                <c:pt idx="132">
                  <c:v>17.628641975308639</c:v>
                </c:pt>
                <c:pt idx="133">
                  <c:v>17.639876543209876</c:v>
                </c:pt>
                <c:pt idx="134">
                  <c:v>17.651234567901231</c:v>
                </c:pt>
                <c:pt idx="135">
                  <c:v>17.666296296296295</c:v>
                </c:pt>
                <c:pt idx="136">
                  <c:v>17.685185185185183</c:v>
                </c:pt>
                <c:pt idx="137">
                  <c:v>17.692716049382714</c:v>
                </c:pt>
                <c:pt idx="138">
                  <c:v>17.703950617283951</c:v>
                </c:pt>
                <c:pt idx="139">
                  <c:v>17.711481481481481</c:v>
                </c:pt>
                <c:pt idx="140">
                  <c:v>17.719012345679008</c:v>
                </c:pt>
                <c:pt idx="141">
                  <c:v>17.73037037037037</c:v>
                </c:pt>
                <c:pt idx="142">
                  <c:v>17.7379012345679</c:v>
                </c:pt>
                <c:pt idx="143">
                  <c:v>17.749135802469137</c:v>
                </c:pt>
                <c:pt idx="144">
                  <c:v>17.749135802469137</c:v>
                </c:pt>
                <c:pt idx="145">
                  <c:v>17.764197530864198</c:v>
                </c:pt>
                <c:pt idx="146">
                  <c:v>17.764197530864198</c:v>
                </c:pt>
                <c:pt idx="147">
                  <c:v>17.764197530864198</c:v>
                </c:pt>
                <c:pt idx="148">
                  <c:v>17.760493827160492</c:v>
                </c:pt>
                <c:pt idx="149">
                  <c:v>17.764197530864198</c:v>
                </c:pt>
                <c:pt idx="150">
                  <c:v>17.775555555555556</c:v>
                </c:pt>
                <c:pt idx="151">
                  <c:v>17.790617283950617</c:v>
                </c:pt>
                <c:pt idx="152">
                  <c:v>17.790617283950617</c:v>
                </c:pt>
                <c:pt idx="153">
                  <c:v>17.801975308641975</c:v>
                </c:pt>
                <c:pt idx="154">
                  <c:v>17.813209876543205</c:v>
                </c:pt>
                <c:pt idx="155">
                  <c:v>17.813209876543205</c:v>
                </c:pt>
                <c:pt idx="156">
                  <c:v>17.820740740740739</c:v>
                </c:pt>
                <c:pt idx="157">
                  <c:v>17.832098765432097</c:v>
                </c:pt>
                <c:pt idx="158">
                  <c:v>17.843333333333334</c:v>
                </c:pt>
                <c:pt idx="159">
                  <c:v>17.854691358024692</c:v>
                </c:pt>
                <c:pt idx="160">
                  <c:v>17.854691358024692</c:v>
                </c:pt>
                <c:pt idx="161">
                  <c:v>17.858395061728395</c:v>
                </c:pt>
                <c:pt idx="162">
                  <c:v>17.862222222222222</c:v>
                </c:pt>
                <c:pt idx="163">
                  <c:v>17.869753086419752</c:v>
                </c:pt>
                <c:pt idx="164">
                  <c:v>17.880987654320986</c:v>
                </c:pt>
                <c:pt idx="165">
                  <c:v>17.888518518518516</c:v>
                </c:pt>
                <c:pt idx="166">
                  <c:v>17.892345679012344</c:v>
                </c:pt>
                <c:pt idx="167">
                  <c:v>17.896049382716047</c:v>
                </c:pt>
                <c:pt idx="168">
                  <c:v>17.907407407407408</c:v>
                </c:pt>
                <c:pt idx="169">
                  <c:v>17.914938271604939</c:v>
                </c:pt>
                <c:pt idx="170">
                  <c:v>17.926296296296293</c:v>
                </c:pt>
                <c:pt idx="171">
                  <c:v>17.926296296296293</c:v>
                </c:pt>
                <c:pt idx="172">
                  <c:v>17.93753086419753</c:v>
                </c:pt>
                <c:pt idx="173">
                  <c:v>17.948888888888888</c:v>
                </c:pt>
                <c:pt idx="174">
                  <c:v>17.956419753086422</c:v>
                </c:pt>
                <c:pt idx="175">
                  <c:v>17.975185185185186</c:v>
                </c:pt>
                <c:pt idx="176">
                  <c:v>17.994074074074071</c:v>
                </c:pt>
                <c:pt idx="177">
                  <c:v>18.009135802469135</c:v>
                </c:pt>
                <c:pt idx="178">
                  <c:v>18.009135802469135</c:v>
                </c:pt>
                <c:pt idx="179">
                  <c:v>18.009135802469135</c:v>
                </c:pt>
                <c:pt idx="180">
                  <c:v>18.020493827160493</c:v>
                </c:pt>
                <c:pt idx="181">
                  <c:v>18.035555555555554</c:v>
                </c:pt>
                <c:pt idx="182">
                  <c:v>18.046790123456791</c:v>
                </c:pt>
                <c:pt idx="183">
                  <c:v>18.046790123456791</c:v>
                </c:pt>
                <c:pt idx="184">
                  <c:v>18.050617283950618</c:v>
                </c:pt>
                <c:pt idx="185">
                  <c:v>18.050617283950618</c:v>
                </c:pt>
                <c:pt idx="186">
                  <c:v>18.054320987654318</c:v>
                </c:pt>
                <c:pt idx="187">
                  <c:v>18.058148148148145</c:v>
                </c:pt>
                <c:pt idx="188">
                  <c:v>18.069382716049383</c:v>
                </c:pt>
                <c:pt idx="189">
                  <c:v>18.080740740740737</c:v>
                </c:pt>
                <c:pt idx="190">
                  <c:v>18.088271604938271</c:v>
                </c:pt>
                <c:pt idx="191">
                  <c:v>18.099506172839504</c:v>
                </c:pt>
                <c:pt idx="192">
                  <c:v>18.110864197530866</c:v>
                </c:pt>
                <c:pt idx="193">
                  <c:v>18.118395061728396</c:v>
                </c:pt>
                <c:pt idx="194">
                  <c:v>18.12975308641975</c:v>
                </c:pt>
                <c:pt idx="195">
                  <c:v>18.133456790123457</c:v>
                </c:pt>
                <c:pt idx="196">
                  <c:v>18.140987654320988</c:v>
                </c:pt>
                <c:pt idx="197">
                  <c:v>18.133456790123457</c:v>
                </c:pt>
                <c:pt idx="198">
                  <c:v>18.133456790123457</c:v>
                </c:pt>
                <c:pt idx="199">
                  <c:v>18.148518518518514</c:v>
                </c:pt>
                <c:pt idx="200">
                  <c:v>18.152345679012342</c:v>
                </c:pt>
                <c:pt idx="201">
                  <c:v>18.148518518518514</c:v>
                </c:pt>
                <c:pt idx="202">
                  <c:v>18.137283950617284</c:v>
                </c:pt>
                <c:pt idx="203">
                  <c:v>18.137283950617284</c:v>
                </c:pt>
                <c:pt idx="204">
                  <c:v>18.140987654320988</c:v>
                </c:pt>
                <c:pt idx="205">
                  <c:v>18.152345679012342</c:v>
                </c:pt>
                <c:pt idx="206">
                  <c:v>18.174938271604937</c:v>
                </c:pt>
                <c:pt idx="207">
                  <c:v>18.182469135802467</c:v>
                </c:pt>
                <c:pt idx="208">
                  <c:v>18.193703703703704</c:v>
                </c:pt>
                <c:pt idx="209">
                  <c:v>18.193703703703704</c:v>
                </c:pt>
                <c:pt idx="210">
                  <c:v>18.201234567901235</c:v>
                </c:pt>
                <c:pt idx="211">
                  <c:v>18.205061728395062</c:v>
                </c:pt>
                <c:pt idx="212">
                  <c:v>18.201234567901235</c:v>
                </c:pt>
                <c:pt idx="213">
                  <c:v>18.205061728395062</c:v>
                </c:pt>
                <c:pt idx="214">
                  <c:v>18.212592592592593</c:v>
                </c:pt>
                <c:pt idx="215">
                  <c:v>18.22395061728395</c:v>
                </c:pt>
                <c:pt idx="216">
                  <c:v>18.227654320987654</c:v>
                </c:pt>
                <c:pt idx="217">
                  <c:v>18.231481481481481</c:v>
                </c:pt>
                <c:pt idx="218">
                  <c:v>18.231481481481481</c:v>
                </c:pt>
                <c:pt idx="219">
                  <c:v>18.239012345679011</c:v>
                </c:pt>
                <c:pt idx="220">
                  <c:v>18.250246913580245</c:v>
                </c:pt>
                <c:pt idx="221">
                  <c:v>18.257777777777775</c:v>
                </c:pt>
                <c:pt idx="222">
                  <c:v>18.254074074074072</c:v>
                </c:pt>
                <c:pt idx="223">
                  <c:v>18.254074074074072</c:v>
                </c:pt>
                <c:pt idx="224">
                  <c:v>18.257777777777775</c:v>
                </c:pt>
                <c:pt idx="225">
                  <c:v>18.261604938271603</c:v>
                </c:pt>
                <c:pt idx="226">
                  <c:v>18.265308641975306</c:v>
                </c:pt>
                <c:pt idx="227">
                  <c:v>18.261604938271603</c:v>
                </c:pt>
                <c:pt idx="228">
                  <c:v>18.269135802469137</c:v>
                </c:pt>
                <c:pt idx="229">
                  <c:v>18.265308641975306</c:v>
                </c:pt>
                <c:pt idx="230">
                  <c:v>18.261604938271603</c:v>
                </c:pt>
                <c:pt idx="231">
                  <c:v>18.254074074074072</c:v>
                </c:pt>
                <c:pt idx="232">
                  <c:v>18.265308641975306</c:v>
                </c:pt>
                <c:pt idx="233">
                  <c:v>18.261604938271603</c:v>
                </c:pt>
                <c:pt idx="234">
                  <c:v>18.265308641975306</c:v>
                </c:pt>
                <c:pt idx="235">
                  <c:v>18.261604938271603</c:v>
                </c:pt>
                <c:pt idx="236">
                  <c:v>18.261604938271603</c:v>
                </c:pt>
                <c:pt idx="237">
                  <c:v>18.269135802469137</c:v>
                </c:pt>
                <c:pt idx="238">
                  <c:v>18.28037037037037</c:v>
                </c:pt>
                <c:pt idx="239">
                  <c:v>18.291728395061728</c:v>
                </c:pt>
                <c:pt idx="240">
                  <c:v>18.295432098765431</c:v>
                </c:pt>
                <c:pt idx="241">
                  <c:v>18.302962962962962</c:v>
                </c:pt>
                <c:pt idx="242">
                  <c:v>18.32185185185185</c:v>
                </c:pt>
                <c:pt idx="243">
                  <c:v>18.32185185185185</c:v>
                </c:pt>
                <c:pt idx="244">
                  <c:v>18.333209876543208</c:v>
                </c:pt>
                <c:pt idx="245">
                  <c:v>18.333209876543208</c:v>
                </c:pt>
                <c:pt idx="246">
                  <c:v>18.325679012345677</c:v>
                </c:pt>
                <c:pt idx="247">
                  <c:v>18.32185185185185</c:v>
                </c:pt>
                <c:pt idx="248">
                  <c:v>18.325679012345677</c:v>
                </c:pt>
                <c:pt idx="249">
                  <c:v>18.348271604938269</c:v>
                </c:pt>
                <c:pt idx="250">
                  <c:v>18.344444444444445</c:v>
                </c:pt>
                <c:pt idx="251">
                  <c:v>18.340740740740738</c:v>
                </c:pt>
                <c:pt idx="252">
                  <c:v>18.351975308641972</c:v>
                </c:pt>
                <c:pt idx="253">
                  <c:v>18.359506172839506</c:v>
                </c:pt>
                <c:pt idx="254">
                  <c:v>18.374567901234567</c:v>
                </c:pt>
                <c:pt idx="255">
                  <c:v>18.382098765432101</c:v>
                </c:pt>
                <c:pt idx="256">
                  <c:v>18.389629629629628</c:v>
                </c:pt>
                <c:pt idx="257">
                  <c:v>18.393456790123455</c:v>
                </c:pt>
                <c:pt idx="258">
                  <c:v>18.397160493827158</c:v>
                </c:pt>
                <c:pt idx="259">
                  <c:v>18.389629629629628</c:v>
                </c:pt>
                <c:pt idx="260">
                  <c:v>18.385925925925928</c:v>
                </c:pt>
                <c:pt idx="261">
                  <c:v>18.382098765432101</c:v>
                </c:pt>
                <c:pt idx="262">
                  <c:v>18.374567901234567</c:v>
                </c:pt>
                <c:pt idx="263">
                  <c:v>18.374567901234567</c:v>
                </c:pt>
                <c:pt idx="264">
                  <c:v>18.363333333333333</c:v>
                </c:pt>
                <c:pt idx="265">
                  <c:v>18.374567901234567</c:v>
                </c:pt>
                <c:pt idx="266">
                  <c:v>18.378395061728394</c:v>
                </c:pt>
                <c:pt idx="267">
                  <c:v>18.389629629629628</c:v>
                </c:pt>
                <c:pt idx="268">
                  <c:v>18.397160493827158</c:v>
                </c:pt>
                <c:pt idx="269">
                  <c:v>18.404691358024692</c:v>
                </c:pt>
                <c:pt idx="270">
                  <c:v>18.408518518518516</c:v>
                </c:pt>
                <c:pt idx="271">
                  <c:v>18.41975308641975</c:v>
                </c:pt>
                <c:pt idx="272">
                  <c:v>18.41975308641975</c:v>
                </c:pt>
                <c:pt idx="273">
                  <c:v>18.41975308641975</c:v>
                </c:pt>
                <c:pt idx="274">
                  <c:v>18.416049382716047</c:v>
                </c:pt>
                <c:pt idx="275">
                  <c:v>18.427283950617284</c:v>
                </c:pt>
                <c:pt idx="276">
                  <c:v>18.431111111111111</c:v>
                </c:pt>
                <c:pt idx="277">
                  <c:v>18.438641975308641</c:v>
                </c:pt>
                <c:pt idx="278">
                  <c:v>18.442469135802465</c:v>
                </c:pt>
                <c:pt idx="279">
                  <c:v>18.442469135802465</c:v>
                </c:pt>
                <c:pt idx="280">
                  <c:v>18.446172839506172</c:v>
                </c:pt>
                <c:pt idx="281">
                  <c:v>18.446172839506172</c:v>
                </c:pt>
                <c:pt idx="282">
                  <c:v>18.45</c:v>
                </c:pt>
                <c:pt idx="283">
                  <c:v>18.442469135802465</c:v>
                </c:pt>
                <c:pt idx="284">
                  <c:v>18.442469135802465</c:v>
                </c:pt>
                <c:pt idx="285">
                  <c:v>18.446172839506172</c:v>
                </c:pt>
                <c:pt idx="286">
                  <c:v>18.45</c:v>
                </c:pt>
                <c:pt idx="287">
                  <c:v>18.45</c:v>
                </c:pt>
                <c:pt idx="288">
                  <c:v>18.434938271604938</c:v>
                </c:pt>
                <c:pt idx="289">
                  <c:v>18.438641975308641</c:v>
                </c:pt>
                <c:pt idx="290">
                  <c:v>18.438641975308641</c:v>
                </c:pt>
                <c:pt idx="291">
                  <c:v>18.446172839506172</c:v>
                </c:pt>
                <c:pt idx="292">
                  <c:v>18.453703703703706</c:v>
                </c:pt>
                <c:pt idx="293">
                  <c:v>18.446172839506172</c:v>
                </c:pt>
                <c:pt idx="294">
                  <c:v>18.442469135802465</c:v>
                </c:pt>
                <c:pt idx="295">
                  <c:v>18.45</c:v>
                </c:pt>
                <c:pt idx="296">
                  <c:v>18.453703703703706</c:v>
                </c:pt>
                <c:pt idx="297">
                  <c:v>18.461234567901233</c:v>
                </c:pt>
                <c:pt idx="298">
                  <c:v>18.468765432098763</c:v>
                </c:pt>
                <c:pt idx="299">
                  <c:v>18.480123456790125</c:v>
                </c:pt>
                <c:pt idx="300">
                  <c:v>18.483827160493824</c:v>
                </c:pt>
                <c:pt idx="301">
                  <c:v>18.495185185185186</c:v>
                </c:pt>
                <c:pt idx="302">
                  <c:v>18.498888888888889</c:v>
                </c:pt>
                <c:pt idx="303">
                  <c:v>18.495185185185186</c:v>
                </c:pt>
                <c:pt idx="304">
                  <c:v>18.498888888888889</c:v>
                </c:pt>
                <c:pt idx="305">
                  <c:v>18.510246913580243</c:v>
                </c:pt>
                <c:pt idx="306">
                  <c:v>18.517777777777777</c:v>
                </c:pt>
                <c:pt idx="307">
                  <c:v>18.510246913580243</c:v>
                </c:pt>
                <c:pt idx="308">
                  <c:v>18.517777777777777</c:v>
                </c:pt>
                <c:pt idx="309">
                  <c:v>18.525308641975307</c:v>
                </c:pt>
                <c:pt idx="310">
                  <c:v>18.521481481481484</c:v>
                </c:pt>
                <c:pt idx="311">
                  <c:v>18.51395061728395</c:v>
                </c:pt>
                <c:pt idx="312">
                  <c:v>18.521481481481484</c:v>
                </c:pt>
                <c:pt idx="313">
                  <c:v>18.525308641975307</c:v>
                </c:pt>
                <c:pt idx="314">
                  <c:v>18.536543209876541</c:v>
                </c:pt>
                <c:pt idx="315">
                  <c:v>18.536543209876541</c:v>
                </c:pt>
                <c:pt idx="316">
                  <c:v>18.544197530864199</c:v>
                </c:pt>
                <c:pt idx="317">
                  <c:v>18.540370370370372</c:v>
                </c:pt>
                <c:pt idx="318">
                  <c:v>18.544197530864199</c:v>
                </c:pt>
                <c:pt idx="319">
                  <c:v>18.555432098765429</c:v>
                </c:pt>
                <c:pt idx="320">
                  <c:v>18.566790123456791</c:v>
                </c:pt>
                <c:pt idx="321">
                  <c:v>18.562962962962963</c:v>
                </c:pt>
                <c:pt idx="322">
                  <c:v>18.555432098765429</c:v>
                </c:pt>
                <c:pt idx="323">
                  <c:v>18.551728395061726</c:v>
                </c:pt>
                <c:pt idx="324">
                  <c:v>18.544197530864199</c:v>
                </c:pt>
                <c:pt idx="325">
                  <c:v>18.547901234567902</c:v>
                </c:pt>
                <c:pt idx="326">
                  <c:v>18.544197530864199</c:v>
                </c:pt>
                <c:pt idx="327">
                  <c:v>18.540370370370372</c:v>
                </c:pt>
                <c:pt idx="328">
                  <c:v>18.544197530864199</c:v>
                </c:pt>
                <c:pt idx="329">
                  <c:v>18.551728395061726</c:v>
                </c:pt>
                <c:pt idx="330">
                  <c:v>18.547901234567902</c:v>
                </c:pt>
                <c:pt idx="331">
                  <c:v>18.547901234567902</c:v>
                </c:pt>
                <c:pt idx="332">
                  <c:v>18.544197530864199</c:v>
                </c:pt>
                <c:pt idx="333">
                  <c:v>18.547901234567902</c:v>
                </c:pt>
                <c:pt idx="334">
                  <c:v>18.562962962962963</c:v>
                </c:pt>
                <c:pt idx="335">
                  <c:v>18.570493827160494</c:v>
                </c:pt>
                <c:pt idx="336">
                  <c:v>18.585555555555555</c:v>
                </c:pt>
                <c:pt idx="337">
                  <c:v>18.600617283950616</c:v>
                </c:pt>
                <c:pt idx="338">
                  <c:v>18.604444444444443</c:v>
                </c:pt>
                <c:pt idx="339">
                  <c:v>18.604444444444443</c:v>
                </c:pt>
                <c:pt idx="340">
                  <c:v>18.604444444444443</c:v>
                </c:pt>
                <c:pt idx="341">
                  <c:v>18.596913580246913</c:v>
                </c:pt>
                <c:pt idx="342">
                  <c:v>18.600617283950616</c:v>
                </c:pt>
                <c:pt idx="343">
                  <c:v>18.604444444444443</c:v>
                </c:pt>
                <c:pt idx="344">
                  <c:v>18.61567901234568</c:v>
                </c:pt>
                <c:pt idx="345">
                  <c:v>18.619506172839504</c:v>
                </c:pt>
                <c:pt idx="346">
                  <c:v>18.61567901234568</c:v>
                </c:pt>
                <c:pt idx="347">
                  <c:v>18.630740740740741</c:v>
                </c:pt>
                <c:pt idx="348">
                  <c:v>18.623209876543207</c:v>
                </c:pt>
                <c:pt idx="349">
                  <c:v>18.623209876543207</c:v>
                </c:pt>
                <c:pt idx="350">
                  <c:v>18.61567901234568</c:v>
                </c:pt>
                <c:pt idx="351">
                  <c:v>18.61567901234568</c:v>
                </c:pt>
                <c:pt idx="352">
                  <c:v>18.627037037037034</c:v>
                </c:pt>
                <c:pt idx="353">
                  <c:v>18.627037037037034</c:v>
                </c:pt>
                <c:pt idx="354">
                  <c:v>18.638271604938272</c:v>
                </c:pt>
                <c:pt idx="355">
                  <c:v>18.653456790123457</c:v>
                </c:pt>
                <c:pt idx="356">
                  <c:v>18.668518518518518</c:v>
                </c:pt>
                <c:pt idx="357">
                  <c:v>18.683580246913579</c:v>
                </c:pt>
                <c:pt idx="358">
                  <c:v>18.679753086419751</c:v>
                </c:pt>
                <c:pt idx="359">
                  <c:v>18.683580246913579</c:v>
                </c:pt>
                <c:pt idx="360">
                  <c:v>18.687283950617282</c:v>
                </c:pt>
                <c:pt idx="361">
                  <c:v>18.691111111111109</c:v>
                </c:pt>
                <c:pt idx="362">
                  <c:v>18.702345679012346</c:v>
                </c:pt>
                <c:pt idx="363">
                  <c:v>18.713703703703704</c:v>
                </c:pt>
                <c:pt idx="364">
                  <c:v>18.713703703703704</c:v>
                </c:pt>
                <c:pt idx="365">
                  <c:v>18.717407407407403</c:v>
                </c:pt>
                <c:pt idx="366">
                  <c:v>18.713703703703704</c:v>
                </c:pt>
                <c:pt idx="367">
                  <c:v>18.698641975308643</c:v>
                </c:pt>
                <c:pt idx="368">
                  <c:v>18.694814814814812</c:v>
                </c:pt>
                <c:pt idx="369">
                  <c:v>18.679753086419751</c:v>
                </c:pt>
                <c:pt idx="370">
                  <c:v>18.676049382716048</c:v>
                </c:pt>
                <c:pt idx="371">
                  <c:v>18.683580246913579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D0-4F65-A235-9162CC21C933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'20221210T210000'!$AY$11:$AY$500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  <c:pt idx="269">
                  <c:v>1.2596099999999999</c:v>
                </c:pt>
                <c:pt idx="270">
                  <c:v>1.2646500000000001</c:v>
                </c:pt>
                <c:pt idx="271">
                  <c:v>1.2696799999999999</c:v>
                </c:pt>
                <c:pt idx="272">
                  <c:v>1.2747200000000001</c:v>
                </c:pt>
                <c:pt idx="273">
                  <c:v>1.2797499999999999</c:v>
                </c:pt>
                <c:pt idx="274">
                  <c:v>1.2847900000000001</c:v>
                </c:pt>
                <c:pt idx="275">
                  <c:v>1.28983</c:v>
                </c:pt>
                <c:pt idx="276">
                  <c:v>1.2948599999999999</c:v>
                </c:pt>
                <c:pt idx="277">
                  <c:v>1.2999000000000001</c:v>
                </c:pt>
                <c:pt idx="278">
                  <c:v>1.3049299999999999</c:v>
                </c:pt>
                <c:pt idx="279">
                  <c:v>1.3099700000000001</c:v>
                </c:pt>
                <c:pt idx="280">
                  <c:v>1.3149999999999999</c:v>
                </c:pt>
                <c:pt idx="281">
                  <c:v>1.3200400000000001</c:v>
                </c:pt>
                <c:pt idx="282">
                  <c:v>1.32507</c:v>
                </c:pt>
                <c:pt idx="283">
                  <c:v>1.3301099999999999</c:v>
                </c:pt>
                <c:pt idx="284">
                  <c:v>1.33514</c:v>
                </c:pt>
                <c:pt idx="285">
                  <c:v>1.3401799999999999</c:v>
                </c:pt>
                <c:pt idx="286">
                  <c:v>1.34521</c:v>
                </c:pt>
                <c:pt idx="287">
                  <c:v>1.35025</c:v>
                </c:pt>
                <c:pt idx="288">
                  <c:v>1.3552900000000001</c:v>
                </c:pt>
                <c:pt idx="289">
                  <c:v>1.36032</c:v>
                </c:pt>
                <c:pt idx="290">
                  <c:v>1.3653599999999999</c:v>
                </c:pt>
                <c:pt idx="291">
                  <c:v>1.37039</c:v>
                </c:pt>
                <c:pt idx="292">
                  <c:v>1.3754299999999999</c:v>
                </c:pt>
                <c:pt idx="293">
                  <c:v>1.38046</c:v>
                </c:pt>
                <c:pt idx="294">
                  <c:v>1.3855</c:v>
                </c:pt>
                <c:pt idx="295">
                  <c:v>1.39053</c:v>
                </c:pt>
                <c:pt idx="296">
                  <c:v>1.39557</c:v>
                </c:pt>
                <c:pt idx="297">
                  <c:v>1.4006000000000001</c:v>
                </c:pt>
                <c:pt idx="298">
                  <c:v>1.40564</c:v>
                </c:pt>
                <c:pt idx="299">
                  <c:v>1.4106799999999999</c:v>
                </c:pt>
                <c:pt idx="300">
                  <c:v>1.41571</c:v>
                </c:pt>
                <c:pt idx="301">
                  <c:v>1.42075</c:v>
                </c:pt>
                <c:pt idx="302">
                  <c:v>1.42578</c:v>
                </c:pt>
                <c:pt idx="303">
                  <c:v>1.43082</c:v>
                </c:pt>
                <c:pt idx="304">
                  <c:v>1.4358500000000001</c:v>
                </c:pt>
                <c:pt idx="305">
                  <c:v>1.44089</c:v>
                </c:pt>
                <c:pt idx="306">
                  <c:v>1.4459200000000001</c:v>
                </c:pt>
                <c:pt idx="307">
                  <c:v>1.45096</c:v>
                </c:pt>
                <c:pt idx="308">
                  <c:v>1.4559899999999999</c:v>
                </c:pt>
                <c:pt idx="309">
                  <c:v>1.4610300000000001</c:v>
                </c:pt>
                <c:pt idx="310">
                  <c:v>1.4660599999999999</c:v>
                </c:pt>
                <c:pt idx="311">
                  <c:v>1.4711000000000001</c:v>
                </c:pt>
                <c:pt idx="312">
                  <c:v>1.47614</c:v>
                </c:pt>
                <c:pt idx="313">
                  <c:v>1.4811700000000001</c:v>
                </c:pt>
                <c:pt idx="314">
                  <c:v>1.48621</c:v>
                </c:pt>
                <c:pt idx="315">
                  <c:v>1.4912399999999999</c:v>
                </c:pt>
                <c:pt idx="316">
                  <c:v>1.4962800000000001</c:v>
                </c:pt>
                <c:pt idx="317">
                  <c:v>1.5013099999999999</c:v>
                </c:pt>
                <c:pt idx="318">
                  <c:v>1.5063500000000001</c:v>
                </c:pt>
                <c:pt idx="319">
                  <c:v>1.5113799999999999</c:v>
                </c:pt>
                <c:pt idx="320">
                  <c:v>1.5164200000000001</c:v>
                </c:pt>
                <c:pt idx="321">
                  <c:v>1.52145</c:v>
                </c:pt>
                <c:pt idx="322">
                  <c:v>1.5264899999999999</c:v>
                </c:pt>
                <c:pt idx="323">
                  <c:v>1.53152</c:v>
                </c:pt>
                <c:pt idx="324">
                  <c:v>1.5365599999999999</c:v>
                </c:pt>
                <c:pt idx="325">
                  <c:v>1.5416000000000001</c:v>
                </c:pt>
                <c:pt idx="326">
                  <c:v>1.5466299999999999</c:v>
                </c:pt>
                <c:pt idx="327">
                  <c:v>1.5516700000000001</c:v>
                </c:pt>
                <c:pt idx="328">
                  <c:v>1.5567</c:v>
                </c:pt>
                <c:pt idx="329">
                  <c:v>1.5617399999999999</c:v>
                </c:pt>
                <c:pt idx="330">
                  <c:v>1.56677</c:v>
                </c:pt>
                <c:pt idx="331">
                  <c:v>1.5718099999999999</c:v>
                </c:pt>
                <c:pt idx="332">
                  <c:v>1.57684</c:v>
                </c:pt>
                <c:pt idx="333">
                  <c:v>1.58188</c:v>
                </c:pt>
                <c:pt idx="334">
                  <c:v>1.58691</c:v>
                </c:pt>
                <c:pt idx="335">
                  <c:v>1.59195</c:v>
                </c:pt>
                <c:pt idx="336">
                  <c:v>1.5969800000000001</c:v>
                </c:pt>
                <c:pt idx="337">
                  <c:v>1.60202</c:v>
                </c:pt>
                <c:pt idx="338">
                  <c:v>1.6070599999999999</c:v>
                </c:pt>
                <c:pt idx="339">
                  <c:v>1.61209</c:v>
                </c:pt>
                <c:pt idx="340">
                  <c:v>1.61713</c:v>
                </c:pt>
                <c:pt idx="341">
                  <c:v>1.62216</c:v>
                </c:pt>
                <c:pt idx="342">
                  <c:v>1.6272</c:v>
                </c:pt>
                <c:pt idx="343">
                  <c:v>1.6322300000000001</c:v>
                </c:pt>
                <c:pt idx="344">
                  <c:v>1.63727</c:v>
                </c:pt>
                <c:pt idx="345">
                  <c:v>1.6423000000000001</c:v>
                </c:pt>
                <c:pt idx="346">
                  <c:v>1.64734</c:v>
                </c:pt>
                <c:pt idx="347">
                  <c:v>1.6523699999999999</c:v>
                </c:pt>
                <c:pt idx="348">
                  <c:v>1.65741</c:v>
                </c:pt>
                <c:pt idx="349">
                  <c:v>1.66245</c:v>
                </c:pt>
                <c:pt idx="350">
                  <c:v>1.6674800000000001</c:v>
                </c:pt>
                <c:pt idx="351">
                  <c:v>1.67252</c:v>
                </c:pt>
                <c:pt idx="352">
                  <c:v>1.6775500000000001</c:v>
                </c:pt>
                <c:pt idx="353">
                  <c:v>1.68259</c:v>
                </c:pt>
                <c:pt idx="354">
                  <c:v>1.6876199999999999</c:v>
                </c:pt>
                <c:pt idx="355">
                  <c:v>1.6926600000000001</c:v>
                </c:pt>
                <c:pt idx="356">
                  <c:v>1.6976899999999999</c:v>
                </c:pt>
                <c:pt idx="357">
                  <c:v>1.7027300000000001</c:v>
                </c:pt>
                <c:pt idx="358">
                  <c:v>1.7077599999999999</c:v>
                </c:pt>
                <c:pt idx="359">
                  <c:v>1.7128000000000001</c:v>
                </c:pt>
                <c:pt idx="360">
                  <c:v>1.71783</c:v>
                </c:pt>
                <c:pt idx="361">
                  <c:v>1.7228699999999999</c:v>
                </c:pt>
                <c:pt idx="362">
                  <c:v>1.7279100000000001</c:v>
                </c:pt>
                <c:pt idx="363">
                  <c:v>1.7329399999999999</c:v>
                </c:pt>
                <c:pt idx="364">
                  <c:v>1.7379800000000001</c:v>
                </c:pt>
                <c:pt idx="365">
                  <c:v>1.7430099999999999</c:v>
                </c:pt>
                <c:pt idx="366">
                  <c:v>1.7480500000000001</c:v>
                </c:pt>
                <c:pt idx="367">
                  <c:v>1.75308</c:v>
                </c:pt>
                <c:pt idx="368">
                  <c:v>1.7581199999999999</c:v>
                </c:pt>
                <c:pt idx="369">
                  <c:v>1.76315</c:v>
                </c:pt>
                <c:pt idx="370">
                  <c:v>1.7681899999999999</c:v>
                </c:pt>
                <c:pt idx="371">
                  <c:v>1.77322</c:v>
                </c:pt>
              </c:numCache>
            </c:numRef>
          </c:xVal>
          <c:yVal>
            <c:numRef>
              <c:f>'20221210T210000'!$BD$11:$BD$500</c:f>
              <c:numCache>
                <c:formatCode>General</c:formatCode>
                <c:ptCount val="490"/>
                <c:pt idx="0">
                  <c:v>18.676049382716048</c:v>
                </c:pt>
                <c:pt idx="1">
                  <c:v>18.672222222222221</c:v>
                </c:pt>
                <c:pt idx="2">
                  <c:v>18.668518518518518</c:v>
                </c:pt>
                <c:pt idx="3">
                  <c:v>18.660987654320987</c:v>
                </c:pt>
                <c:pt idx="4">
                  <c:v>18.66469135802469</c:v>
                </c:pt>
                <c:pt idx="5">
                  <c:v>18.672222222222221</c:v>
                </c:pt>
                <c:pt idx="6">
                  <c:v>18.672222222222221</c:v>
                </c:pt>
                <c:pt idx="7">
                  <c:v>18.668518518518518</c:v>
                </c:pt>
                <c:pt idx="8">
                  <c:v>18.649629629629626</c:v>
                </c:pt>
                <c:pt idx="9">
                  <c:v>18.634567901234568</c:v>
                </c:pt>
                <c:pt idx="10">
                  <c:v>18.623209876543207</c:v>
                </c:pt>
                <c:pt idx="11">
                  <c:v>18.630740740740741</c:v>
                </c:pt>
                <c:pt idx="12">
                  <c:v>18.645802469135798</c:v>
                </c:pt>
                <c:pt idx="13">
                  <c:v>18.653456790123457</c:v>
                </c:pt>
                <c:pt idx="14">
                  <c:v>18.660987654320987</c:v>
                </c:pt>
                <c:pt idx="15">
                  <c:v>18.66469135802469</c:v>
                </c:pt>
                <c:pt idx="16">
                  <c:v>18.660987654320987</c:v>
                </c:pt>
                <c:pt idx="17">
                  <c:v>18.649629629629626</c:v>
                </c:pt>
                <c:pt idx="18">
                  <c:v>18.630740740740741</c:v>
                </c:pt>
                <c:pt idx="19">
                  <c:v>18.61567901234568</c:v>
                </c:pt>
                <c:pt idx="20">
                  <c:v>18.604444444444443</c:v>
                </c:pt>
                <c:pt idx="21">
                  <c:v>18.593086419753085</c:v>
                </c:pt>
                <c:pt idx="22">
                  <c:v>18.593086419753085</c:v>
                </c:pt>
                <c:pt idx="23">
                  <c:v>18.611975308641973</c:v>
                </c:pt>
                <c:pt idx="24">
                  <c:v>18.619506172839504</c:v>
                </c:pt>
                <c:pt idx="25">
                  <c:v>18.611975308641973</c:v>
                </c:pt>
                <c:pt idx="26">
                  <c:v>18.61567901234568</c:v>
                </c:pt>
                <c:pt idx="27">
                  <c:v>18.61567901234568</c:v>
                </c:pt>
                <c:pt idx="28">
                  <c:v>18.604444444444443</c:v>
                </c:pt>
                <c:pt idx="29">
                  <c:v>18.600617283950616</c:v>
                </c:pt>
                <c:pt idx="30">
                  <c:v>18.593086419753085</c:v>
                </c:pt>
                <c:pt idx="31">
                  <c:v>18.589382716049382</c:v>
                </c:pt>
                <c:pt idx="32">
                  <c:v>18.581851851851848</c:v>
                </c:pt>
                <c:pt idx="33">
                  <c:v>18.574320987654321</c:v>
                </c:pt>
                <c:pt idx="34">
                  <c:v>18.570493827160494</c:v>
                </c:pt>
                <c:pt idx="35">
                  <c:v>18.574320987654321</c:v>
                </c:pt>
                <c:pt idx="36">
                  <c:v>18.574320987654321</c:v>
                </c:pt>
                <c:pt idx="37">
                  <c:v>18.570493827160494</c:v>
                </c:pt>
                <c:pt idx="38">
                  <c:v>18.566790123456791</c:v>
                </c:pt>
                <c:pt idx="39">
                  <c:v>18.562962962962963</c:v>
                </c:pt>
                <c:pt idx="40">
                  <c:v>18.559259259259257</c:v>
                </c:pt>
                <c:pt idx="41">
                  <c:v>18.551728395061726</c:v>
                </c:pt>
                <c:pt idx="42">
                  <c:v>18.536543209876541</c:v>
                </c:pt>
                <c:pt idx="43">
                  <c:v>18.525308641975307</c:v>
                </c:pt>
                <c:pt idx="44">
                  <c:v>18.532839506172838</c:v>
                </c:pt>
                <c:pt idx="45">
                  <c:v>18.525308641975307</c:v>
                </c:pt>
                <c:pt idx="46">
                  <c:v>18.536543209876541</c:v>
                </c:pt>
                <c:pt idx="47">
                  <c:v>18.525308641975307</c:v>
                </c:pt>
                <c:pt idx="48">
                  <c:v>18.521481481481484</c:v>
                </c:pt>
                <c:pt idx="49">
                  <c:v>18.521481481481484</c:v>
                </c:pt>
                <c:pt idx="50">
                  <c:v>18.525308641975307</c:v>
                </c:pt>
                <c:pt idx="51">
                  <c:v>18.532839506172838</c:v>
                </c:pt>
                <c:pt idx="52">
                  <c:v>18.529012345679011</c:v>
                </c:pt>
                <c:pt idx="53">
                  <c:v>18.536543209876541</c:v>
                </c:pt>
                <c:pt idx="54">
                  <c:v>18.532839506172838</c:v>
                </c:pt>
                <c:pt idx="55">
                  <c:v>18.532839506172838</c:v>
                </c:pt>
                <c:pt idx="56">
                  <c:v>18.536543209876541</c:v>
                </c:pt>
                <c:pt idx="57">
                  <c:v>18.540370370370372</c:v>
                </c:pt>
                <c:pt idx="58">
                  <c:v>18.544197530864199</c:v>
                </c:pt>
                <c:pt idx="59">
                  <c:v>18.532839506172838</c:v>
                </c:pt>
                <c:pt idx="60">
                  <c:v>18.532839506172838</c:v>
                </c:pt>
                <c:pt idx="61">
                  <c:v>18.529012345679011</c:v>
                </c:pt>
                <c:pt idx="62">
                  <c:v>18.525308641975307</c:v>
                </c:pt>
                <c:pt idx="63">
                  <c:v>18.517777777777777</c:v>
                </c:pt>
                <c:pt idx="64">
                  <c:v>18.510246913580243</c:v>
                </c:pt>
                <c:pt idx="65">
                  <c:v>18.517777777777777</c:v>
                </c:pt>
                <c:pt idx="66">
                  <c:v>18.502716049382713</c:v>
                </c:pt>
                <c:pt idx="67">
                  <c:v>18.502716049382713</c:v>
                </c:pt>
                <c:pt idx="68">
                  <c:v>18.498888888888889</c:v>
                </c:pt>
                <c:pt idx="69">
                  <c:v>18.483827160493824</c:v>
                </c:pt>
                <c:pt idx="70">
                  <c:v>18.491358024691355</c:v>
                </c:pt>
                <c:pt idx="71">
                  <c:v>18.498888888888889</c:v>
                </c:pt>
                <c:pt idx="72">
                  <c:v>18.495185185185186</c:v>
                </c:pt>
                <c:pt idx="73">
                  <c:v>18.487654320987652</c:v>
                </c:pt>
                <c:pt idx="74">
                  <c:v>18.487654320987652</c:v>
                </c:pt>
                <c:pt idx="75">
                  <c:v>18.483827160493824</c:v>
                </c:pt>
                <c:pt idx="76">
                  <c:v>18.472592592592594</c:v>
                </c:pt>
                <c:pt idx="77">
                  <c:v>18.468765432098763</c:v>
                </c:pt>
                <c:pt idx="78">
                  <c:v>18.476296296296297</c:v>
                </c:pt>
                <c:pt idx="79">
                  <c:v>18.476296296296297</c:v>
                </c:pt>
                <c:pt idx="80">
                  <c:v>18.46506172839506</c:v>
                </c:pt>
                <c:pt idx="81">
                  <c:v>18.45</c:v>
                </c:pt>
                <c:pt idx="82">
                  <c:v>18.434938271604938</c:v>
                </c:pt>
                <c:pt idx="83">
                  <c:v>18.431111111111111</c:v>
                </c:pt>
                <c:pt idx="84">
                  <c:v>18.442469135802465</c:v>
                </c:pt>
                <c:pt idx="85">
                  <c:v>18.45</c:v>
                </c:pt>
                <c:pt idx="86">
                  <c:v>18.461234567901233</c:v>
                </c:pt>
                <c:pt idx="87">
                  <c:v>18.461234567901233</c:v>
                </c:pt>
                <c:pt idx="88">
                  <c:v>18.453703703703706</c:v>
                </c:pt>
                <c:pt idx="89">
                  <c:v>18.442469135802465</c:v>
                </c:pt>
                <c:pt idx="90">
                  <c:v>18.427283950617284</c:v>
                </c:pt>
                <c:pt idx="91">
                  <c:v>18.427283950617284</c:v>
                </c:pt>
                <c:pt idx="92">
                  <c:v>18.41975308641975</c:v>
                </c:pt>
                <c:pt idx="93">
                  <c:v>18.416049382716047</c:v>
                </c:pt>
                <c:pt idx="94">
                  <c:v>18.416049382716047</c:v>
                </c:pt>
                <c:pt idx="95">
                  <c:v>18.400987654320986</c:v>
                </c:pt>
                <c:pt idx="96">
                  <c:v>18.397160493827158</c:v>
                </c:pt>
                <c:pt idx="97">
                  <c:v>18.397160493827158</c:v>
                </c:pt>
                <c:pt idx="98">
                  <c:v>18.400987654320986</c:v>
                </c:pt>
                <c:pt idx="99">
                  <c:v>18.408518518518516</c:v>
                </c:pt>
                <c:pt idx="100">
                  <c:v>18.408518518518516</c:v>
                </c:pt>
                <c:pt idx="101">
                  <c:v>18.412222222222223</c:v>
                </c:pt>
                <c:pt idx="102">
                  <c:v>18.408518518518516</c:v>
                </c:pt>
                <c:pt idx="103">
                  <c:v>18.412222222222223</c:v>
                </c:pt>
                <c:pt idx="104">
                  <c:v>18.416049382716047</c:v>
                </c:pt>
                <c:pt idx="105">
                  <c:v>18.412222222222223</c:v>
                </c:pt>
                <c:pt idx="106">
                  <c:v>18.408518518518516</c:v>
                </c:pt>
                <c:pt idx="107">
                  <c:v>18.404691358024692</c:v>
                </c:pt>
                <c:pt idx="108">
                  <c:v>18.404691358024692</c:v>
                </c:pt>
                <c:pt idx="109">
                  <c:v>18.400987654320986</c:v>
                </c:pt>
                <c:pt idx="110">
                  <c:v>18.408518518518516</c:v>
                </c:pt>
                <c:pt idx="111">
                  <c:v>18.412222222222223</c:v>
                </c:pt>
                <c:pt idx="112">
                  <c:v>18.393456790123455</c:v>
                </c:pt>
                <c:pt idx="113">
                  <c:v>18.389629629629628</c:v>
                </c:pt>
                <c:pt idx="114">
                  <c:v>18.382098765432101</c:v>
                </c:pt>
                <c:pt idx="115">
                  <c:v>18.389629629629628</c:v>
                </c:pt>
                <c:pt idx="116">
                  <c:v>18.400987654320986</c:v>
                </c:pt>
                <c:pt idx="117">
                  <c:v>18.400987654320986</c:v>
                </c:pt>
                <c:pt idx="118">
                  <c:v>18.393456790123455</c:v>
                </c:pt>
                <c:pt idx="119">
                  <c:v>18.393456790123455</c:v>
                </c:pt>
                <c:pt idx="120">
                  <c:v>18.385925925925928</c:v>
                </c:pt>
                <c:pt idx="121">
                  <c:v>18.378395061728394</c:v>
                </c:pt>
                <c:pt idx="122">
                  <c:v>18.378395061728394</c:v>
                </c:pt>
                <c:pt idx="123">
                  <c:v>18.367037037037036</c:v>
                </c:pt>
                <c:pt idx="124">
                  <c:v>18.359506172839506</c:v>
                </c:pt>
                <c:pt idx="125">
                  <c:v>18.351975308641972</c:v>
                </c:pt>
                <c:pt idx="126">
                  <c:v>18.340740740740738</c:v>
                </c:pt>
                <c:pt idx="127">
                  <c:v>18.318024691358023</c:v>
                </c:pt>
                <c:pt idx="128">
                  <c:v>18.299259259259259</c:v>
                </c:pt>
                <c:pt idx="129">
                  <c:v>18.295432098765431</c:v>
                </c:pt>
                <c:pt idx="130">
                  <c:v>18.291728395061728</c:v>
                </c:pt>
                <c:pt idx="131">
                  <c:v>18.287901234567901</c:v>
                </c:pt>
                <c:pt idx="132">
                  <c:v>18.284197530864198</c:v>
                </c:pt>
                <c:pt idx="133">
                  <c:v>18.265308641975306</c:v>
                </c:pt>
                <c:pt idx="134">
                  <c:v>18.261604938271603</c:v>
                </c:pt>
                <c:pt idx="135">
                  <c:v>18.265308641975306</c:v>
                </c:pt>
                <c:pt idx="136">
                  <c:v>18.269135802469137</c:v>
                </c:pt>
                <c:pt idx="137">
                  <c:v>18.269135802469137</c:v>
                </c:pt>
                <c:pt idx="138">
                  <c:v>18.265308641975306</c:v>
                </c:pt>
                <c:pt idx="139">
                  <c:v>18.27283950617284</c:v>
                </c:pt>
                <c:pt idx="140">
                  <c:v>18.276666666666667</c:v>
                </c:pt>
                <c:pt idx="141">
                  <c:v>18.284197530864198</c:v>
                </c:pt>
                <c:pt idx="142">
                  <c:v>18.284197530864198</c:v>
                </c:pt>
                <c:pt idx="143">
                  <c:v>18.276666666666667</c:v>
                </c:pt>
                <c:pt idx="144">
                  <c:v>18.276666666666667</c:v>
                </c:pt>
                <c:pt idx="145">
                  <c:v>18.276666666666667</c:v>
                </c:pt>
                <c:pt idx="146">
                  <c:v>18.269135802469137</c:v>
                </c:pt>
                <c:pt idx="147">
                  <c:v>18.265308641975306</c:v>
                </c:pt>
                <c:pt idx="148">
                  <c:v>18.257777777777775</c:v>
                </c:pt>
                <c:pt idx="149">
                  <c:v>18.254074074074072</c:v>
                </c:pt>
                <c:pt idx="150">
                  <c:v>18.250246913580245</c:v>
                </c:pt>
                <c:pt idx="151">
                  <c:v>18.242716049382715</c:v>
                </c:pt>
                <c:pt idx="152">
                  <c:v>18.242716049382715</c:v>
                </c:pt>
                <c:pt idx="153">
                  <c:v>18.231481481481481</c:v>
                </c:pt>
                <c:pt idx="154">
                  <c:v>18.22395061728395</c:v>
                </c:pt>
                <c:pt idx="155">
                  <c:v>18.22012345679012</c:v>
                </c:pt>
                <c:pt idx="156">
                  <c:v>18.22395061728395</c:v>
                </c:pt>
                <c:pt idx="157">
                  <c:v>18.22012345679012</c:v>
                </c:pt>
                <c:pt idx="158">
                  <c:v>18.216296296296292</c:v>
                </c:pt>
                <c:pt idx="159">
                  <c:v>18.201234567901235</c:v>
                </c:pt>
                <c:pt idx="160">
                  <c:v>18.186172839506174</c:v>
                </c:pt>
                <c:pt idx="161">
                  <c:v>18.167407407407406</c:v>
                </c:pt>
                <c:pt idx="162">
                  <c:v>18.152345679012342</c:v>
                </c:pt>
                <c:pt idx="163">
                  <c:v>18.148518518518514</c:v>
                </c:pt>
                <c:pt idx="164">
                  <c:v>18.148518518518514</c:v>
                </c:pt>
                <c:pt idx="165">
                  <c:v>18.148518518518514</c:v>
                </c:pt>
                <c:pt idx="166">
                  <c:v>18.148518518518514</c:v>
                </c:pt>
                <c:pt idx="167">
                  <c:v>18.140987654320988</c:v>
                </c:pt>
                <c:pt idx="168">
                  <c:v>18.137283950617284</c:v>
                </c:pt>
                <c:pt idx="169">
                  <c:v>18.133456790123457</c:v>
                </c:pt>
                <c:pt idx="170">
                  <c:v>18.125925925925923</c:v>
                </c:pt>
                <c:pt idx="171">
                  <c:v>18.11469135802469</c:v>
                </c:pt>
                <c:pt idx="172">
                  <c:v>18.091975308641977</c:v>
                </c:pt>
                <c:pt idx="173">
                  <c:v>18.091975308641977</c:v>
                </c:pt>
                <c:pt idx="174">
                  <c:v>18.088271604938271</c:v>
                </c:pt>
                <c:pt idx="175">
                  <c:v>18.088271604938271</c:v>
                </c:pt>
                <c:pt idx="176">
                  <c:v>18.088271604938271</c:v>
                </c:pt>
                <c:pt idx="177">
                  <c:v>18.084444444444443</c:v>
                </c:pt>
                <c:pt idx="178">
                  <c:v>18.084444444444443</c:v>
                </c:pt>
                <c:pt idx="179">
                  <c:v>18.080740740740737</c:v>
                </c:pt>
                <c:pt idx="180">
                  <c:v>18.076913580246913</c:v>
                </c:pt>
                <c:pt idx="181">
                  <c:v>18.069382716049383</c:v>
                </c:pt>
                <c:pt idx="182">
                  <c:v>18.065679012345679</c:v>
                </c:pt>
                <c:pt idx="183">
                  <c:v>18.076913580246913</c:v>
                </c:pt>
                <c:pt idx="184">
                  <c:v>18.07320987654321</c:v>
                </c:pt>
                <c:pt idx="185">
                  <c:v>18.076913580246913</c:v>
                </c:pt>
                <c:pt idx="186">
                  <c:v>18.069382716049383</c:v>
                </c:pt>
                <c:pt idx="187">
                  <c:v>18.065679012345679</c:v>
                </c:pt>
                <c:pt idx="188">
                  <c:v>18.054320987654318</c:v>
                </c:pt>
                <c:pt idx="189">
                  <c:v>18.046790123456791</c:v>
                </c:pt>
                <c:pt idx="190">
                  <c:v>18.031728395061727</c:v>
                </c:pt>
                <c:pt idx="191">
                  <c:v>18.0241975308642</c:v>
                </c:pt>
                <c:pt idx="192">
                  <c:v>18.020493827160493</c:v>
                </c:pt>
                <c:pt idx="193">
                  <c:v>18.009135802469135</c:v>
                </c:pt>
                <c:pt idx="194">
                  <c:v>17.997777777777777</c:v>
                </c:pt>
                <c:pt idx="195">
                  <c:v>18.001604938271605</c:v>
                </c:pt>
                <c:pt idx="196">
                  <c:v>17.997777777777777</c:v>
                </c:pt>
                <c:pt idx="197">
                  <c:v>17.997777777777777</c:v>
                </c:pt>
                <c:pt idx="198">
                  <c:v>17.994074074074071</c:v>
                </c:pt>
                <c:pt idx="199">
                  <c:v>17.98654320987654</c:v>
                </c:pt>
                <c:pt idx="200">
                  <c:v>17.979012345679013</c:v>
                </c:pt>
                <c:pt idx="201">
                  <c:v>17.971481481481479</c:v>
                </c:pt>
                <c:pt idx="202">
                  <c:v>17.975185185185186</c:v>
                </c:pt>
                <c:pt idx="203">
                  <c:v>17.975185185185186</c:v>
                </c:pt>
                <c:pt idx="204">
                  <c:v>17.967654320987652</c:v>
                </c:pt>
                <c:pt idx="205">
                  <c:v>17.960123456790122</c:v>
                </c:pt>
                <c:pt idx="206">
                  <c:v>17.945061728395061</c:v>
                </c:pt>
                <c:pt idx="207">
                  <c:v>17.933827160493827</c:v>
                </c:pt>
                <c:pt idx="208">
                  <c:v>17.914938271604939</c:v>
                </c:pt>
                <c:pt idx="209">
                  <c:v>17.899876543209874</c:v>
                </c:pt>
                <c:pt idx="210">
                  <c:v>17.880987654320986</c:v>
                </c:pt>
                <c:pt idx="211">
                  <c:v>17.869753086419752</c:v>
                </c:pt>
                <c:pt idx="212">
                  <c:v>17.858395061728395</c:v>
                </c:pt>
                <c:pt idx="213">
                  <c:v>17.847160493827161</c:v>
                </c:pt>
                <c:pt idx="214">
                  <c:v>17.839629629629631</c:v>
                </c:pt>
                <c:pt idx="215">
                  <c:v>17.832098765432097</c:v>
                </c:pt>
                <c:pt idx="216">
                  <c:v>17.824567901234566</c:v>
                </c:pt>
                <c:pt idx="217">
                  <c:v>17.820740740740739</c:v>
                </c:pt>
                <c:pt idx="218">
                  <c:v>17.813209876543205</c:v>
                </c:pt>
                <c:pt idx="219">
                  <c:v>17.813209876543205</c:v>
                </c:pt>
                <c:pt idx="220">
                  <c:v>17.813209876543205</c:v>
                </c:pt>
                <c:pt idx="221">
                  <c:v>17.809506172839505</c:v>
                </c:pt>
                <c:pt idx="222">
                  <c:v>17.801975308641975</c:v>
                </c:pt>
                <c:pt idx="223">
                  <c:v>17.798148148148147</c:v>
                </c:pt>
                <c:pt idx="224">
                  <c:v>17.78679012345679</c:v>
                </c:pt>
                <c:pt idx="225">
                  <c:v>17.775555555555556</c:v>
                </c:pt>
                <c:pt idx="226">
                  <c:v>17.756666666666668</c:v>
                </c:pt>
                <c:pt idx="227">
                  <c:v>17.749135802469137</c:v>
                </c:pt>
                <c:pt idx="228">
                  <c:v>17.7379012345679</c:v>
                </c:pt>
                <c:pt idx="229">
                  <c:v>17.73037037037037</c:v>
                </c:pt>
                <c:pt idx="230">
                  <c:v>17.722839506172836</c:v>
                </c:pt>
                <c:pt idx="231">
                  <c:v>17.722839506172836</c:v>
                </c:pt>
                <c:pt idx="232">
                  <c:v>17.719012345679008</c:v>
                </c:pt>
                <c:pt idx="233">
                  <c:v>17.711481481481481</c:v>
                </c:pt>
                <c:pt idx="234">
                  <c:v>17.700246913580244</c:v>
                </c:pt>
                <c:pt idx="235">
                  <c:v>17.692716049382714</c:v>
                </c:pt>
                <c:pt idx="236">
                  <c:v>17.68135802469136</c:v>
                </c:pt>
                <c:pt idx="237">
                  <c:v>17.673827160493826</c:v>
                </c:pt>
                <c:pt idx="238">
                  <c:v>17.662469135802468</c:v>
                </c:pt>
                <c:pt idx="239">
                  <c:v>17.651234567901231</c:v>
                </c:pt>
                <c:pt idx="240">
                  <c:v>17.639876543209876</c:v>
                </c:pt>
                <c:pt idx="241">
                  <c:v>17.628641975308639</c:v>
                </c:pt>
                <c:pt idx="242">
                  <c:v>17.609753086419751</c:v>
                </c:pt>
                <c:pt idx="243">
                  <c:v>17.60222222222222</c:v>
                </c:pt>
                <c:pt idx="244">
                  <c:v>17.590987654320987</c:v>
                </c:pt>
                <c:pt idx="245">
                  <c:v>17.572098765432099</c:v>
                </c:pt>
                <c:pt idx="246">
                  <c:v>17.54567901234568</c:v>
                </c:pt>
                <c:pt idx="247">
                  <c:v>17.526913580246916</c:v>
                </c:pt>
                <c:pt idx="248">
                  <c:v>17.504320987654321</c:v>
                </c:pt>
                <c:pt idx="249">
                  <c:v>17.496790123456787</c:v>
                </c:pt>
                <c:pt idx="250">
                  <c:v>17.489259259259256</c:v>
                </c:pt>
                <c:pt idx="251">
                  <c:v>17.481728395061729</c:v>
                </c:pt>
                <c:pt idx="252">
                  <c:v>17.470370370370368</c:v>
                </c:pt>
                <c:pt idx="253">
                  <c:v>17.455308641975307</c:v>
                </c:pt>
                <c:pt idx="254">
                  <c:v>17.447777777777777</c:v>
                </c:pt>
                <c:pt idx="255">
                  <c:v>17.443950617283949</c:v>
                </c:pt>
                <c:pt idx="256">
                  <c:v>17.436419753086419</c:v>
                </c:pt>
                <c:pt idx="257">
                  <c:v>17.428888888888888</c:v>
                </c:pt>
                <c:pt idx="258">
                  <c:v>17.421358024691358</c:v>
                </c:pt>
                <c:pt idx="259">
                  <c:v>17.406296296296293</c:v>
                </c:pt>
                <c:pt idx="260">
                  <c:v>17.391234567901233</c:v>
                </c:pt>
                <c:pt idx="261">
                  <c:v>17.372469135802469</c:v>
                </c:pt>
                <c:pt idx="262">
                  <c:v>17.357283950617283</c:v>
                </c:pt>
                <c:pt idx="263">
                  <c:v>17.334691358024692</c:v>
                </c:pt>
                <c:pt idx="264">
                  <c:v>17.319629629629631</c:v>
                </c:pt>
                <c:pt idx="265">
                  <c:v>17.297037037037036</c:v>
                </c:pt>
                <c:pt idx="266">
                  <c:v>17.278271604938272</c:v>
                </c:pt>
                <c:pt idx="267">
                  <c:v>17.266913580246914</c:v>
                </c:pt>
                <c:pt idx="268">
                  <c:v>17.248024691358022</c:v>
                </c:pt>
                <c:pt idx="269">
                  <c:v>17.229259259259258</c:v>
                </c:pt>
                <c:pt idx="270">
                  <c:v>17.202839506172836</c:v>
                </c:pt>
                <c:pt idx="271">
                  <c:v>17.184074074074076</c:v>
                </c:pt>
                <c:pt idx="272">
                  <c:v>17.161481481481481</c:v>
                </c:pt>
                <c:pt idx="273">
                  <c:v>17.150123456790123</c:v>
                </c:pt>
                <c:pt idx="274">
                  <c:v>17.131234567901231</c:v>
                </c:pt>
                <c:pt idx="275">
                  <c:v>17.11617283950617</c:v>
                </c:pt>
                <c:pt idx="276">
                  <c:v>17.09740740740741</c:v>
                </c:pt>
                <c:pt idx="277">
                  <c:v>17.074814814814815</c:v>
                </c:pt>
                <c:pt idx="278">
                  <c:v>17.048395061728392</c:v>
                </c:pt>
                <c:pt idx="279">
                  <c:v>17.018271604938271</c:v>
                </c:pt>
                <c:pt idx="280">
                  <c:v>16.999382716049382</c:v>
                </c:pt>
                <c:pt idx="281">
                  <c:v>16.980617283950615</c:v>
                </c:pt>
                <c:pt idx="282">
                  <c:v>16.965555555555554</c:v>
                </c:pt>
                <c:pt idx="283">
                  <c:v>16.942962962962962</c:v>
                </c:pt>
                <c:pt idx="284">
                  <c:v>16.912716049382716</c:v>
                </c:pt>
                <c:pt idx="285">
                  <c:v>16.871358024691357</c:v>
                </c:pt>
                <c:pt idx="286">
                  <c:v>16.844938271604939</c:v>
                </c:pt>
                <c:pt idx="287">
                  <c:v>16.826172839506171</c:v>
                </c:pt>
                <c:pt idx="288">
                  <c:v>16.799753086419752</c:v>
                </c:pt>
                <c:pt idx="289">
                  <c:v>16.777160493827161</c:v>
                </c:pt>
                <c:pt idx="290">
                  <c:v>16.747037037037035</c:v>
                </c:pt>
                <c:pt idx="291">
                  <c:v>16.716790123456789</c:v>
                </c:pt>
                <c:pt idx="292">
                  <c:v>16.686666666666664</c:v>
                </c:pt>
                <c:pt idx="293">
                  <c:v>16.656543209876542</c:v>
                </c:pt>
                <c:pt idx="294">
                  <c:v>16.630246913580244</c:v>
                </c:pt>
                <c:pt idx="295">
                  <c:v>16.599999999999998</c:v>
                </c:pt>
                <c:pt idx="296">
                  <c:v>16.569876543209876</c:v>
                </c:pt>
                <c:pt idx="297">
                  <c:v>16.536049382716048</c:v>
                </c:pt>
                <c:pt idx="298">
                  <c:v>16.494567901234568</c:v>
                </c:pt>
                <c:pt idx="299">
                  <c:v>16.456913580246912</c:v>
                </c:pt>
                <c:pt idx="300">
                  <c:v>16.42679012345679</c:v>
                </c:pt>
                <c:pt idx="301">
                  <c:v>16.396666666666665</c:v>
                </c:pt>
                <c:pt idx="302">
                  <c:v>16.366419753086415</c:v>
                </c:pt>
                <c:pt idx="303">
                  <c:v>16.328765432098766</c:v>
                </c:pt>
                <c:pt idx="304">
                  <c:v>16.29111111111111</c:v>
                </c:pt>
                <c:pt idx="305">
                  <c:v>16.249629629629627</c:v>
                </c:pt>
                <c:pt idx="306">
                  <c:v>16.208271604938268</c:v>
                </c:pt>
                <c:pt idx="307">
                  <c:v>16.166790123456789</c:v>
                </c:pt>
                <c:pt idx="308">
                  <c:v>16.121604938271602</c:v>
                </c:pt>
                <c:pt idx="309">
                  <c:v>16.072592592592592</c:v>
                </c:pt>
                <c:pt idx="310">
                  <c:v>16.031111111111109</c:v>
                </c:pt>
                <c:pt idx="311">
                  <c:v>15.985925925925924</c:v>
                </c:pt>
                <c:pt idx="312">
                  <c:v>15.940740740740738</c:v>
                </c:pt>
                <c:pt idx="313">
                  <c:v>15.880493827160493</c:v>
                </c:pt>
                <c:pt idx="314">
                  <c:v>15.82395061728395</c:v>
                </c:pt>
                <c:pt idx="315">
                  <c:v>15.774938271604935</c:v>
                </c:pt>
                <c:pt idx="316">
                  <c:v>15.722222222222221</c:v>
                </c:pt>
                <c:pt idx="317">
                  <c:v>15.669506172839506</c:v>
                </c:pt>
                <c:pt idx="318">
                  <c:v>15.616666666666664</c:v>
                </c:pt>
                <c:pt idx="319">
                  <c:v>15.560246913580245</c:v>
                </c:pt>
                <c:pt idx="320">
                  <c:v>15.496172839506173</c:v>
                </c:pt>
                <c:pt idx="321">
                  <c:v>15.42074074074074</c:v>
                </c:pt>
                <c:pt idx="322">
                  <c:v>15.34543209876543</c:v>
                </c:pt>
                <c:pt idx="323">
                  <c:v>15.270123456790122</c:v>
                </c:pt>
                <c:pt idx="324">
                  <c:v>15.198518518518517</c:v>
                </c:pt>
                <c:pt idx="325">
                  <c:v>15.130740740740739</c:v>
                </c:pt>
                <c:pt idx="326">
                  <c:v>15.051604938271602</c:v>
                </c:pt>
                <c:pt idx="327">
                  <c:v>14.96111111111111</c:v>
                </c:pt>
                <c:pt idx="328">
                  <c:v>14.881975308641973</c:v>
                </c:pt>
                <c:pt idx="329">
                  <c:v>14.795432098765431</c:v>
                </c:pt>
                <c:pt idx="330">
                  <c:v>14.697407407407406</c:v>
                </c:pt>
                <c:pt idx="331">
                  <c:v>14.607037037037037</c:v>
                </c:pt>
                <c:pt idx="332">
                  <c:v>14.497777777777777</c:v>
                </c:pt>
                <c:pt idx="333">
                  <c:v>14.396049382716049</c:v>
                </c:pt>
                <c:pt idx="334">
                  <c:v>14.282962962962962</c:v>
                </c:pt>
                <c:pt idx="335">
                  <c:v>14.17</c:v>
                </c:pt>
                <c:pt idx="336">
                  <c:v>14.041851851851851</c:v>
                </c:pt>
                <c:pt idx="337">
                  <c:v>13.90246913580247</c:v>
                </c:pt>
                <c:pt idx="338">
                  <c:v>13.763086419753085</c:v>
                </c:pt>
                <c:pt idx="339">
                  <c:v>13.619876543209877</c:v>
                </c:pt>
                <c:pt idx="340">
                  <c:v>13.446543209876543</c:v>
                </c:pt>
                <c:pt idx="341">
                  <c:v>13.288271604938272</c:v>
                </c:pt>
                <c:pt idx="342">
                  <c:v>13.115061728395061</c:v>
                </c:pt>
                <c:pt idx="343">
                  <c:v>12.941728395061729</c:v>
                </c:pt>
                <c:pt idx="344">
                  <c:v>12.741975308641976</c:v>
                </c:pt>
                <c:pt idx="345">
                  <c:v>12.542345679012344</c:v>
                </c:pt>
                <c:pt idx="346">
                  <c:v>12.323827160493826</c:v>
                </c:pt>
                <c:pt idx="347">
                  <c:v>12.090234567901234</c:v>
                </c:pt>
                <c:pt idx="348">
                  <c:v>11.818962962962962</c:v>
                </c:pt>
                <c:pt idx="349">
                  <c:v>11.558999999999997</c:v>
                </c:pt>
                <c:pt idx="350">
                  <c:v>11.261358024691358</c:v>
                </c:pt>
                <c:pt idx="351">
                  <c:v>10.959950617283949</c:v>
                </c:pt>
                <c:pt idx="352">
                  <c:v>10.617098765432097</c:v>
                </c:pt>
                <c:pt idx="353">
                  <c:v>10.259185185185183</c:v>
                </c:pt>
                <c:pt idx="354">
                  <c:v>9.8598148148148166</c:v>
                </c:pt>
                <c:pt idx="355">
                  <c:v>9.4340740740740738</c:v>
                </c:pt>
                <c:pt idx="356">
                  <c:v>8.9631234567901235</c:v>
                </c:pt>
                <c:pt idx="357">
                  <c:v>8.462037037037037</c:v>
                </c:pt>
                <c:pt idx="358">
                  <c:v>7.8818271604938257</c:v>
                </c:pt>
                <c:pt idx="359">
                  <c:v>7.2564074074074068</c:v>
                </c:pt>
                <c:pt idx="360">
                  <c:v>6.5518641975308638</c:v>
                </c:pt>
                <c:pt idx="361">
                  <c:v>5.7746049382716045</c:v>
                </c:pt>
                <c:pt idx="362">
                  <c:v>4.8877160493827159</c:v>
                </c:pt>
                <c:pt idx="363">
                  <c:v>3.8779876543209872</c:v>
                </c:pt>
                <c:pt idx="364">
                  <c:v>2.6799012345679012</c:v>
                </c:pt>
                <c:pt idx="365">
                  <c:v>1.2651604938271606</c:v>
                </c:pt>
                <c:pt idx="366">
                  <c:v>-0.46789876543209874</c:v>
                </c:pt>
                <c:pt idx="367">
                  <c:v>-2.5533086419753088</c:v>
                </c:pt>
                <c:pt idx="368">
                  <c:v>-5.1959012345679012</c:v>
                </c:pt>
                <c:pt idx="369">
                  <c:v>-8.2435185185185187</c:v>
                </c:pt>
                <c:pt idx="370">
                  <c:v>-11.841567901234567</c:v>
                </c:pt>
                <c:pt idx="371">
                  <c:v>-16.057530864197531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3D0-4F65-A235-9162CC21C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9056"/>
        <c:axId val="99234944"/>
      </c:scatterChart>
      <c:valAx>
        <c:axId val="99229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9234944"/>
        <c:crosses val="autoZero"/>
        <c:crossBetween val="midCat"/>
      </c:valAx>
      <c:valAx>
        <c:axId val="99234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92290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38100</xdr:colOff>
      <xdr:row>14</xdr:row>
      <xdr:rowOff>156210</xdr:rowOff>
    </xdr:from>
    <xdr:to>
      <xdr:col>19</xdr:col>
      <xdr:colOff>342900</xdr:colOff>
      <xdr:row>29</xdr:row>
      <xdr:rowOff>156210</xdr:rowOff>
    </xdr:to>
    <xdr:graphicFrame macro="">
      <xdr:nvGraphicFramePr>
        <xdr:cNvPr id="11" name="图表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85725</xdr:colOff>
      <xdr:row>13</xdr:row>
      <xdr:rowOff>156210</xdr:rowOff>
    </xdr:from>
    <xdr:to>
      <xdr:col>35</xdr:col>
      <xdr:colOff>390525</xdr:colOff>
      <xdr:row>28</xdr:row>
      <xdr:rowOff>156210</xdr:rowOff>
    </xdr:to>
    <xdr:graphicFrame macro="">
      <xdr:nvGraphicFramePr>
        <xdr:cNvPr id="12" name="图表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44</xdr:col>
      <xdr:colOff>533400</xdr:colOff>
      <xdr:row>12</xdr:row>
      <xdr:rowOff>41910</xdr:rowOff>
    </xdr:from>
    <xdr:to>
      <xdr:col>52</xdr:col>
      <xdr:colOff>228600</xdr:colOff>
      <xdr:row>27</xdr:row>
      <xdr:rowOff>41910</xdr:rowOff>
    </xdr:to>
    <xdr:graphicFrame macro="">
      <xdr:nvGraphicFramePr>
        <xdr:cNvPr id="13" name="图表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H273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6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6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6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6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6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6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6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6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6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6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6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6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5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5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5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5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5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5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 t="e">
        <f>(I3-I4)/(K3-K4)*(-K4)+I4</f>
        <v>#N/A</v>
      </c>
      <c r="J6" s="25"/>
      <c r="K6" s="2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27" t="e">
        <f>(Q3-Q4)/(S3-S4)*(-S4)+Q4</f>
        <v>#N/A</v>
      </c>
      <c r="R6" s="27"/>
      <c r="S6" s="2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5" t="e">
        <f>(AA3-AA4)/(AC3-AC4)*(-AC4)+AA4</f>
        <v>#N/A</v>
      </c>
      <c r="AB6" s="25"/>
      <c r="AC6" s="2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27" t="e">
        <f>(AI3-AI4)/(AK3-AK4)*(-AK4)+AI4</f>
        <v>#N/A</v>
      </c>
      <c r="AJ6" s="27"/>
      <c r="AK6" s="2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5" t="e">
        <f>(AS3-AS4)/(AU3-AU4)*(-AU4)+AS4</f>
        <v>#N/A</v>
      </c>
      <c r="AT6" s="25"/>
      <c r="AU6" s="2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27" t="e">
        <f>(BA3-BA4)/(BC3-BC4)*(-BC4)+BA4</f>
        <v>#N/A</v>
      </c>
      <c r="BB6" s="27"/>
      <c r="BC6" s="2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2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2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2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2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2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 t="e">
        <f>(MAX(L2,T2)-MIN(L2,T2))/MAX(L2,T2)%</f>
        <v>#N/A</v>
      </c>
      <c r="J9" s="2"/>
      <c r="K9" s="2"/>
      <c r="L9" s="3" t="e">
        <f>(L6-L7)/(K6-K7)*(-K7)+L7</f>
        <v>#DIV/0!</v>
      </c>
      <c r="M9" s="15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5">
        <f>MAX(U11:U1056)</f>
        <v>-0.31565162935699997</v>
      </c>
      <c r="X9" s="9"/>
      <c r="Y9" s="2"/>
      <c r="Z9" s="2"/>
      <c r="AA9" s="14" t="e">
        <f>(MAX(AD2,AL2)-MIN(AD2,AL2))/MAX(AD2,AL2)%</f>
        <v>#N/A</v>
      </c>
      <c r="AB9" s="2"/>
      <c r="AC9" s="2"/>
      <c r="AD9" s="3" t="e">
        <f>(AD6-AD7)/(AC6-AC7)*(-AC7)+AD7</f>
        <v>#DIV/0!</v>
      </c>
      <c r="AE9" s="15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5">
        <f>MAX(AM11:AM1056)</f>
        <v>-0.31388441074300005</v>
      </c>
      <c r="AP9" s="9"/>
      <c r="AQ9" s="2"/>
      <c r="AR9" s="2"/>
      <c r="AS9" s="14" t="e">
        <f>(MAX(AV2,BD2)-MIN(AV2,BD2))/MAX(AV2,BD2)%</f>
        <v>#N/A</v>
      </c>
      <c r="AT9" s="2"/>
      <c r="AU9" s="2"/>
      <c r="AV9" s="3" t="e">
        <f>(AV6-AV7)/(AU6-AU7)*(-AU7)+AV7</f>
        <v>#DIV/0!</v>
      </c>
      <c r="AW9" s="15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5">
        <f>MAX(BE11:BE1056)</f>
        <v>-0.31263919547899999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-0.31069829211400002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0</v>
      </c>
      <c r="B11" s="18">
        <f>IFERROR(L9,0)</f>
        <v>0</v>
      </c>
      <c r="C11" s="19">
        <f>IFERROR(L4,0)</f>
        <v>0</v>
      </c>
      <c r="D11" s="20">
        <f>IFERROR(L2,0)</f>
        <v>0</v>
      </c>
      <c r="E11" s="20">
        <f>IFERROR(I9,0)</f>
        <v>0</v>
      </c>
      <c r="F11" s="9"/>
      <c r="G11" s="21">
        <v>1.2149000000000001</v>
      </c>
      <c r="H11" s="21">
        <v>129.94300000000001</v>
      </c>
      <c r="I11" s="21">
        <v>1E-4</v>
      </c>
      <c r="J11" s="21">
        <v>1</v>
      </c>
      <c r="K11" s="21">
        <v>1.2142900000000001</v>
      </c>
      <c r="L11">
        <f>-I11/$F$2*1000</f>
        <v>-0.1</v>
      </c>
      <c r="M11">
        <f>L11*G11</f>
        <v>-0.12149000000000001</v>
      </c>
      <c r="N11" s="9"/>
      <c r="O11" s="21">
        <v>-9.49097E-2</v>
      </c>
      <c r="P11" s="21">
        <v>156.53100000000001</v>
      </c>
      <c r="Q11" s="21">
        <v>-3.3258099999999998E-3</v>
      </c>
      <c r="R11" s="21">
        <v>1</v>
      </c>
      <c r="S11" s="21">
        <v>-9.5642099999999994E-2</v>
      </c>
      <c r="T11">
        <f>-Q11/$F$2*1000</f>
        <v>3.3258099999999997</v>
      </c>
      <c r="U11">
        <f>T11*O11</f>
        <v>-0.31565162935699997</v>
      </c>
      <c r="V11" s="22"/>
      <c r="W11" s="23"/>
      <c r="X11" s="9"/>
      <c r="Y11" s="21">
        <v>1.2149000000000001</v>
      </c>
      <c r="Z11" s="21">
        <v>206.221</v>
      </c>
      <c r="AA11" s="21">
        <v>3.6856100000000002E-3</v>
      </c>
      <c r="AB11" s="21">
        <v>1</v>
      </c>
      <c r="AC11" s="21">
        <v>1.2145999999999999</v>
      </c>
      <c r="AD11">
        <f>-AA11/$F$2*1000</f>
        <v>-3.6856100000000001</v>
      </c>
      <c r="AE11">
        <f>AD11*Y11</f>
        <v>-4.477647589</v>
      </c>
      <c r="AF11" s="9"/>
      <c r="AG11" s="21">
        <v>-9.49097E-2</v>
      </c>
      <c r="AH11" s="21">
        <v>232.809</v>
      </c>
      <c r="AI11" s="21">
        <v>-3.3071900000000002E-3</v>
      </c>
      <c r="AJ11" s="21">
        <v>1</v>
      </c>
      <c r="AK11" s="21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1">
        <v>1.2149000000000001</v>
      </c>
      <c r="AR11" s="21">
        <v>270.23200000000003</v>
      </c>
      <c r="AS11" s="21">
        <v>3.60992E-3</v>
      </c>
      <c r="AT11" s="21">
        <v>1</v>
      </c>
      <c r="AU11" s="21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1">
        <v>-9.49097E-2</v>
      </c>
      <c r="AZ11" s="21">
        <v>296.82</v>
      </c>
      <c r="BA11" s="21">
        <v>-3.2940700000000001E-3</v>
      </c>
      <c r="BB11" s="21">
        <v>1</v>
      </c>
      <c r="BC11" s="21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0</v>
      </c>
      <c r="B12" s="18">
        <f>IFERROR(T9,0)</f>
        <v>0</v>
      </c>
      <c r="C12" s="19">
        <f>IFERROR(T4,0)</f>
        <v>0</v>
      </c>
      <c r="D12" s="20">
        <f>IFERROR(T2,0)</f>
        <v>0</v>
      </c>
      <c r="E12" s="20"/>
      <c r="F12" s="9"/>
      <c r="G12" s="21"/>
      <c r="H12" s="21"/>
      <c r="I12" s="21"/>
      <c r="J12" s="21"/>
      <c r="K12" s="21"/>
      <c r="N12" s="9"/>
      <c r="O12" s="21"/>
      <c r="P12" s="21"/>
      <c r="Q12" s="21"/>
      <c r="R12" s="21"/>
      <c r="S12" s="21"/>
      <c r="V12" s="22"/>
      <c r="W12" s="23"/>
      <c r="X12" s="9"/>
      <c r="Y12" s="21"/>
      <c r="Z12" s="21"/>
      <c r="AA12" s="21"/>
      <c r="AB12" s="21"/>
      <c r="AC12" s="21"/>
      <c r="AF12" s="9"/>
      <c r="AG12" s="21"/>
      <c r="AH12" s="21"/>
      <c r="AI12" s="21"/>
      <c r="AJ12" s="21"/>
      <c r="AK12" s="21"/>
      <c r="AP12" s="9"/>
      <c r="AQ12" s="21"/>
      <c r="AR12" s="21"/>
      <c r="AS12" s="21"/>
      <c r="AT12" s="21"/>
      <c r="AU12" s="21"/>
      <c r="AX12" s="9"/>
      <c r="AY12" s="21"/>
      <c r="AZ12" s="21"/>
      <c r="BA12" s="21"/>
      <c r="BB12" s="21"/>
      <c r="BC12" s="21"/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0</v>
      </c>
      <c r="B13" s="18">
        <f>IFERROR(AD9,0)</f>
        <v>0</v>
      </c>
      <c r="C13" s="19">
        <f>IFERROR(AD4,0)</f>
        <v>0</v>
      </c>
      <c r="D13" s="20">
        <f>IFERROR(AD2,0)</f>
        <v>0</v>
      </c>
      <c r="E13" s="20">
        <f>IFERROR(AA9,0)</f>
        <v>0</v>
      </c>
      <c r="F13" s="9"/>
      <c r="G13" s="21"/>
      <c r="H13" s="21"/>
      <c r="I13" s="21"/>
      <c r="J13" s="21"/>
      <c r="K13" s="21"/>
      <c r="N13" s="9"/>
      <c r="O13" s="21"/>
      <c r="P13" s="21"/>
      <c r="Q13" s="21"/>
      <c r="R13" s="21"/>
      <c r="S13" s="21"/>
      <c r="V13" s="22"/>
      <c r="W13" s="23"/>
      <c r="X13" s="9"/>
      <c r="Y13" s="21"/>
      <c r="Z13" s="21"/>
      <c r="AA13" s="21"/>
      <c r="AB13" s="21"/>
      <c r="AC13" s="21"/>
      <c r="AF13" s="9"/>
      <c r="AG13" s="21"/>
      <c r="AH13" s="21"/>
      <c r="AI13" s="21"/>
      <c r="AJ13" s="21"/>
      <c r="AK13" s="21"/>
      <c r="AP13" s="9"/>
      <c r="AQ13" s="21"/>
      <c r="AR13" s="21"/>
      <c r="AS13" s="21"/>
      <c r="AT13" s="21"/>
      <c r="AU13" s="21"/>
      <c r="AX13" s="9"/>
      <c r="AY13" s="21"/>
      <c r="AZ13" s="21"/>
      <c r="BA13" s="21"/>
      <c r="BB13" s="21"/>
      <c r="BC13" s="21"/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0</v>
      </c>
      <c r="B14" s="18">
        <f>IFERROR(AL9,0)</f>
        <v>0</v>
      </c>
      <c r="C14" s="19">
        <f>IFERROR(AL4,0)</f>
        <v>0</v>
      </c>
      <c r="D14" s="20">
        <f>IFERROR(AL2,0)</f>
        <v>0</v>
      </c>
      <c r="E14" s="20"/>
      <c r="F14" s="9"/>
      <c r="G14" s="21"/>
      <c r="H14" s="21"/>
      <c r="I14" s="21"/>
      <c r="J14" s="21"/>
      <c r="K14" s="21"/>
      <c r="N14" s="9"/>
      <c r="O14" s="21"/>
      <c r="P14" s="21"/>
      <c r="Q14" s="21"/>
      <c r="R14" s="21"/>
      <c r="S14" s="21"/>
      <c r="V14" s="22"/>
      <c r="W14" s="23"/>
      <c r="X14" s="9"/>
      <c r="Y14" s="21"/>
      <c r="Z14" s="21"/>
      <c r="AA14" s="21"/>
      <c r="AB14" s="21"/>
      <c r="AC14" s="21"/>
      <c r="AF14" s="9"/>
      <c r="AG14" s="21"/>
      <c r="AH14" s="21"/>
      <c r="AI14" s="21"/>
      <c r="AJ14" s="21"/>
      <c r="AK14" s="21"/>
      <c r="AP14" s="9"/>
      <c r="AQ14" s="21"/>
      <c r="AR14" s="21"/>
      <c r="AS14" s="21"/>
      <c r="AT14" s="21"/>
      <c r="AU14" s="21"/>
      <c r="AX14" s="9"/>
      <c r="AY14" s="21"/>
      <c r="AZ14" s="21"/>
      <c r="BA14" s="21"/>
      <c r="BB14" s="21"/>
      <c r="BC14" s="21"/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0</v>
      </c>
      <c r="B15" s="18">
        <f>IFERROR(AV9,0)</f>
        <v>0</v>
      </c>
      <c r="C15" s="19">
        <f>IFERROR(AV4,0)</f>
        <v>0</v>
      </c>
      <c r="D15" s="20">
        <f>IFERROR(AV2,0)</f>
        <v>0</v>
      </c>
      <c r="E15" s="20">
        <f>IFERROR(AS9,0)</f>
        <v>0</v>
      </c>
      <c r="F15" s="9"/>
      <c r="G15" s="21"/>
      <c r="H15" s="21"/>
      <c r="I15" s="21"/>
      <c r="J15" s="21"/>
      <c r="K15" s="21"/>
      <c r="N15" s="9"/>
      <c r="O15" s="21"/>
      <c r="P15" s="21"/>
      <c r="Q15" s="21"/>
      <c r="R15" s="21"/>
      <c r="S15" s="21"/>
      <c r="V15" s="22"/>
      <c r="W15" s="23"/>
      <c r="X15" s="9"/>
      <c r="Y15" s="21"/>
      <c r="Z15" s="21"/>
      <c r="AA15" s="21"/>
      <c r="AB15" s="21"/>
      <c r="AC15" s="21"/>
      <c r="AF15" s="9"/>
      <c r="AG15" s="21"/>
      <c r="AH15" s="21"/>
      <c r="AI15" s="21"/>
      <c r="AJ15" s="21"/>
      <c r="AK15" s="21"/>
      <c r="AP15" s="9"/>
      <c r="AQ15" s="21"/>
      <c r="AR15" s="21"/>
      <c r="AS15" s="21"/>
      <c r="AT15" s="21"/>
      <c r="AU15" s="21"/>
      <c r="AX15" s="9"/>
      <c r="AY15" s="21"/>
      <c r="AZ15" s="21"/>
      <c r="BA15" s="21"/>
      <c r="BB15" s="21"/>
      <c r="BC15" s="21"/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0</v>
      </c>
      <c r="B16" s="18">
        <f>IFERROR(BD9,0)</f>
        <v>0</v>
      </c>
      <c r="C16" s="19">
        <f>IFERROR(BD4,0)</f>
        <v>0</v>
      </c>
      <c r="D16" s="20">
        <f>IFERROR(BD2,0)</f>
        <v>0</v>
      </c>
      <c r="E16" s="20"/>
      <c r="F16" s="9"/>
      <c r="G16" s="21"/>
      <c r="H16" s="21"/>
      <c r="I16" s="21"/>
      <c r="J16" s="21"/>
      <c r="K16" s="21"/>
      <c r="N16" s="9"/>
      <c r="O16" s="21"/>
      <c r="P16" s="21"/>
      <c r="Q16" s="21"/>
      <c r="R16" s="21"/>
      <c r="S16" s="21"/>
      <c r="V16" s="22"/>
      <c r="W16" s="23"/>
      <c r="X16" s="9"/>
      <c r="Y16" s="21"/>
      <c r="Z16" s="21"/>
      <c r="AA16" s="21"/>
      <c r="AB16" s="21"/>
      <c r="AC16" s="21"/>
      <c r="AF16" s="9"/>
      <c r="AG16" s="21"/>
      <c r="AH16" s="21"/>
      <c r="AI16" s="21"/>
      <c r="AJ16" s="21"/>
      <c r="AK16" s="21"/>
      <c r="AP16" s="9"/>
      <c r="AQ16" s="21"/>
      <c r="AR16" s="21"/>
      <c r="AS16" s="21"/>
      <c r="AT16" s="21"/>
      <c r="AU16" s="21"/>
      <c r="AX16" s="9"/>
      <c r="AY16" s="21"/>
      <c r="AZ16" s="21"/>
      <c r="BA16" s="21"/>
      <c r="BB16" s="21"/>
      <c r="BC16" s="21"/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/>
      <c r="H17" s="21"/>
      <c r="I17" s="21"/>
      <c r="J17" s="21"/>
      <c r="K17" s="21"/>
      <c r="N17" s="9"/>
      <c r="O17" s="21"/>
      <c r="P17" s="21"/>
      <c r="Q17" s="21"/>
      <c r="R17" s="21"/>
      <c r="S17" s="21"/>
      <c r="V17" s="22"/>
      <c r="W17" s="23"/>
      <c r="X17" s="9"/>
      <c r="Y17" s="21"/>
      <c r="Z17" s="21"/>
      <c r="AA17" s="21"/>
      <c r="AB17" s="21"/>
      <c r="AC17" s="21"/>
      <c r="AF17" s="9"/>
      <c r="AG17" s="21"/>
      <c r="AH17" s="21"/>
      <c r="AI17" s="21"/>
      <c r="AJ17" s="21"/>
      <c r="AK17" s="21"/>
      <c r="AP17" s="9"/>
      <c r="AQ17" s="21"/>
      <c r="AR17" s="21"/>
      <c r="AS17" s="21"/>
      <c r="AT17" s="21"/>
      <c r="AU17" s="21"/>
      <c r="AX17" s="9"/>
      <c r="AY17" s="21"/>
      <c r="AZ17" s="21"/>
      <c r="BA17" s="21"/>
      <c r="BB17" s="21"/>
      <c r="BC17" s="21"/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/>
      <c r="H18" s="21"/>
      <c r="I18" s="21"/>
      <c r="J18" s="21"/>
      <c r="K18" s="21"/>
      <c r="N18" s="9"/>
      <c r="O18" s="21"/>
      <c r="P18" s="21"/>
      <c r="Q18" s="21"/>
      <c r="R18" s="21"/>
      <c r="S18" s="21"/>
      <c r="V18" s="22"/>
      <c r="W18" s="23"/>
      <c r="X18" s="9"/>
      <c r="Y18" s="21"/>
      <c r="Z18" s="21"/>
      <c r="AA18" s="21"/>
      <c r="AB18" s="21"/>
      <c r="AC18" s="21"/>
      <c r="AF18" s="9"/>
      <c r="AG18" s="21"/>
      <c r="AH18" s="21"/>
      <c r="AI18" s="21"/>
      <c r="AJ18" s="21"/>
      <c r="AK18" s="21"/>
      <c r="AP18" s="9"/>
      <c r="AQ18" s="21"/>
      <c r="AR18" s="21"/>
      <c r="AS18" s="21"/>
      <c r="AT18" s="21"/>
      <c r="AU18" s="21"/>
      <c r="AX18" s="9"/>
      <c r="AY18" s="21"/>
      <c r="AZ18" s="21"/>
      <c r="BA18" s="21"/>
      <c r="BB18" s="21"/>
      <c r="BC18" s="21"/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/>
      <c r="H19" s="21"/>
      <c r="I19" s="21"/>
      <c r="J19" s="21"/>
      <c r="K19" s="21"/>
      <c r="N19" s="9"/>
      <c r="O19" s="21"/>
      <c r="P19" s="21"/>
      <c r="Q19" s="21"/>
      <c r="R19" s="21"/>
      <c r="S19" s="21"/>
      <c r="V19" s="22"/>
      <c r="W19" s="23"/>
      <c r="X19" s="9"/>
      <c r="Y19" s="21"/>
      <c r="Z19" s="21"/>
      <c r="AA19" s="21"/>
      <c r="AB19" s="21"/>
      <c r="AC19" s="21"/>
      <c r="AF19" s="9"/>
      <c r="AG19" s="21"/>
      <c r="AH19" s="21"/>
      <c r="AI19" s="21"/>
      <c r="AJ19" s="21"/>
      <c r="AK19" s="21"/>
      <c r="AP19" s="9"/>
      <c r="AQ19" s="21"/>
      <c r="AR19" s="21"/>
      <c r="AS19" s="21"/>
      <c r="AT19" s="21"/>
      <c r="AU19" s="21"/>
      <c r="AX19" s="9"/>
      <c r="AY19" s="21"/>
      <c r="AZ19" s="21"/>
      <c r="BA19" s="21"/>
      <c r="BB19" s="21"/>
      <c r="BC19" s="21"/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/>
      <c r="H20" s="21"/>
      <c r="I20" s="21"/>
      <c r="J20" s="21"/>
      <c r="K20" s="21"/>
      <c r="N20" s="9"/>
      <c r="O20" s="21"/>
      <c r="P20" s="21"/>
      <c r="Q20" s="21"/>
      <c r="R20" s="21"/>
      <c r="S20" s="21"/>
      <c r="V20" s="22"/>
      <c r="W20" s="23"/>
      <c r="X20" s="9"/>
      <c r="Y20" s="21"/>
      <c r="Z20" s="21"/>
      <c r="AA20" s="21"/>
      <c r="AB20" s="21"/>
      <c r="AC20" s="21"/>
      <c r="AF20" s="9"/>
      <c r="AG20" s="21"/>
      <c r="AH20" s="21"/>
      <c r="AI20" s="21"/>
      <c r="AJ20" s="21"/>
      <c r="AK20" s="21"/>
      <c r="AP20" s="9"/>
      <c r="AQ20" s="21"/>
      <c r="AR20" s="21"/>
      <c r="AS20" s="21"/>
      <c r="AT20" s="21"/>
      <c r="AU20" s="21"/>
      <c r="AX20" s="9"/>
      <c r="AY20" s="21"/>
      <c r="AZ20" s="21"/>
      <c r="BA20" s="21"/>
      <c r="BB20" s="21"/>
      <c r="BC20" s="21"/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/>
      <c r="H21" s="21"/>
      <c r="I21" s="21"/>
      <c r="J21" s="21"/>
      <c r="K21" s="21"/>
      <c r="N21" s="9"/>
      <c r="O21" s="21"/>
      <c r="P21" s="21"/>
      <c r="Q21" s="21"/>
      <c r="R21" s="21"/>
      <c r="S21" s="21"/>
      <c r="V21" s="22"/>
      <c r="W21" s="23"/>
      <c r="X21" s="9"/>
      <c r="Y21" s="21"/>
      <c r="Z21" s="21"/>
      <c r="AA21" s="21"/>
      <c r="AB21" s="21"/>
      <c r="AC21" s="21"/>
      <c r="AF21" s="9"/>
      <c r="AG21" s="21"/>
      <c r="AH21" s="21"/>
      <c r="AI21" s="21"/>
      <c r="AJ21" s="21"/>
      <c r="AK21" s="21"/>
      <c r="AP21" s="9"/>
      <c r="AQ21" s="21"/>
      <c r="AR21" s="21"/>
      <c r="AS21" s="21"/>
      <c r="AT21" s="21"/>
      <c r="AU21" s="21"/>
      <c r="AX21" s="9"/>
      <c r="AY21" s="21"/>
      <c r="AZ21" s="21"/>
      <c r="BA21" s="21"/>
      <c r="BB21" s="21"/>
      <c r="BC21" s="21"/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/>
      <c r="H22" s="21"/>
      <c r="I22" s="21"/>
      <c r="J22" s="21"/>
      <c r="K22" s="21"/>
      <c r="N22" s="9"/>
      <c r="O22" s="21"/>
      <c r="P22" s="21"/>
      <c r="Q22" s="21"/>
      <c r="R22" s="21"/>
      <c r="S22" s="21"/>
      <c r="V22" s="22"/>
      <c r="W22" s="23"/>
      <c r="X22" s="9"/>
      <c r="Y22" s="21"/>
      <c r="Z22" s="21"/>
      <c r="AA22" s="21"/>
      <c r="AB22" s="21"/>
      <c r="AC22" s="21"/>
      <c r="AF22" s="9"/>
      <c r="AG22" s="21"/>
      <c r="AH22" s="21"/>
      <c r="AI22" s="21"/>
      <c r="AJ22" s="21"/>
      <c r="AK22" s="21"/>
      <c r="AP22" s="9"/>
      <c r="AQ22" s="21"/>
      <c r="AR22" s="21"/>
      <c r="AS22" s="21"/>
      <c r="AT22" s="21"/>
      <c r="AU22" s="21"/>
      <c r="AX22" s="9"/>
      <c r="AY22" s="21"/>
      <c r="AZ22" s="21"/>
      <c r="BA22" s="21"/>
      <c r="BB22" s="21"/>
      <c r="BC22" s="21"/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/>
      <c r="H23" s="21"/>
      <c r="I23" s="21"/>
      <c r="J23" s="21"/>
      <c r="K23" s="21"/>
      <c r="N23" s="9"/>
      <c r="O23" s="21"/>
      <c r="P23" s="21"/>
      <c r="Q23" s="21"/>
      <c r="R23" s="21"/>
      <c r="S23" s="21"/>
      <c r="V23" s="22"/>
      <c r="W23" s="23"/>
      <c r="X23" s="9"/>
      <c r="Y23" s="21"/>
      <c r="Z23" s="21"/>
      <c r="AA23" s="24"/>
      <c r="AB23" s="21"/>
      <c r="AC23" s="21"/>
      <c r="AF23" s="9"/>
      <c r="AG23" s="21"/>
      <c r="AH23" s="21"/>
      <c r="AI23" s="21"/>
      <c r="AJ23" s="21"/>
      <c r="AK23" s="21"/>
      <c r="AP23" s="9"/>
      <c r="AQ23" s="21"/>
      <c r="AR23" s="21"/>
      <c r="AS23" s="24"/>
      <c r="AT23" s="21"/>
      <c r="AU23" s="21"/>
      <c r="AX23" s="9"/>
      <c r="AY23" s="21"/>
      <c r="AZ23" s="21"/>
      <c r="BA23" s="21"/>
      <c r="BB23" s="21"/>
      <c r="BC23" s="21"/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/>
      <c r="H24" s="21"/>
      <c r="I24" s="24"/>
      <c r="J24" s="21"/>
      <c r="K24" s="21"/>
      <c r="N24" s="9"/>
      <c r="O24" s="21"/>
      <c r="P24" s="21"/>
      <c r="Q24" s="21"/>
      <c r="R24" s="21"/>
      <c r="S24" s="21"/>
      <c r="V24" s="22"/>
      <c r="W24" s="23"/>
      <c r="X24" s="9"/>
      <c r="Y24" s="21"/>
      <c r="Z24" s="21"/>
      <c r="AA24" s="21"/>
      <c r="AB24" s="21"/>
      <c r="AC24" s="21"/>
      <c r="AF24" s="9"/>
      <c r="AG24" s="21"/>
      <c r="AH24" s="21"/>
      <c r="AI24" s="21"/>
      <c r="AJ24" s="21"/>
      <c r="AK24" s="21"/>
      <c r="AP24" s="9"/>
      <c r="AQ24" s="21"/>
      <c r="AR24" s="21"/>
      <c r="AS24" s="21"/>
      <c r="AT24" s="21"/>
      <c r="AU24" s="21"/>
      <c r="AX24" s="9"/>
      <c r="AY24" s="21"/>
      <c r="AZ24" s="21"/>
      <c r="BA24" s="21"/>
      <c r="BB24" s="21"/>
      <c r="BC24" s="21"/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/>
      <c r="H25" s="21"/>
      <c r="I25" s="21"/>
      <c r="J25" s="21"/>
      <c r="K25" s="21"/>
      <c r="N25" s="9"/>
      <c r="O25" s="21"/>
      <c r="P25" s="21"/>
      <c r="Q25" s="21"/>
      <c r="R25" s="21"/>
      <c r="S25" s="21"/>
      <c r="V25" s="22"/>
      <c r="W25" s="23"/>
      <c r="X25" s="9"/>
      <c r="Y25" s="21"/>
      <c r="Z25" s="21"/>
      <c r="AA25" s="21"/>
      <c r="AB25" s="21"/>
      <c r="AC25" s="21"/>
      <c r="AF25" s="9"/>
      <c r="AG25" s="21"/>
      <c r="AH25" s="21"/>
      <c r="AI25" s="21"/>
      <c r="AJ25" s="21"/>
      <c r="AK25" s="21"/>
      <c r="AP25" s="9"/>
      <c r="AQ25" s="21"/>
      <c r="AR25" s="21"/>
      <c r="AS25" s="21"/>
      <c r="AT25" s="21"/>
      <c r="AU25" s="21"/>
      <c r="AX25" s="9"/>
      <c r="AY25" s="21"/>
      <c r="AZ25" s="21"/>
      <c r="BA25" s="21"/>
      <c r="BB25" s="21"/>
      <c r="BC25" s="21"/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/>
      <c r="H26" s="21"/>
      <c r="I26" s="21"/>
      <c r="J26" s="21"/>
      <c r="K26" s="21"/>
      <c r="N26" s="9"/>
      <c r="O26" s="21"/>
      <c r="P26" s="21"/>
      <c r="Q26" s="21"/>
      <c r="R26" s="21"/>
      <c r="S26" s="21"/>
      <c r="V26" s="22"/>
      <c r="W26" s="23"/>
      <c r="X26" s="9"/>
      <c r="Y26" s="21"/>
      <c r="Z26" s="21"/>
      <c r="AA26" s="21"/>
      <c r="AB26" s="21"/>
      <c r="AC26" s="21"/>
      <c r="AF26" s="9"/>
      <c r="AG26" s="21"/>
      <c r="AH26" s="21"/>
      <c r="AI26" s="21"/>
      <c r="AJ26" s="21"/>
      <c r="AK26" s="21"/>
      <c r="AP26" s="9"/>
      <c r="AQ26" s="21"/>
      <c r="AR26" s="21"/>
      <c r="AS26" s="21"/>
      <c r="AT26" s="21"/>
      <c r="AU26" s="21"/>
      <c r="AX26" s="9"/>
      <c r="AY26" s="21"/>
      <c r="AZ26" s="21"/>
      <c r="BA26" s="21"/>
      <c r="BB26" s="21"/>
      <c r="BC26" s="21"/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/>
      <c r="H27" s="21"/>
      <c r="I27" s="21"/>
      <c r="J27" s="21"/>
      <c r="K27" s="21"/>
      <c r="N27" s="9"/>
      <c r="O27" s="21"/>
      <c r="P27" s="21"/>
      <c r="Q27" s="21"/>
      <c r="R27" s="21"/>
      <c r="S27" s="21"/>
      <c r="X27" s="9"/>
      <c r="Y27" s="21"/>
      <c r="Z27" s="21"/>
      <c r="AA27" s="21"/>
      <c r="AB27" s="21"/>
      <c r="AC27" s="21"/>
      <c r="AF27" s="9"/>
      <c r="AG27" s="21"/>
      <c r="AH27" s="21"/>
      <c r="AI27" s="21"/>
      <c r="AJ27" s="21"/>
      <c r="AK27" s="21"/>
      <c r="AP27" s="9"/>
      <c r="AQ27" s="21"/>
      <c r="AR27" s="21"/>
      <c r="AS27" s="21"/>
      <c r="AT27" s="21"/>
      <c r="AU27" s="21"/>
      <c r="AX27" s="9"/>
      <c r="AY27" s="21"/>
      <c r="AZ27" s="21"/>
      <c r="BA27" s="21"/>
      <c r="BB27" s="21"/>
      <c r="BC27" s="21"/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/>
      <c r="H28" s="21"/>
      <c r="I28" s="21"/>
      <c r="J28" s="21"/>
      <c r="K28" s="21"/>
      <c r="N28" s="9"/>
      <c r="O28" s="21"/>
      <c r="P28" s="21"/>
      <c r="Q28" s="21"/>
      <c r="R28" s="21"/>
      <c r="S28" s="21"/>
      <c r="X28" s="9"/>
      <c r="Y28" s="21"/>
      <c r="Z28" s="21"/>
      <c r="AA28" s="21"/>
      <c r="AB28" s="21"/>
      <c r="AC28" s="21"/>
      <c r="AF28" s="9"/>
      <c r="AG28" s="21"/>
      <c r="AH28" s="21"/>
      <c r="AI28" s="21"/>
      <c r="AJ28" s="21"/>
      <c r="AK28" s="21"/>
      <c r="AP28" s="9"/>
      <c r="AQ28" s="21"/>
      <c r="AR28" s="21"/>
      <c r="AS28" s="21"/>
      <c r="AT28" s="21"/>
      <c r="AU28" s="21"/>
      <c r="AX28" s="9"/>
      <c r="AY28" s="21"/>
      <c r="AZ28" s="21"/>
      <c r="BA28" s="21"/>
      <c r="BB28" s="21"/>
      <c r="BC28" s="21"/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/>
      <c r="H29" s="21"/>
      <c r="I29" s="21"/>
      <c r="J29" s="21"/>
      <c r="K29" s="21"/>
      <c r="N29" s="9"/>
      <c r="O29" s="21"/>
      <c r="P29" s="21"/>
      <c r="Q29" s="21"/>
      <c r="R29" s="21"/>
      <c r="S29" s="21"/>
      <c r="X29" s="9"/>
      <c r="Y29" s="21"/>
      <c r="Z29" s="21"/>
      <c r="AA29" s="21"/>
      <c r="AB29" s="21"/>
      <c r="AC29" s="21"/>
      <c r="AF29" s="9"/>
      <c r="AG29" s="21"/>
      <c r="AH29" s="21"/>
      <c r="AI29" s="21"/>
      <c r="AJ29" s="21"/>
      <c r="AK29" s="21"/>
      <c r="AP29" s="9"/>
      <c r="AQ29" s="21"/>
      <c r="AR29" s="21"/>
      <c r="AS29" s="21"/>
      <c r="AT29" s="21"/>
      <c r="AU29" s="21"/>
      <c r="AX29" s="9"/>
      <c r="AY29" s="21"/>
      <c r="AZ29" s="21"/>
      <c r="BA29" s="21"/>
      <c r="BB29" s="21"/>
      <c r="BC29" s="21"/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/>
      <c r="H30" s="21"/>
      <c r="I30" s="21"/>
      <c r="J30" s="21"/>
      <c r="K30" s="21"/>
      <c r="N30" s="9"/>
      <c r="O30" s="21"/>
      <c r="P30" s="21"/>
      <c r="Q30" s="21"/>
      <c r="R30" s="21"/>
      <c r="S30" s="21"/>
      <c r="X30" s="9"/>
      <c r="Y30" s="21"/>
      <c r="Z30" s="21"/>
      <c r="AA30" s="21"/>
      <c r="AB30" s="21"/>
      <c r="AC30" s="21"/>
      <c r="AF30" s="9"/>
      <c r="AG30" s="21"/>
      <c r="AH30" s="21"/>
      <c r="AI30" s="21"/>
      <c r="AJ30" s="21"/>
      <c r="AK30" s="21"/>
      <c r="AP30" s="9"/>
      <c r="AQ30" s="21"/>
      <c r="AR30" s="21"/>
      <c r="AS30" s="21"/>
      <c r="AT30" s="21"/>
      <c r="AU30" s="21"/>
      <c r="AX30" s="9"/>
      <c r="AY30" s="21"/>
      <c r="AZ30" s="21"/>
      <c r="BA30" s="21"/>
      <c r="BB30" s="21"/>
      <c r="BC30" s="21"/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/>
      <c r="H31" s="21"/>
      <c r="I31" s="21"/>
      <c r="J31" s="21"/>
      <c r="K31" s="21"/>
      <c r="N31" s="9"/>
      <c r="O31" s="21"/>
      <c r="P31" s="21"/>
      <c r="Q31" s="21"/>
      <c r="R31" s="21"/>
      <c r="S31" s="21"/>
      <c r="X31" s="9"/>
      <c r="Y31" s="21"/>
      <c r="Z31" s="21"/>
      <c r="AA31" s="21"/>
      <c r="AB31" s="21"/>
      <c r="AC31" s="21"/>
      <c r="AF31" s="9"/>
      <c r="AG31" s="21"/>
      <c r="AH31" s="21"/>
      <c r="AI31" s="21"/>
      <c r="AJ31" s="21"/>
      <c r="AK31" s="21"/>
      <c r="AP31" s="9"/>
      <c r="AQ31" s="21"/>
      <c r="AR31" s="21"/>
      <c r="AS31" s="21"/>
      <c r="AT31" s="21"/>
      <c r="AU31" s="21"/>
      <c r="AX31" s="9"/>
      <c r="AY31" s="21"/>
      <c r="AZ31" s="21"/>
      <c r="BA31" s="21"/>
      <c r="BB31" s="21"/>
      <c r="BC31" s="21"/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/>
      <c r="H32" s="21"/>
      <c r="I32" s="21"/>
      <c r="J32" s="21"/>
      <c r="K32" s="21"/>
      <c r="N32" s="9"/>
      <c r="O32" s="21"/>
      <c r="P32" s="21"/>
      <c r="Q32" s="21"/>
      <c r="R32" s="21"/>
      <c r="S32" s="21"/>
      <c r="X32" s="9"/>
      <c r="Y32" s="21"/>
      <c r="Z32" s="21"/>
      <c r="AA32" s="21"/>
      <c r="AB32" s="21"/>
      <c r="AC32" s="21"/>
      <c r="AF32" s="9"/>
      <c r="AG32" s="21"/>
      <c r="AH32" s="21"/>
      <c r="AI32" s="21"/>
      <c r="AJ32" s="21"/>
      <c r="AK32" s="21"/>
      <c r="AP32" s="9"/>
      <c r="AQ32" s="21"/>
      <c r="AR32" s="21"/>
      <c r="AS32" s="21"/>
      <c r="AT32" s="21"/>
      <c r="AU32" s="21"/>
      <c r="AX32" s="9"/>
      <c r="AY32" s="21"/>
      <c r="AZ32" s="21"/>
      <c r="BA32" s="21"/>
      <c r="BB32" s="21"/>
      <c r="BC32" s="21"/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/>
      <c r="H33" s="21"/>
      <c r="I33" s="21"/>
      <c r="J33" s="21"/>
      <c r="K33" s="21"/>
      <c r="N33" s="9"/>
      <c r="O33" s="21"/>
      <c r="P33" s="21"/>
      <c r="Q33" s="21"/>
      <c r="R33" s="21"/>
      <c r="S33" s="21"/>
      <c r="X33" s="9"/>
      <c r="Y33" s="21"/>
      <c r="Z33" s="21"/>
      <c r="AA33" s="21"/>
      <c r="AB33" s="21"/>
      <c r="AC33" s="21"/>
      <c r="AF33" s="9"/>
      <c r="AG33" s="21"/>
      <c r="AH33" s="21"/>
      <c r="AI33" s="21"/>
      <c r="AJ33" s="21"/>
      <c r="AK33" s="21"/>
      <c r="AP33" s="9"/>
      <c r="AQ33" s="21"/>
      <c r="AR33" s="21"/>
      <c r="AS33" s="21"/>
      <c r="AT33" s="21"/>
      <c r="AU33" s="21"/>
      <c r="AX33" s="9"/>
      <c r="AY33" s="21"/>
      <c r="AZ33" s="21"/>
      <c r="BA33" s="21"/>
      <c r="BB33" s="21"/>
      <c r="BC33" s="21"/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/>
      <c r="H34" s="21"/>
      <c r="I34" s="21"/>
      <c r="J34" s="21"/>
      <c r="K34" s="21"/>
      <c r="N34" s="9"/>
      <c r="O34" s="21"/>
      <c r="P34" s="21"/>
      <c r="Q34" s="21"/>
      <c r="R34" s="21"/>
      <c r="S34" s="21"/>
      <c r="X34" s="9"/>
      <c r="Y34" s="21"/>
      <c r="Z34" s="21"/>
      <c r="AA34" s="21"/>
      <c r="AB34" s="21"/>
      <c r="AC34" s="21"/>
      <c r="AF34" s="9"/>
      <c r="AG34" s="21"/>
      <c r="AH34" s="21"/>
      <c r="AI34" s="21"/>
      <c r="AJ34" s="21"/>
      <c r="AK34" s="21"/>
      <c r="AP34" s="9"/>
      <c r="AQ34" s="21"/>
      <c r="AR34" s="21"/>
      <c r="AS34" s="21"/>
      <c r="AT34" s="21"/>
      <c r="AU34" s="21"/>
      <c r="AX34" s="9"/>
      <c r="AY34" s="21"/>
      <c r="AZ34" s="21"/>
      <c r="BA34" s="21"/>
      <c r="BB34" s="21"/>
      <c r="BC34" s="21"/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/>
      <c r="H35" s="21"/>
      <c r="I35" s="21"/>
      <c r="J35" s="21"/>
      <c r="K35" s="21"/>
      <c r="N35" s="9"/>
      <c r="O35" s="21"/>
      <c r="P35" s="21"/>
      <c r="Q35" s="21"/>
      <c r="R35" s="21"/>
      <c r="S35" s="21"/>
      <c r="X35" s="9"/>
      <c r="Y35" s="21"/>
      <c r="Z35" s="21"/>
      <c r="AA35" s="21"/>
      <c r="AB35" s="21"/>
      <c r="AC35" s="21"/>
      <c r="AF35" s="9"/>
      <c r="AG35" s="21"/>
      <c r="AH35" s="21"/>
      <c r="AI35" s="21"/>
      <c r="AJ35" s="21"/>
      <c r="AK35" s="21"/>
      <c r="AP35" s="9"/>
      <c r="AQ35" s="21"/>
      <c r="AR35" s="21"/>
      <c r="AS35" s="21"/>
      <c r="AT35" s="21"/>
      <c r="AU35" s="21"/>
      <c r="AX35" s="9"/>
      <c r="AY35" s="21"/>
      <c r="AZ35" s="21"/>
      <c r="BA35" s="21"/>
      <c r="BB35" s="21"/>
      <c r="BC35" s="21"/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/>
      <c r="H36" s="21"/>
      <c r="I36" s="21"/>
      <c r="J36" s="21"/>
      <c r="K36" s="21"/>
      <c r="N36" s="9"/>
      <c r="O36" s="21"/>
      <c r="P36" s="21"/>
      <c r="Q36" s="21"/>
      <c r="R36" s="21"/>
      <c r="S36" s="21"/>
      <c r="X36" s="9"/>
      <c r="Y36" s="21"/>
      <c r="Z36" s="21"/>
      <c r="AA36" s="21"/>
      <c r="AB36" s="21"/>
      <c r="AC36" s="21"/>
      <c r="AF36" s="9"/>
      <c r="AG36" s="21"/>
      <c r="AH36" s="21"/>
      <c r="AI36" s="21"/>
      <c r="AJ36" s="21"/>
      <c r="AK36" s="21"/>
      <c r="AP36" s="9"/>
      <c r="AQ36" s="21"/>
      <c r="AR36" s="21"/>
      <c r="AS36" s="21"/>
      <c r="AT36" s="21"/>
      <c r="AU36" s="21"/>
      <c r="AX36" s="9"/>
      <c r="AY36" s="21"/>
      <c r="AZ36" s="21"/>
      <c r="BA36" s="21"/>
      <c r="BB36" s="21"/>
      <c r="BC36" s="21"/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/>
      <c r="H37" s="21"/>
      <c r="I37" s="21"/>
      <c r="J37" s="21"/>
      <c r="K37" s="21"/>
      <c r="N37" s="9"/>
      <c r="O37" s="21"/>
      <c r="P37" s="21"/>
      <c r="Q37" s="21"/>
      <c r="R37" s="21"/>
      <c r="S37" s="21"/>
      <c r="X37" s="9"/>
      <c r="Y37" s="21"/>
      <c r="Z37" s="21"/>
      <c r="AA37" s="21"/>
      <c r="AB37" s="21"/>
      <c r="AC37" s="21"/>
      <c r="AF37" s="9"/>
      <c r="AG37" s="21"/>
      <c r="AH37" s="21"/>
      <c r="AI37" s="21"/>
      <c r="AJ37" s="21"/>
      <c r="AK37" s="21"/>
      <c r="AP37" s="9"/>
      <c r="AQ37" s="21"/>
      <c r="AR37" s="21"/>
      <c r="AS37" s="21"/>
      <c r="AT37" s="21"/>
      <c r="AU37" s="21"/>
      <c r="AX37" s="9"/>
      <c r="AY37" s="21"/>
      <c r="AZ37" s="21"/>
      <c r="BA37" s="21"/>
      <c r="BB37" s="21"/>
      <c r="BC37" s="21"/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/>
      <c r="H38" s="21"/>
      <c r="I38" s="21"/>
      <c r="J38" s="21"/>
      <c r="K38" s="21"/>
      <c r="N38" s="9"/>
      <c r="O38" s="21"/>
      <c r="P38" s="21"/>
      <c r="Q38" s="21"/>
      <c r="R38" s="21"/>
      <c r="S38" s="21"/>
      <c r="X38" s="9"/>
      <c r="Y38" s="21"/>
      <c r="Z38" s="21"/>
      <c r="AA38" s="21"/>
      <c r="AB38" s="21"/>
      <c r="AC38" s="21"/>
      <c r="AF38" s="9"/>
      <c r="AG38" s="21"/>
      <c r="AH38" s="21"/>
      <c r="AI38" s="21"/>
      <c r="AJ38" s="21"/>
      <c r="AK38" s="21"/>
      <c r="AP38" s="9"/>
      <c r="AQ38" s="21"/>
      <c r="AR38" s="21"/>
      <c r="AS38" s="21"/>
      <c r="AT38" s="21"/>
      <c r="AU38" s="21"/>
      <c r="AX38" s="9"/>
      <c r="AY38" s="21"/>
      <c r="AZ38" s="21"/>
      <c r="BA38" s="21"/>
      <c r="BB38" s="21"/>
      <c r="BC38" s="21"/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/>
      <c r="H39" s="21"/>
      <c r="I39" s="21"/>
      <c r="J39" s="21"/>
      <c r="K39" s="21"/>
      <c r="N39" s="9"/>
      <c r="O39" s="21"/>
      <c r="P39" s="21"/>
      <c r="Q39" s="21"/>
      <c r="R39" s="21"/>
      <c r="S39" s="21"/>
      <c r="X39" s="9"/>
      <c r="Y39" s="21"/>
      <c r="Z39" s="21"/>
      <c r="AA39" s="21"/>
      <c r="AB39" s="21"/>
      <c r="AC39" s="21"/>
      <c r="AF39" s="9"/>
      <c r="AG39" s="21"/>
      <c r="AH39" s="21"/>
      <c r="AI39" s="21"/>
      <c r="AJ39" s="21"/>
      <c r="AK39" s="21"/>
      <c r="AP39" s="9"/>
      <c r="AQ39" s="21"/>
      <c r="AR39" s="21"/>
      <c r="AS39" s="21"/>
      <c r="AT39" s="21"/>
      <c r="AU39" s="21"/>
      <c r="AX39" s="9"/>
      <c r="AY39" s="21"/>
      <c r="AZ39" s="21"/>
      <c r="BA39" s="21"/>
      <c r="BB39" s="21"/>
      <c r="BC39" s="21"/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/>
      <c r="H40" s="21"/>
      <c r="I40" s="21"/>
      <c r="J40" s="21"/>
      <c r="K40" s="21"/>
      <c r="N40" s="9"/>
      <c r="O40" s="21"/>
      <c r="P40" s="21"/>
      <c r="Q40" s="21"/>
      <c r="R40" s="21"/>
      <c r="S40" s="21"/>
      <c r="X40" s="9"/>
      <c r="Y40" s="21"/>
      <c r="Z40" s="21"/>
      <c r="AA40" s="21"/>
      <c r="AB40" s="21"/>
      <c r="AC40" s="21"/>
      <c r="AF40" s="9"/>
      <c r="AG40" s="21"/>
      <c r="AH40" s="21"/>
      <c r="AI40" s="21"/>
      <c r="AJ40" s="21"/>
      <c r="AK40" s="21"/>
      <c r="AP40" s="9"/>
      <c r="AQ40" s="21"/>
      <c r="AR40" s="21"/>
      <c r="AS40" s="21"/>
      <c r="AT40" s="21"/>
      <c r="AU40" s="21"/>
      <c r="AX40" s="9"/>
      <c r="AY40" s="21"/>
      <c r="AZ40" s="21"/>
      <c r="BA40" s="21"/>
      <c r="BB40" s="21"/>
      <c r="BC40" s="21"/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/>
      <c r="H41" s="21"/>
      <c r="I41" s="21"/>
      <c r="J41" s="21"/>
      <c r="K41" s="21"/>
      <c r="N41" s="9"/>
      <c r="O41" s="21"/>
      <c r="P41" s="21"/>
      <c r="Q41" s="21"/>
      <c r="R41" s="21"/>
      <c r="S41" s="21"/>
      <c r="X41" s="9"/>
      <c r="Y41" s="21"/>
      <c r="Z41" s="21"/>
      <c r="AA41" s="21"/>
      <c r="AB41" s="21"/>
      <c r="AC41" s="21"/>
      <c r="AF41" s="9"/>
      <c r="AG41" s="21"/>
      <c r="AH41" s="21"/>
      <c r="AI41" s="21"/>
      <c r="AJ41" s="21"/>
      <c r="AK41" s="21"/>
      <c r="AP41" s="9"/>
      <c r="AQ41" s="21"/>
      <c r="AR41" s="21"/>
      <c r="AS41" s="21"/>
      <c r="AT41" s="21"/>
      <c r="AU41" s="21"/>
      <c r="AX41" s="9"/>
      <c r="AY41" s="21"/>
      <c r="AZ41" s="21"/>
      <c r="BA41" s="21"/>
      <c r="BB41" s="21"/>
      <c r="BC41" s="21"/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/>
      <c r="H42" s="21"/>
      <c r="I42" s="21"/>
      <c r="J42" s="21"/>
      <c r="K42" s="21"/>
      <c r="N42" s="9"/>
      <c r="O42" s="21"/>
      <c r="P42" s="21"/>
      <c r="Q42" s="21"/>
      <c r="R42" s="21"/>
      <c r="S42" s="21"/>
      <c r="X42" s="9"/>
      <c r="Y42" s="21"/>
      <c r="Z42" s="21"/>
      <c r="AA42" s="21"/>
      <c r="AB42" s="21"/>
      <c r="AC42" s="21"/>
      <c r="AF42" s="9"/>
      <c r="AG42" s="21"/>
      <c r="AH42" s="21"/>
      <c r="AI42" s="21"/>
      <c r="AJ42" s="21"/>
      <c r="AK42" s="21"/>
      <c r="AP42" s="9"/>
      <c r="AQ42" s="21"/>
      <c r="AR42" s="21"/>
      <c r="AS42" s="21"/>
      <c r="AT42" s="21"/>
      <c r="AU42" s="21"/>
      <c r="AX42" s="9"/>
      <c r="AY42" s="21"/>
      <c r="AZ42" s="21"/>
      <c r="BA42" s="21"/>
      <c r="BB42" s="21"/>
      <c r="BC42" s="21"/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/>
      <c r="H43" s="21"/>
      <c r="I43" s="21"/>
      <c r="J43" s="21"/>
      <c r="K43" s="21"/>
      <c r="N43" s="9"/>
      <c r="O43" s="21"/>
      <c r="P43" s="21"/>
      <c r="Q43" s="21"/>
      <c r="R43" s="21"/>
      <c r="S43" s="21"/>
      <c r="X43" s="9"/>
      <c r="Y43" s="21"/>
      <c r="Z43" s="21"/>
      <c r="AA43" s="21"/>
      <c r="AB43" s="21"/>
      <c r="AC43" s="21"/>
      <c r="AF43" s="9"/>
      <c r="AG43" s="21"/>
      <c r="AH43" s="21"/>
      <c r="AI43" s="21"/>
      <c r="AJ43" s="21"/>
      <c r="AK43" s="21"/>
      <c r="AP43" s="9"/>
      <c r="AQ43" s="21"/>
      <c r="AR43" s="21"/>
      <c r="AS43" s="21"/>
      <c r="AT43" s="21"/>
      <c r="AU43" s="21"/>
      <c r="AX43" s="9"/>
      <c r="AY43" s="21"/>
      <c r="AZ43" s="21"/>
      <c r="BA43" s="21"/>
      <c r="BB43" s="21"/>
      <c r="BC43" s="21"/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/>
      <c r="H44" s="21"/>
      <c r="I44" s="21"/>
      <c r="J44" s="21"/>
      <c r="K44" s="21"/>
      <c r="N44" s="9"/>
      <c r="O44" s="21"/>
      <c r="P44" s="21"/>
      <c r="Q44" s="21"/>
      <c r="R44" s="21"/>
      <c r="S44" s="21"/>
      <c r="X44" s="9"/>
      <c r="Y44" s="21"/>
      <c r="Z44" s="21"/>
      <c r="AA44" s="21"/>
      <c r="AB44" s="21"/>
      <c r="AC44" s="21"/>
      <c r="AF44" s="9"/>
      <c r="AG44" s="21"/>
      <c r="AH44" s="21"/>
      <c r="AI44" s="21"/>
      <c r="AJ44" s="21"/>
      <c r="AK44" s="21"/>
      <c r="AP44" s="9"/>
      <c r="AQ44" s="21"/>
      <c r="AR44" s="21"/>
      <c r="AS44" s="21"/>
      <c r="AT44" s="21"/>
      <c r="AU44" s="21"/>
      <c r="AX44" s="9"/>
      <c r="AY44" s="21"/>
      <c r="AZ44" s="21"/>
      <c r="BA44" s="21"/>
      <c r="BB44" s="21"/>
      <c r="BC44" s="21"/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/>
      <c r="H45" s="21"/>
      <c r="I45" s="21"/>
      <c r="J45" s="21"/>
      <c r="K45" s="21"/>
      <c r="N45" s="9"/>
      <c r="O45" s="21"/>
      <c r="P45" s="21"/>
      <c r="Q45" s="21"/>
      <c r="R45" s="21"/>
      <c r="S45" s="21"/>
      <c r="X45" s="9"/>
      <c r="Y45" s="21"/>
      <c r="Z45" s="21"/>
      <c r="AA45" s="21"/>
      <c r="AB45" s="21"/>
      <c r="AC45" s="21"/>
      <c r="AF45" s="9"/>
      <c r="AG45" s="21"/>
      <c r="AH45" s="21"/>
      <c r="AI45" s="21"/>
      <c r="AJ45" s="21"/>
      <c r="AK45" s="21"/>
      <c r="AP45" s="9"/>
      <c r="AQ45" s="21"/>
      <c r="AR45" s="21"/>
      <c r="AS45" s="21"/>
      <c r="AT45" s="21"/>
      <c r="AU45" s="21"/>
      <c r="AX45" s="9"/>
      <c r="AY45" s="21"/>
      <c r="AZ45" s="21"/>
      <c r="BA45" s="21"/>
      <c r="BB45" s="21"/>
      <c r="BC45" s="21"/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/>
      <c r="H46" s="21"/>
      <c r="I46" s="21"/>
      <c r="J46" s="21"/>
      <c r="K46" s="21"/>
      <c r="N46" s="9"/>
      <c r="O46" s="21"/>
      <c r="P46" s="21"/>
      <c r="Q46" s="21"/>
      <c r="R46" s="21"/>
      <c r="S46" s="21"/>
      <c r="X46" s="9"/>
      <c r="Y46" s="21"/>
      <c r="Z46" s="21"/>
      <c r="AA46" s="21"/>
      <c r="AB46" s="21"/>
      <c r="AC46" s="21"/>
      <c r="AF46" s="9"/>
      <c r="AG46" s="21"/>
      <c r="AH46" s="21"/>
      <c r="AI46" s="21"/>
      <c r="AJ46" s="21"/>
      <c r="AK46" s="21"/>
      <c r="AP46" s="9"/>
      <c r="AQ46" s="21"/>
      <c r="AR46" s="21"/>
      <c r="AS46" s="21"/>
      <c r="AT46" s="21"/>
      <c r="AU46" s="21"/>
      <c r="AX46" s="9"/>
      <c r="AY46" s="21"/>
      <c r="AZ46" s="21"/>
      <c r="BA46" s="21"/>
      <c r="BB46" s="21"/>
      <c r="BC46" s="21"/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/>
      <c r="H47" s="21"/>
      <c r="I47" s="21"/>
      <c r="J47" s="21"/>
      <c r="K47" s="21"/>
      <c r="N47" s="9"/>
      <c r="O47" s="21"/>
      <c r="P47" s="21"/>
      <c r="Q47" s="21"/>
      <c r="R47" s="21"/>
      <c r="S47" s="21"/>
      <c r="X47" s="9"/>
      <c r="Y47" s="21"/>
      <c r="Z47" s="21"/>
      <c r="AA47" s="21"/>
      <c r="AB47" s="21"/>
      <c r="AC47" s="21"/>
      <c r="AF47" s="9"/>
      <c r="AG47" s="21"/>
      <c r="AH47" s="21"/>
      <c r="AI47" s="21"/>
      <c r="AJ47" s="21"/>
      <c r="AK47" s="21"/>
      <c r="AP47" s="9"/>
      <c r="AQ47" s="21"/>
      <c r="AR47" s="21"/>
      <c r="AS47" s="21"/>
      <c r="AT47" s="21"/>
      <c r="AU47" s="21"/>
      <c r="AX47" s="9"/>
      <c r="AY47" s="21"/>
      <c r="AZ47" s="21"/>
      <c r="BA47" s="21"/>
      <c r="BB47" s="21"/>
      <c r="BC47" s="21"/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/>
      <c r="H48" s="21"/>
      <c r="I48" s="21"/>
      <c r="J48" s="21"/>
      <c r="K48" s="21"/>
      <c r="N48" s="9"/>
      <c r="O48" s="21"/>
      <c r="P48" s="21"/>
      <c r="Q48" s="21"/>
      <c r="R48" s="21"/>
      <c r="S48" s="21"/>
      <c r="X48" s="9"/>
      <c r="Y48" s="21"/>
      <c r="Z48" s="21"/>
      <c r="AA48" s="21"/>
      <c r="AB48" s="21"/>
      <c r="AC48" s="21"/>
      <c r="AF48" s="9"/>
      <c r="AG48" s="21"/>
      <c r="AH48" s="21"/>
      <c r="AI48" s="21"/>
      <c r="AJ48" s="21"/>
      <c r="AK48" s="21"/>
      <c r="AP48" s="9"/>
      <c r="AQ48" s="21"/>
      <c r="AR48" s="21"/>
      <c r="AS48" s="21"/>
      <c r="AT48" s="21"/>
      <c r="AU48" s="21"/>
      <c r="AX48" s="9"/>
      <c r="AY48" s="21"/>
      <c r="AZ48" s="21"/>
      <c r="BA48" s="21"/>
      <c r="BB48" s="21"/>
      <c r="BC48" s="21"/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/>
      <c r="H49" s="21"/>
      <c r="I49" s="21"/>
      <c r="J49" s="21"/>
      <c r="K49" s="21"/>
      <c r="N49" s="9"/>
      <c r="O49" s="21"/>
      <c r="P49" s="21"/>
      <c r="Q49" s="21"/>
      <c r="R49" s="21"/>
      <c r="S49" s="21"/>
      <c r="X49" s="9"/>
      <c r="Y49" s="21"/>
      <c r="Z49" s="21"/>
      <c r="AA49" s="21"/>
      <c r="AB49" s="21"/>
      <c r="AC49" s="21"/>
      <c r="AF49" s="9"/>
      <c r="AG49" s="21"/>
      <c r="AH49" s="21"/>
      <c r="AI49" s="21"/>
      <c r="AJ49" s="21"/>
      <c r="AK49" s="21"/>
      <c r="AP49" s="9"/>
      <c r="AQ49" s="21"/>
      <c r="AR49" s="21"/>
      <c r="AS49" s="21"/>
      <c r="AT49" s="21"/>
      <c r="AU49" s="21"/>
      <c r="AX49" s="9"/>
      <c r="AY49" s="21"/>
      <c r="AZ49" s="21"/>
      <c r="BA49" s="21"/>
      <c r="BB49" s="21"/>
      <c r="BC49" s="21"/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/>
      <c r="H50" s="21"/>
      <c r="I50" s="21"/>
      <c r="J50" s="21"/>
      <c r="K50" s="21"/>
      <c r="N50" s="9"/>
      <c r="O50" s="21"/>
      <c r="P50" s="21"/>
      <c r="Q50" s="21"/>
      <c r="R50" s="21"/>
      <c r="S50" s="21"/>
      <c r="X50" s="9"/>
      <c r="Y50" s="21"/>
      <c r="Z50" s="21"/>
      <c r="AA50" s="21"/>
      <c r="AB50" s="21"/>
      <c r="AC50" s="21"/>
      <c r="AF50" s="9"/>
      <c r="AG50" s="21"/>
      <c r="AH50" s="21"/>
      <c r="AI50" s="21"/>
      <c r="AJ50" s="21"/>
      <c r="AK50" s="21"/>
      <c r="AP50" s="9"/>
      <c r="AQ50" s="21"/>
      <c r="AR50" s="21"/>
      <c r="AS50" s="21"/>
      <c r="AT50" s="21"/>
      <c r="AU50" s="21"/>
      <c r="AX50" s="9"/>
      <c r="AY50" s="21"/>
      <c r="AZ50" s="21"/>
      <c r="BA50" s="21"/>
      <c r="BB50" s="21"/>
      <c r="BC50" s="21"/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/>
      <c r="H51" s="21"/>
      <c r="I51" s="21"/>
      <c r="J51" s="21"/>
      <c r="K51" s="21"/>
      <c r="N51" s="9"/>
      <c r="O51" s="21"/>
      <c r="P51" s="21"/>
      <c r="Q51" s="21"/>
      <c r="R51" s="21"/>
      <c r="S51" s="21"/>
      <c r="X51" s="9"/>
      <c r="Y51" s="21"/>
      <c r="Z51" s="21"/>
      <c r="AA51" s="21"/>
      <c r="AB51" s="21"/>
      <c r="AC51" s="21"/>
      <c r="AF51" s="9"/>
      <c r="AG51" s="21"/>
      <c r="AH51" s="21"/>
      <c r="AI51" s="21"/>
      <c r="AJ51" s="21"/>
      <c r="AK51" s="21"/>
      <c r="AP51" s="9"/>
      <c r="AQ51" s="21"/>
      <c r="AR51" s="21"/>
      <c r="AS51" s="21"/>
      <c r="AT51" s="21"/>
      <c r="AU51" s="21"/>
      <c r="AX51" s="9"/>
      <c r="AY51" s="21"/>
      <c r="AZ51" s="21"/>
      <c r="BA51" s="21"/>
      <c r="BB51" s="21"/>
      <c r="BC51" s="21"/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/>
      <c r="H52" s="21"/>
      <c r="I52" s="21"/>
      <c r="J52" s="21"/>
      <c r="K52" s="21"/>
      <c r="N52" s="9"/>
      <c r="O52" s="21"/>
      <c r="P52" s="21"/>
      <c r="Q52" s="21"/>
      <c r="R52" s="21"/>
      <c r="S52" s="21"/>
      <c r="X52" s="9"/>
      <c r="Y52" s="21"/>
      <c r="Z52" s="21"/>
      <c r="AA52" s="21"/>
      <c r="AB52" s="21"/>
      <c r="AC52" s="21"/>
      <c r="AF52" s="9"/>
      <c r="AG52" s="21"/>
      <c r="AH52" s="21"/>
      <c r="AI52" s="21"/>
      <c r="AJ52" s="21"/>
      <c r="AK52" s="21"/>
      <c r="AP52" s="9"/>
      <c r="AQ52" s="21"/>
      <c r="AR52" s="21"/>
      <c r="AS52" s="21"/>
      <c r="AT52" s="21"/>
      <c r="AU52" s="21"/>
      <c r="AX52" s="9"/>
      <c r="AY52" s="21"/>
      <c r="AZ52" s="21"/>
      <c r="BA52" s="21"/>
      <c r="BB52" s="21"/>
      <c r="BC52" s="21"/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/>
      <c r="H53" s="21"/>
      <c r="I53" s="21"/>
      <c r="J53" s="21"/>
      <c r="K53" s="21"/>
      <c r="N53" s="9"/>
      <c r="O53" s="21"/>
      <c r="P53" s="21"/>
      <c r="Q53" s="21"/>
      <c r="R53" s="21"/>
      <c r="S53" s="21"/>
      <c r="X53" s="9"/>
      <c r="Y53" s="21"/>
      <c r="Z53" s="21"/>
      <c r="AA53" s="21"/>
      <c r="AB53" s="21"/>
      <c r="AC53" s="21"/>
      <c r="AF53" s="9"/>
      <c r="AG53" s="21"/>
      <c r="AH53" s="21"/>
      <c r="AI53" s="21"/>
      <c r="AJ53" s="21"/>
      <c r="AK53" s="21"/>
      <c r="AP53" s="9"/>
      <c r="AQ53" s="21"/>
      <c r="AR53" s="21"/>
      <c r="AS53" s="21"/>
      <c r="AT53" s="21"/>
      <c r="AU53" s="21"/>
      <c r="AX53" s="9"/>
      <c r="AY53" s="21"/>
      <c r="AZ53" s="21"/>
      <c r="BA53" s="21"/>
      <c r="BB53" s="21"/>
      <c r="BC53" s="21"/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/>
      <c r="H54" s="21"/>
      <c r="I54" s="21"/>
      <c r="J54" s="21"/>
      <c r="K54" s="21"/>
      <c r="N54" s="9"/>
      <c r="O54" s="21"/>
      <c r="P54" s="21"/>
      <c r="Q54" s="21"/>
      <c r="R54" s="21"/>
      <c r="S54" s="21"/>
      <c r="X54" s="9"/>
      <c r="Y54" s="21"/>
      <c r="Z54" s="21"/>
      <c r="AA54" s="21"/>
      <c r="AB54" s="21"/>
      <c r="AC54" s="21"/>
      <c r="AF54" s="9"/>
      <c r="AG54" s="21"/>
      <c r="AH54" s="21"/>
      <c r="AI54" s="21"/>
      <c r="AJ54" s="21"/>
      <c r="AK54" s="21"/>
      <c r="AP54" s="9"/>
      <c r="AQ54" s="21"/>
      <c r="AR54" s="21"/>
      <c r="AS54" s="21"/>
      <c r="AT54" s="21"/>
      <c r="AU54" s="21"/>
      <c r="AX54" s="9"/>
      <c r="AY54" s="21"/>
      <c r="AZ54" s="21"/>
      <c r="BA54" s="21"/>
      <c r="BB54" s="21"/>
      <c r="BC54" s="21"/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/>
      <c r="H55" s="21"/>
      <c r="I55" s="21"/>
      <c r="J55" s="21"/>
      <c r="K55" s="21"/>
      <c r="N55" s="9"/>
      <c r="O55" s="21"/>
      <c r="P55" s="21"/>
      <c r="Q55" s="21"/>
      <c r="R55" s="21"/>
      <c r="S55" s="21"/>
      <c r="X55" s="9"/>
      <c r="Y55" s="21"/>
      <c r="Z55" s="21"/>
      <c r="AA55" s="21"/>
      <c r="AB55" s="21"/>
      <c r="AC55" s="21"/>
      <c r="AF55" s="9"/>
      <c r="AG55" s="21"/>
      <c r="AH55" s="21"/>
      <c r="AI55" s="21"/>
      <c r="AJ55" s="21"/>
      <c r="AK55" s="21"/>
      <c r="AP55" s="9"/>
      <c r="AQ55" s="21"/>
      <c r="AR55" s="21"/>
      <c r="AS55" s="21"/>
      <c r="AT55" s="21"/>
      <c r="AU55" s="21"/>
      <c r="AX55" s="9"/>
      <c r="AY55" s="21"/>
      <c r="AZ55" s="21"/>
      <c r="BA55" s="21"/>
      <c r="BB55" s="21"/>
      <c r="BC55" s="21"/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/>
      <c r="H56" s="21"/>
      <c r="I56" s="21"/>
      <c r="J56" s="21"/>
      <c r="K56" s="21"/>
      <c r="N56" s="9"/>
      <c r="O56" s="21"/>
      <c r="P56" s="21"/>
      <c r="Q56" s="21"/>
      <c r="R56" s="21"/>
      <c r="S56" s="21"/>
      <c r="X56" s="9"/>
      <c r="Y56" s="21"/>
      <c r="Z56" s="21"/>
      <c r="AA56" s="21"/>
      <c r="AB56" s="21"/>
      <c r="AC56" s="21"/>
      <c r="AF56" s="9"/>
      <c r="AG56" s="21"/>
      <c r="AH56" s="21"/>
      <c r="AI56" s="21"/>
      <c r="AJ56" s="21"/>
      <c r="AK56" s="21"/>
      <c r="AP56" s="9"/>
      <c r="AQ56" s="21"/>
      <c r="AR56" s="21"/>
      <c r="AS56" s="21"/>
      <c r="AT56" s="21"/>
      <c r="AU56" s="21"/>
      <c r="AX56" s="9"/>
      <c r="AY56" s="21"/>
      <c r="AZ56" s="21"/>
      <c r="BA56" s="21"/>
      <c r="BB56" s="21"/>
      <c r="BC56" s="21"/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/>
      <c r="H57" s="21"/>
      <c r="I57" s="21"/>
      <c r="J57" s="21"/>
      <c r="K57" s="21"/>
      <c r="N57" s="9"/>
      <c r="O57" s="21"/>
      <c r="P57" s="21"/>
      <c r="Q57" s="21"/>
      <c r="R57" s="21"/>
      <c r="S57" s="21"/>
      <c r="X57" s="9"/>
      <c r="Y57" s="21"/>
      <c r="Z57" s="21"/>
      <c r="AA57" s="21"/>
      <c r="AB57" s="21"/>
      <c r="AC57" s="21"/>
      <c r="AF57" s="9"/>
      <c r="AG57" s="21"/>
      <c r="AH57" s="21"/>
      <c r="AI57" s="21"/>
      <c r="AJ57" s="21"/>
      <c r="AK57" s="21"/>
      <c r="AP57" s="9"/>
      <c r="AQ57" s="21"/>
      <c r="AR57" s="21"/>
      <c r="AS57" s="21"/>
      <c r="AT57" s="21"/>
      <c r="AU57" s="21"/>
      <c r="AX57" s="9"/>
      <c r="AY57" s="21"/>
      <c r="AZ57" s="21"/>
      <c r="BA57" s="21"/>
      <c r="BB57" s="21"/>
      <c r="BC57" s="21"/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/>
      <c r="H58" s="21"/>
      <c r="I58" s="21"/>
      <c r="J58" s="21"/>
      <c r="K58" s="21"/>
      <c r="N58" s="9"/>
      <c r="O58" s="21"/>
      <c r="P58" s="21"/>
      <c r="Q58" s="21"/>
      <c r="R58" s="21"/>
      <c r="S58" s="21"/>
      <c r="X58" s="9"/>
      <c r="Y58" s="21"/>
      <c r="Z58" s="21"/>
      <c r="AA58" s="21"/>
      <c r="AB58" s="21"/>
      <c r="AC58" s="21"/>
      <c r="AF58" s="9"/>
      <c r="AG58" s="21"/>
      <c r="AH58" s="21"/>
      <c r="AI58" s="21"/>
      <c r="AJ58" s="21"/>
      <c r="AK58" s="21"/>
      <c r="AP58" s="9"/>
      <c r="AQ58" s="21"/>
      <c r="AR58" s="21"/>
      <c r="AS58" s="21"/>
      <c r="AT58" s="21"/>
      <c r="AU58" s="21"/>
      <c r="AX58" s="9"/>
      <c r="AY58" s="21"/>
      <c r="AZ58" s="21"/>
      <c r="BA58" s="21"/>
      <c r="BB58" s="21"/>
      <c r="BC58" s="21"/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/>
      <c r="H59" s="21"/>
      <c r="I59" s="21"/>
      <c r="J59" s="21"/>
      <c r="K59" s="21"/>
      <c r="N59" s="9"/>
      <c r="O59" s="21"/>
      <c r="P59" s="21"/>
      <c r="Q59" s="21"/>
      <c r="R59" s="21"/>
      <c r="S59" s="21"/>
      <c r="X59" s="9"/>
      <c r="Y59" s="21"/>
      <c r="Z59" s="21"/>
      <c r="AA59" s="21"/>
      <c r="AB59" s="21"/>
      <c r="AC59" s="21"/>
      <c r="AF59" s="9"/>
      <c r="AG59" s="21"/>
      <c r="AH59" s="21"/>
      <c r="AI59" s="21"/>
      <c r="AJ59" s="21"/>
      <c r="AK59" s="21"/>
      <c r="AP59" s="9"/>
      <c r="AQ59" s="21"/>
      <c r="AR59" s="21"/>
      <c r="AS59" s="21"/>
      <c r="AT59" s="21"/>
      <c r="AU59" s="21"/>
      <c r="AX59" s="9"/>
      <c r="AY59" s="21"/>
      <c r="AZ59" s="21"/>
      <c r="BA59" s="21"/>
      <c r="BB59" s="21"/>
      <c r="BC59" s="21"/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/>
      <c r="H60" s="21"/>
      <c r="I60" s="21"/>
      <c r="J60" s="21"/>
      <c r="K60" s="21"/>
      <c r="N60" s="9"/>
      <c r="O60" s="21"/>
      <c r="P60" s="21"/>
      <c r="Q60" s="21"/>
      <c r="R60" s="21"/>
      <c r="S60" s="21"/>
      <c r="X60" s="9"/>
      <c r="Y60" s="21"/>
      <c r="Z60" s="21"/>
      <c r="AA60" s="21"/>
      <c r="AB60" s="21"/>
      <c r="AC60" s="21"/>
      <c r="AF60" s="9"/>
      <c r="AG60" s="21"/>
      <c r="AH60" s="21"/>
      <c r="AI60" s="21"/>
      <c r="AJ60" s="21"/>
      <c r="AK60" s="21"/>
      <c r="AP60" s="9"/>
      <c r="AQ60" s="21"/>
      <c r="AR60" s="21"/>
      <c r="AS60" s="21"/>
      <c r="AT60" s="21"/>
      <c r="AU60" s="21"/>
      <c r="AX60" s="9"/>
      <c r="AY60" s="21"/>
      <c r="AZ60" s="21"/>
      <c r="BA60" s="21"/>
      <c r="BB60" s="21"/>
      <c r="BC60" s="21"/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/>
      <c r="H61" s="21"/>
      <c r="I61" s="21"/>
      <c r="J61" s="21"/>
      <c r="K61" s="21"/>
      <c r="N61" s="9"/>
      <c r="O61" s="21"/>
      <c r="P61" s="21"/>
      <c r="Q61" s="21"/>
      <c r="R61" s="21"/>
      <c r="S61" s="21"/>
      <c r="X61" s="9"/>
      <c r="Y61" s="21"/>
      <c r="Z61" s="21"/>
      <c r="AA61" s="21"/>
      <c r="AB61" s="21"/>
      <c r="AC61" s="21"/>
      <c r="AF61" s="9"/>
      <c r="AG61" s="21"/>
      <c r="AH61" s="21"/>
      <c r="AI61" s="21"/>
      <c r="AJ61" s="21"/>
      <c r="AK61" s="21"/>
      <c r="AP61" s="9"/>
      <c r="AQ61" s="21"/>
      <c r="AR61" s="21"/>
      <c r="AS61" s="21"/>
      <c r="AT61" s="21"/>
      <c r="AU61" s="21"/>
      <c r="AX61" s="9"/>
      <c r="AY61" s="21"/>
      <c r="AZ61" s="21"/>
      <c r="BA61" s="21"/>
      <c r="BB61" s="21"/>
      <c r="BC61" s="21"/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/>
      <c r="H62" s="21"/>
      <c r="I62" s="21"/>
      <c r="J62" s="21"/>
      <c r="K62" s="21"/>
      <c r="N62" s="9"/>
      <c r="O62" s="21"/>
      <c r="P62" s="21"/>
      <c r="Q62" s="21"/>
      <c r="R62" s="21"/>
      <c r="S62" s="21"/>
      <c r="X62" s="9"/>
      <c r="Y62" s="21"/>
      <c r="Z62" s="21"/>
      <c r="AA62" s="21"/>
      <c r="AB62" s="21"/>
      <c r="AC62" s="21"/>
      <c r="AF62" s="9"/>
      <c r="AG62" s="21"/>
      <c r="AH62" s="21"/>
      <c r="AI62" s="21"/>
      <c r="AJ62" s="21"/>
      <c r="AK62" s="21"/>
      <c r="AP62" s="9"/>
      <c r="AQ62" s="21"/>
      <c r="AR62" s="21"/>
      <c r="AS62" s="21"/>
      <c r="AT62" s="21"/>
      <c r="AU62" s="21"/>
      <c r="AX62" s="9"/>
      <c r="AY62" s="21"/>
      <c r="AZ62" s="21"/>
      <c r="BA62" s="21"/>
      <c r="BB62" s="21"/>
      <c r="BC62" s="21"/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/>
      <c r="H63" s="21"/>
      <c r="I63" s="21"/>
      <c r="J63" s="21"/>
      <c r="K63" s="21"/>
      <c r="N63" s="9"/>
      <c r="O63" s="21"/>
      <c r="P63" s="21"/>
      <c r="Q63" s="21"/>
      <c r="R63" s="21"/>
      <c r="S63" s="21"/>
      <c r="X63" s="9"/>
      <c r="Y63" s="21"/>
      <c r="Z63" s="21"/>
      <c r="AA63" s="21"/>
      <c r="AB63" s="21"/>
      <c r="AC63" s="21"/>
      <c r="AF63" s="9"/>
      <c r="AG63" s="21"/>
      <c r="AH63" s="21"/>
      <c r="AI63" s="21"/>
      <c r="AJ63" s="21"/>
      <c r="AK63" s="21"/>
      <c r="AP63" s="9"/>
      <c r="AQ63" s="21"/>
      <c r="AR63" s="21"/>
      <c r="AS63" s="21"/>
      <c r="AT63" s="21"/>
      <c r="AU63" s="21"/>
      <c r="AX63" s="9"/>
      <c r="AY63" s="21"/>
      <c r="AZ63" s="21"/>
      <c r="BA63" s="21"/>
      <c r="BB63" s="21"/>
      <c r="BC63" s="21"/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/>
      <c r="H64" s="21"/>
      <c r="I64" s="21"/>
      <c r="J64" s="21"/>
      <c r="K64" s="21"/>
      <c r="N64" s="9"/>
      <c r="O64" s="21"/>
      <c r="P64" s="21"/>
      <c r="Q64" s="21"/>
      <c r="R64" s="21"/>
      <c r="S64" s="21"/>
      <c r="X64" s="9"/>
      <c r="Y64" s="21"/>
      <c r="Z64" s="21"/>
      <c r="AA64" s="21"/>
      <c r="AB64" s="21"/>
      <c r="AC64" s="21"/>
      <c r="AF64" s="9"/>
      <c r="AG64" s="21"/>
      <c r="AH64" s="21"/>
      <c r="AI64" s="21"/>
      <c r="AJ64" s="21"/>
      <c r="AK64" s="21"/>
      <c r="AP64" s="9"/>
      <c r="AQ64" s="21"/>
      <c r="AR64" s="21"/>
      <c r="AS64" s="21"/>
      <c r="AT64" s="21"/>
      <c r="AU64" s="21"/>
      <c r="AX64" s="9"/>
      <c r="AY64" s="21"/>
      <c r="AZ64" s="21"/>
      <c r="BA64" s="21"/>
      <c r="BB64" s="21"/>
      <c r="BC64" s="21"/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/>
      <c r="H65" s="21"/>
      <c r="I65" s="21"/>
      <c r="J65" s="21"/>
      <c r="K65" s="21"/>
      <c r="N65" s="9"/>
      <c r="O65" s="21"/>
      <c r="P65" s="21"/>
      <c r="Q65" s="21"/>
      <c r="R65" s="21"/>
      <c r="S65" s="21"/>
      <c r="X65" s="9"/>
      <c r="Y65" s="21"/>
      <c r="Z65" s="21"/>
      <c r="AA65" s="21"/>
      <c r="AB65" s="21"/>
      <c r="AC65" s="21"/>
      <c r="AF65" s="9"/>
      <c r="AG65" s="21"/>
      <c r="AH65" s="21"/>
      <c r="AI65" s="21"/>
      <c r="AJ65" s="21"/>
      <c r="AK65" s="21"/>
      <c r="AP65" s="9"/>
      <c r="AQ65" s="21"/>
      <c r="AR65" s="21"/>
      <c r="AS65" s="21"/>
      <c r="AT65" s="21"/>
      <c r="AU65" s="21"/>
      <c r="AX65" s="9"/>
      <c r="AY65" s="21"/>
      <c r="AZ65" s="21"/>
      <c r="BA65" s="21"/>
      <c r="BB65" s="21"/>
      <c r="BC65" s="21"/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/>
      <c r="H66" s="21"/>
      <c r="I66" s="21"/>
      <c r="J66" s="21"/>
      <c r="K66" s="21"/>
      <c r="N66" s="9"/>
      <c r="O66" s="21"/>
      <c r="P66" s="21"/>
      <c r="Q66" s="21"/>
      <c r="R66" s="21"/>
      <c r="S66" s="21"/>
      <c r="X66" s="9"/>
      <c r="Y66" s="21"/>
      <c r="Z66" s="21"/>
      <c r="AA66" s="21"/>
      <c r="AB66" s="21"/>
      <c r="AC66" s="21"/>
      <c r="AF66" s="9"/>
      <c r="AG66" s="21"/>
      <c r="AH66" s="21"/>
      <c r="AI66" s="21"/>
      <c r="AJ66" s="21"/>
      <c r="AK66" s="21"/>
      <c r="AP66" s="9"/>
      <c r="AQ66" s="21"/>
      <c r="AR66" s="21"/>
      <c r="AS66" s="21"/>
      <c r="AT66" s="21"/>
      <c r="AU66" s="21"/>
      <c r="AX66" s="9"/>
      <c r="AY66" s="21"/>
      <c r="AZ66" s="21"/>
      <c r="BA66" s="21"/>
      <c r="BB66" s="21"/>
      <c r="BC66" s="21"/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/>
      <c r="H67" s="21"/>
      <c r="I67" s="21"/>
      <c r="J67" s="21"/>
      <c r="K67" s="21"/>
      <c r="N67" s="9"/>
      <c r="O67" s="21"/>
      <c r="P67" s="21"/>
      <c r="Q67" s="21"/>
      <c r="R67" s="21"/>
      <c r="S67" s="21"/>
      <c r="X67" s="9"/>
      <c r="Y67" s="21"/>
      <c r="Z67" s="21"/>
      <c r="AA67" s="21"/>
      <c r="AB67" s="21"/>
      <c r="AC67" s="21"/>
      <c r="AF67" s="9"/>
      <c r="AG67" s="21"/>
      <c r="AH67" s="21"/>
      <c r="AI67" s="21"/>
      <c r="AJ67" s="21"/>
      <c r="AK67" s="21"/>
      <c r="AP67" s="9"/>
      <c r="AQ67" s="21"/>
      <c r="AR67" s="21"/>
      <c r="AS67" s="21"/>
      <c r="AT67" s="21"/>
      <c r="AU67" s="21"/>
      <c r="AX67" s="9"/>
      <c r="AY67" s="21"/>
      <c r="AZ67" s="21"/>
      <c r="BA67" s="21"/>
      <c r="BB67" s="21"/>
      <c r="BC67" s="21"/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/>
      <c r="H68" s="21"/>
      <c r="I68" s="21"/>
      <c r="J68" s="21"/>
      <c r="K68" s="21"/>
      <c r="N68" s="9"/>
      <c r="O68" s="21"/>
      <c r="P68" s="21"/>
      <c r="Q68" s="21"/>
      <c r="R68" s="21"/>
      <c r="S68" s="21"/>
      <c r="X68" s="9"/>
      <c r="Y68" s="21"/>
      <c r="Z68" s="21"/>
      <c r="AA68" s="21"/>
      <c r="AB68" s="21"/>
      <c r="AC68" s="21"/>
      <c r="AF68" s="9"/>
      <c r="AG68" s="21"/>
      <c r="AH68" s="21"/>
      <c r="AI68" s="21"/>
      <c r="AJ68" s="21"/>
      <c r="AK68" s="21"/>
      <c r="AP68" s="9"/>
      <c r="AQ68" s="21"/>
      <c r="AR68" s="21"/>
      <c r="AS68" s="21"/>
      <c r="AT68" s="21"/>
      <c r="AU68" s="21"/>
      <c r="AX68" s="9"/>
      <c r="AY68" s="21"/>
      <c r="AZ68" s="21"/>
      <c r="BA68" s="21"/>
      <c r="BB68" s="21"/>
      <c r="BC68" s="21"/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/>
      <c r="H69" s="21"/>
      <c r="I69" s="21"/>
      <c r="J69" s="21"/>
      <c r="K69" s="21"/>
      <c r="N69" s="9"/>
      <c r="O69" s="21"/>
      <c r="P69" s="21"/>
      <c r="Q69" s="21"/>
      <c r="R69" s="21"/>
      <c r="S69" s="21"/>
      <c r="X69" s="9"/>
      <c r="Y69" s="21"/>
      <c r="Z69" s="21"/>
      <c r="AA69" s="21"/>
      <c r="AB69" s="21"/>
      <c r="AC69" s="21"/>
      <c r="AF69" s="9"/>
      <c r="AG69" s="21"/>
      <c r="AH69" s="21"/>
      <c r="AI69" s="21"/>
      <c r="AJ69" s="21"/>
      <c r="AK69" s="21"/>
      <c r="AP69" s="9"/>
      <c r="AQ69" s="21"/>
      <c r="AR69" s="21"/>
      <c r="AS69" s="21"/>
      <c r="AT69" s="21"/>
      <c r="AU69" s="21"/>
      <c r="AX69" s="9"/>
      <c r="AY69" s="21"/>
      <c r="AZ69" s="21"/>
      <c r="BA69" s="21"/>
      <c r="BB69" s="21"/>
      <c r="BC69" s="21"/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/>
      <c r="H70" s="21"/>
      <c r="I70" s="21"/>
      <c r="J70" s="21"/>
      <c r="K70" s="21"/>
      <c r="N70" s="9"/>
      <c r="O70" s="21"/>
      <c r="P70" s="21"/>
      <c r="Q70" s="21"/>
      <c r="R70" s="21"/>
      <c r="S70" s="21"/>
      <c r="X70" s="9"/>
      <c r="Y70" s="21"/>
      <c r="Z70" s="21"/>
      <c r="AA70" s="21"/>
      <c r="AB70" s="21"/>
      <c r="AC70" s="21"/>
      <c r="AF70" s="9"/>
      <c r="AG70" s="21"/>
      <c r="AH70" s="21"/>
      <c r="AI70" s="21"/>
      <c r="AJ70" s="21"/>
      <c r="AK70" s="21"/>
      <c r="AP70" s="9"/>
      <c r="AQ70" s="21"/>
      <c r="AR70" s="21"/>
      <c r="AS70" s="21"/>
      <c r="AT70" s="21"/>
      <c r="AU70" s="21"/>
      <c r="AX70" s="9"/>
      <c r="AY70" s="21"/>
      <c r="AZ70" s="21"/>
      <c r="BA70" s="21"/>
      <c r="BB70" s="21"/>
      <c r="BC70" s="21"/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/>
      <c r="H71" s="21"/>
      <c r="I71" s="21"/>
      <c r="J71" s="21"/>
      <c r="K71" s="21"/>
      <c r="N71" s="9"/>
      <c r="O71" s="21"/>
      <c r="P71" s="21"/>
      <c r="Q71" s="21"/>
      <c r="R71" s="21"/>
      <c r="S71" s="21"/>
      <c r="X71" s="9"/>
      <c r="Y71" s="21"/>
      <c r="Z71" s="21"/>
      <c r="AA71" s="21"/>
      <c r="AB71" s="21"/>
      <c r="AC71" s="21"/>
      <c r="AF71" s="9"/>
      <c r="AG71" s="21"/>
      <c r="AH71" s="21"/>
      <c r="AI71" s="21"/>
      <c r="AJ71" s="21"/>
      <c r="AK71" s="21"/>
      <c r="AP71" s="9"/>
      <c r="AQ71" s="21"/>
      <c r="AR71" s="21"/>
      <c r="AS71" s="21"/>
      <c r="AT71" s="21"/>
      <c r="AU71" s="21"/>
      <c r="AX71" s="9"/>
      <c r="AY71" s="21"/>
      <c r="AZ71" s="21"/>
      <c r="BA71" s="21"/>
      <c r="BB71" s="21"/>
      <c r="BC71" s="21"/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/>
      <c r="H72" s="21"/>
      <c r="I72" s="21"/>
      <c r="J72" s="21"/>
      <c r="K72" s="21"/>
      <c r="N72" s="9"/>
      <c r="O72" s="21"/>
      <c r="P72" s="21"/>
      <c r="Q72" s="21"/>
      <c r="R72" s="21"/>
      <c r="S72" s="21"/>
      <c r="X72" s="9"/>
      <c r="Y72" s="21"/>
      <c r="Z72" s="21"/>
      <c r="AA72" s="21"/>
      <c r="AB72" s="21"/>
      <c r="AC72" s="21"/>
      <c r="AF72" s="9"/>
      <c r="AG72" s="21"/>
      <c r="AH72" s="21"/>
      <c r="AI72" s="21"/>
      <c r="AJ72" s="21"/>
      <c r="AK72" s="21"/>
      <c r="AP72" s="9"/>
      <c r="AQ72" s="21"/>
      <c r="AR72" s="21"/>
      <c r="AS72" s="21"/>
      <c r="AT72" s="21"/>
      <c r="AU72" s="21"/>
      <c r="AX72" s="9"/>
      <c r="AY72" s="21"/>
      <c r="AZ72" s="21"/>
      <c r="BA72" s="21"/>
      <c r="BB72" s="21"/>
      <c r="BC72" s="21"/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/>
      <c r="H73" s="21"/>
      <c r="I73" s="21"/>
      <c r="J73" s="21"/>
      <c r="K73" s="21"/>
      <c r="N73" s="9"/>
      <c r="O73" s="21"/>
      <c r="P73" s="21"/>
      <c r="Q73" s="21"/>
      <c r="R73" s="21"/>
      <c r="S73" s="21"/>
      <c r="X73" s="9"/>
      <c r="Y73" s="21"/>
      <c r="Z73" s="21"/>
      <c r="AA73" s="21"/>
      <c r="AB73" s="21"/>
      <c r="AC73" s="21"/>
      <c r="AF73" s="9"/>
      <c r="AG73" s="21"/>
      <c r="AH73" s="21"/>
      <c r="AI73" s="21"/>
      <c r="AJ73" s="21"/>
      <c r="AK73" s="21"/>
      <c r="AP73" s="9"/>
      <c r="AQ73" s="21"/>
      <c r="AR73" s="21"/>
      <c r="AS73" s="21"/>
      <c r="AT73" s="21"/>
      <c r="AU73" s="21"/>
      <c r="AX73" s="9"/>
      <c r="AY73" s="21"/>
      <c r="AZ73" s="21"/>
      <c r="BA73" s="21"/>
      <c r="BB73" s="21"/>
      <c r="BC73" s="21"/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/>
      <c r="H74" s="21"/>
      <c r="I74" s="21"/>
      <c r="J74" s="21"/>
      <c r="K74" s="21"/>
      <c r="N74" s="9"/>
      <c r="O74" s="21"/>
      <c r="P74" s="21"/>
      <c r="Q74" s="21"/>
      <c r="R74" s="21"/>
      <c r="S74" s="21"/>
      <c r="X74" s="9"/>
      <c r="Y74" s="21"/>
      <c r="Z74" s="21"/>
      <c r="AA74" s="21"/>
      <c r="AB74" s="21"/>
      <c r="AC74" s="21"/>
      <c r="AF74" s="9"/>
      <c r="AG74" s="21"/>
      <c r="AH74" s="21"/>
      <c r="AI74" s="21"/>
      <c r="AJ74" s="21"/>
      <c r="AK74" s="21"/>
      <c r="AP74" s="9"/>
      <c r="AQ74" s="21"/>
      <c r="AR74" s="21"/>
      <c r="AS74" s="21"/>
      <c r="AT74" s="21"/>
      <c r="AU74" s="21"/>
      <c r="AX74" s="9"/>
      <c r="AY74" s="21"/>
      <c r="AZ74" s="21"/>
      <c r="BA74" s="21"/>
      <c r="BB74" s="21"/>
      <c r="BC74" s="21"/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/>
      <c r="H75" s="21"/>
      <c r="I75" s="21"/>
      <c r="J75" s="21"/>
      <c r="K75" s="21"/>
      <c r="N75" s="9"/>
      <c r="O75" s="21"/>
      <c r="P75" s="21"/>
      <c r="Q75" s="21"/>
      <c r="R75" s="21"/>
      <c r="S75" s="21"/>
      <c r="X75" s="9"/>
      <c r="Y75" s="21"/>
      <c r="Z75" s="21"/>
      <c r="AA75" s="21"/>
      <c r="AB75" s="21"/>
      <c r="AC75" s="21"/>
      <c r="AF75" s="9"/>
      <c r="AG75" s="21"/>
      <c r="AH75" s="21"/>
      <c r="AI75" s="21"/>
      <c r="AJ75" s="21"/>
      <c r="AK75" s="21"/>
      <c r="AP75" s="9"/>
      <c r="AQ75" s="21"/>
      <c r="AR75" s="21"/>
      <c r="AS75" s="21"/>
      <c r="AT75" s="21"/>
      <c r="AU75" s="21"/>
      <c r="AX75" s="9"/>
      <c r="AY75" s="21"/>
      <c r="AZ75" s="21"/>
      <c r="BA75" s="21"/>
      <c r="BB75" s="21"/>
      <c r="BC75" s="21"/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/>
      <c r="H76" s="21"/>
      <c r="I76" s="21"/>
      <c r="J76" s="21"/>
      <c r="K76" s="21"/>
      <c r="N76" s="9"/>
      <c r="O76" s="21"/>
      <c r="P76" s="21"/>
      <c r="Q76" s="21"/>
      <c r="R76" s="21"/>
      <c r="S76" s="21"/>
      <c r="X76" s="9"/>
      <c r="Y76" s="21"/>
      <c r="Z76" s="21"/>
      <c r="AA76" s="21"/>
      <c r="AB76" s="21"/>
      <c r="AC76" s="21"/>
      <c r="AF76" s="9"/>
      <c r="AG76" s="21"/>
      <c r="AH76" s="21"/>
      <c r="AI76" s="21"/>
      <c r="AJ76" s="21"/>
      <c r="AK76" s="21"/>
      <c r="AP76" s="9"/>
      <c r="AQ76" s="21"/>
      <c r="AR76" s="21"/>
      <c r="AS76" s="21"/>
      <c r="AT76" s="21"/>
      <c r="AU76" s="21"/>
      <c r="AX76" s="9"/>
      <c r="AY76" s="21"/>
      <c r="AZ76" s="21"/>
      <c r="BA76" s="21"/>
      <c r="BB76" s="21"/>
      <c r="BC76" s="21"/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/>
      <c r="H77" s="21"/>
      <c r="I77" s="21"/>
      <c r="J77" s="21"/>
      <c r="K77" s="21"/>
      <c r="N77" s="9"/>
      <c r="O77" s="21"/>
      <c r="P77" s="21"/>
      <c r="Q77" s="21"/>
      <c r="R77" s="21"/>
      <c r="S77" s="21"/>
      <c r="X77" s="9"/>
      <c r="Y77" s="21"/>
      <c r="Z77" s="21"/>
      <c r="AA77" s="21"/>
      <c r="AB77" s="21"/>
      <c r="AC77" s="21"/>
      <c r="AF77" s="9"/>
      <c r="AG77" s="21"/>
      <c r="AH77" s="21"/>
      <c r="AI77" s="21"/>
      <c r="AJ77" s="21"/>
      <c r="AK77" s="21"/>
      <c r="AP77" s="9"/>
      <c r="AQ77" s="21"/>
      <c r="AR77" s="21"/>
      <c r="AS77" s="21"/>
      <c r="AT77" s="21"/>
      <c r="AU77" s="21"/>
      <c r="AX77" s="9"/>
      <c r="AY77" s="21"/>
      <c r="AZ77" s="21"/>
      <c r="BA77" s="21"/>
      <c r="BB77" s="21"/>
      <c r="BC77" s="21"/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/>
      <c r="H78" s="21"/>
      <c r="I78" s="21"/>
      <c r="J78" s="21"/>
      <c r="K78" s="21"/>
      <c r="N78" s="9"/>
      <c r="O78" s="21"/>
      <c r="P78" s="21"/>
      <c r="Q78" s="21"/>
      <c r="R78" s="21"/>
      <c r="S78" s="21"/>
      <c r="X78" s="9"/>
      <c r="Y78" s="21"/>
      <c r="Z78" s="21"/>
      <c r="AA78" s="21"/>
      <c r="AB78" s="21"/>
      <c r="AC78" s="21"/>
      <c r="AF78" s="9"/>
      <c r="AG78" s="21"/>
      <c r="AH78" s="21"/>
      <c r="AI78" s="21"/>
      <c r="AJ78" s="21"/>
      <c r="AK78" s="21"/>
      <c r="AP78" s="9"/>
      <c r="AQ78" s="21"/>
      <c r="AR78" s="21"/>
      <c r="AS78" s="21"/>
      <c r="AT78" s="21"/>
      <c r="AU78" s="21"/>
      <c r="AX78" s="9"/>
      <c r="AY78" s="21"/>
      <c r="AZ78" s="21"/>
      <c r="BA78" s="21"/>
      <c r="BB78" s="21"/>
      <c r="BC78" s="21"/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/>
      <c r="H79" s="21"/>
      <c r="I79" s="21"/>
      <c r="J79" s="21"/>
      <c r="K79" s="21"/>
      <c r="N79" s="9"/>
      <c r="O79" s="21"/>
      <c r="P79" s="21"/>
      <c r="Q79" s="21"/>
      <c r="R79" s="21"/>
      <c r="S79" s="21"/>
      <c r="X79" s="9"/>
      <c r="Y79" s="21"/>
      <c r="Z79" s="21"/>
      <c r="AA79" s="21"/>
      <c r="AB79" s="21"/>
      <c r="AC79" s="21"/>
      <c r="AF79" s="9"/>
      <c r="AG79" s="21"/>
      <c r="AH79" s="21"/>
      <c r="AI79" s="21"/>
      <c r="AJ79" s="21"/>
      <c r="AK79" s="21"/>
      <c r="AP79" s="9"/>
      <c r="AQ79" s="21"/>
      <c r="AR79" s="21"/>
      <c r="AS79" s="21"/>
      <c r="AT79" s="21"/>
      <c r="AU79" s="21"/>
      <c r="AX79" s="9"/>
      <c r="AY79" s="21"/>
      <c r="AZ79" s="21"/>
      <c r="BA79" s="21"/>
      <c r="BB79" s="21"/>
      <c r="BC79" s="21"/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/>
      <c r="H80" s="21"/>
      <c r="I80" s="21"/>
      <c r="J80" s="21"/>
      <c r="K80" s="21"/>
      <c r="N80" s="9"/>
      <c r="O80" s="21"/>
      <c r="P80" s="21"/>
      <c r="Q80" s="21"/>
      <c r="R80" s="21"/>
      <c r="S80" s="21"/>
      <c r="X80" s="9"/>
      <c r="Y80" s="21"/>
      <c r="Z80" s="21"/>
      <c r="AA80" s="21"/>
      <c r="AB80" s="21"/>
      <c r="AC80" s="21"/>
      <c r="AF80" s="9"/>
      <c r="AG80" s="21"/>
      <c r="AH80" s="21"/>
      <c r="AI80" s="21"/>
      <c r="AJ80" s="21"/>
      <c r="AK80" s="21"/>
      <c r="AP80" s="9"/>
      <c r="AQ80" s="21"/>
      <c r="AR80" s="21"/>
      <c r="AS80" s="21"/>
      <c r="AT80" s="21"/>
      <c r="AU80" s="21"/>
      <c r="AX80" s="9"/>
      <c r="AY80" s="21"/>
      <c r="AZ80" s="21"/>
      <c r="BA80" s="21"/>
      <c r="BB80" s="21"/>
      <c r="BC80" s="21"/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/>
      <c r="H81" s="21"/>
      <c r="I81" s="21"/>
      <c r="J81" s="21"/>
      <c r="K81" s="21"/>
      <c r="N81" s="9"/>
      <c r="O81" s="21"/>
      <c r="P81" s="21"/>
      <c r="Q81" s="21"/>
      <c r="R81" s="21"/>
      <c r="S81" s="21"/>
      <c r="X81" s="9"/>
      <c r="Y81" s="21"/>
      <c r="Z81" s="21"/>
      <c r="AA81" s="21"/>
      <c r="AB81" s="21"/>
      <c r="AC81" s="21"/>
      <c r="AF81" s="9"/>
      <c r="AG81" s="21"/>
      <c r="AH81" s="21"/>
      <c r="AI81" s="21"/>
      <c r="AJ81" s="21"/>
      <c r="AK81" s="21"/>
      <c r="AP81" s="9"/>
      <c r="AQ81" s="21"/>
      <c r="AR81" s="21"/>
      <c r="AS81" s="21"/>
      <c r="AT81" s="21"/>
      <c r="AU81" s="21"/>
      <c r="AX81" s="9"/>
      <c r="AY81" s="21"/>
      <c r="AZ81" s="21"/>
      <c r="BA81" s="21"/>
      <c r="BB81" s="21"/>
      <c r="BC81" s="21"/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/>
      <c r="H82" s="21"/>
      <c r="I82" s="21"/>
      <c r="J82" s="21"/>
      <c r="K82" s="21"/>
      <c r="N82" s="9"/>
      <c r="O82" s="21"/>
      <c r="P82" s="21"/>
      <c r="Q82" s="21"/>
      <c r="R82" s="21"/>
      <c r="S82" s="21"/>
      <c r="X82" s="9"/>
      <c r="Y82" s="21"/>
      <c r="Z82" s="21"/>
      <c r="AA82" s="21"/>
      <c r="AB82" s="21"/>
      <c r="AC82" s="21"/>
      <c r="AF82" s="9"/>
      <c r="AG82" s="21"/>
      <c r="AH82" s="21"/>
      <c r="AI82" s="21"/>
      <c r="AJ82" s="21"/>
      <c r="AK82" s="21"/>
      <c r="AP82" s="9"/>
      <c r="AQ82" s="21"/>
      <c r="AR82" s="21"/>
      <c r="AS82" s="21"/>
      <c r="AT82" s="21"/>
      <c r="AU82" s="21"/>
      <c r="AX82" s="9"/>
      <c r="AY82" s="21"/>
      <c r="AZ82" s="21"/>
      <c r="BA82" s="21"/>
      <c r="BB82" s="21"/>
      <c r="BC82" s="21"/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/>
      <c r="H83" s="21"/>
      <c r="I83" s="21"/>
      <c r="J83" s="21"/>
      <c r="K83" s="21"/>
      <c r="N83" s="9"/>
      <c r="O83" s="21"/>
      <c r="P83" s="21"/>
      <c r="Q83" s="21"/>
      <c r="R83" s="21"/>
      <c r="S83" s="21"/>
      <c r="X83" s="9"/>
      <c r="Y83" s="21"/>
      <c r="Z83" s="21"/>
      <c r="AA83" s="21"/>
      <c r="AB83" s="21"/>
      <c r="AC83" s="21"/>
      <c r="AF83" s="9"/>
      <c r="AG83" s="21"/>
      <c r="AH83" s="21"/>
      <c r="AI83" s="21"/>
      <c r="AJ83" s="21"/>
      <c r="AK83" s="21"/>
      <c r="AP83" s="9"/>
      <c r="AQ83" s="21"/>
      <c r="AR83" s="21"/>
      <c r="AS83" s="21"/>
      <c r="AT83" s="21"/>
      <c r="AU83" s="21"/>
      <c r="AX83" s="9"/>
      <c r="AY83" s="21"/>
      <c r="AZ83" s="21"/>
      <c r="BA83" s="21"/>
      <c r="BB83" s="21"/>
      <c r="BC83" s="21"/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/>
      <c r="H84" s="21"/>
      <c r="I84" s="21"/>
      <c r="J84" s="21"/>
      <c r="K84" s="21"/>
      <c r="N84" s="9"/>
      <c r="O84" s="21"/>
      <c r="P84" s="21"/>
      <c r="Q84" s="21"/>
      <c r="R84" s="21"/>
      <c r="S84" s="21"/>
      <c r="X84" s="9"/>
      <c r="Y84" s="21"/>
      <c r="Z84" s="21"/>
      <c r="AA84" s="21"/>
      <c r="AB84" s="21"/>
      <c r="AC84" s="21"/>
      <c r="AF84" s="9"/>
      <c r="AG84" s="21"/>
      <c r="AH84" s="21"/>
      <c r="AI84" s="21"/>
      <c r="AJ84" s="21"/>
      <c r="AK84" s="21"/>
      <c r="AP84" s="9"/>
      <c r="AQ84" s="21"/>
      <c r="AR84" s="21"/>
      <c r="AS84" s="21"/>
      <c r="AT84" s="21"/>
      <c r="AU84" s="21"/>
      <c r="AX84" s="9"/>
      <c r="AY84" s="21"/>
      <c r="AZ84" s="21"/>
      <c r="BA84" s="21"/>
      <c r="BB84" s="21"/>
      <c r="BC84" s="21"/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/>
      <c r="H85" s="21"/>
      <c r="I85" s="21"/>
      <c r="J85" s="21"/>
      <c r="K85" s="21"/>
      <c r="N85" s="9"/>
      <c r="O85" s="21"/>
      <c r="P85" s="21"/>
      <c r="Q85" s="21"/>
      <c r="R85" s="21"/>
      <c r="S85" s="21"/>
      <c r="X85" s="9"/>
      <c r="Y85" s="21"/>
      <c r="Z85" s="21"/>
      <c r="AA85" s="21"/>
      <c r="AB85" s="21"/>
      <c r="AC85" s="21"/>
      <c r="AF85" s="9"/>
      <c r="AG85" s="21"/>
      <c r="AH85" s="21"/>
      <c r="AI85" s="21"/>
      <c r="AJ85" s="21"/>
      <c r="AK85" s="21"/>
      <c r="AP85" s="9"/>
      <c r="AQ85" s="21"/>
      <c r="AR85" s="21"/>
      <c r="AS85" s="21"/>
      <c r="AT85" s="21"/>
      <c r="AU85" s="21"/>
      <c r="AX85" s="9"/>
      <c r="AY85" s="21"/>
      <c r="AZ85" s="21"/>
      <c r="BA85" s="21"/>
      <c r="BB85" s="21"/>
      <c r="BC85" s="21"/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/>
      <c r="H86" s="21"/>
      <c r="I86" s="21"/>
      <c r="J86" s="21"/>
      <c r="K86" s="21"/>
      <c r="N86" s="9"/>
      <c r="O86" s="21"/>
      <c r="P86" s="21"/>
      <c r="Q86" s="21"/>
      <c r="R86" s="21"/>
      <c r="S86" s="21"/>
      <c r="X86" s="9"/>
      <c r="Y86" s="21"/>
      <c r="Z86" s="21"/>
      <c r="AA86" s="21"/>
      <c r="AB86" s="21"/>
      <c r="AC86" s="21"/>
      <c r="AF86" s="9"/>
      <c r="AG86" s="21"/>
      <c r="AH86" s="21"/>
      <c r="AI86" s="21"/>
      <c r="AJ86" s="21"/>
      <c r="AK86" s="21"/>
      <c r="AP86" s="9"/>
      <c r="AQ86" s="21"/>
      <c r="AR86" s="21"/>
      <c r="AS86" s="21"/>
      <c r="AT86" s="21"/>
      <c r="AU86" s="21"/>
      <c r="AX86" s="9"/>
      <c r="AY86" s="21"/>
      <c r="AZ86" s="21"/>
      <c r="BA86" s="21"/>
      <c r="BB86" s="21"/>
      <c r="BC86" s="21"/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/>
      <c r="H87" s="21"/>
      <c r="I87" s="21"/>
      <c r="J87" s="21"/>
      <c r="K87" s="21"/>
      <c r="N87" s="9"/>
      <c r="O87" s="21"/>
      <c r="P87" s="21"/>
      <c r="Q87" s="21"/>
      <c r="R87" s="21"/>
      <c r="S87" s="21"/>
      <c r="X87" s="9"/>
      <c r="Y87" s="21"/>
      <c r="Z87" s="21"/>
      <c r="AA87" s="21"/>
      <c r="AB87" s="21"/>
      <c r="AC87" s="21"/>
      <c r="AF87" s="9"/>
      <c r="AG87" s="21"/>
      <c r="AH87" s="21"/>
      <c r="AI87" s="21"/>
      <c r="AJ87" s="21"/>
      <c r="AK87" s="21"/>
      <c r="AP87" s="9"/>
      <c r="AQ87" s="21"/>
      <c r="AR87" s="21"/>
      <c r="AS87" s="21"/>
      <c r="AT87" s="21"/>
      <c r="AU87" s="21"/>
      <c r="AX87" s="9"/>
      <c r="AY87" s="21"/>
      <c r="AZ87" s="21"/>
      <c r="BA87" s="21"/>
      <c r="BB87" s="21"/>
      <c r="BC87" s="21"/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/>
      <c r="H88" s="21"/>
      <c r="I88" s="21"/>
      <c r="J88" s="21"/>
      <c r="K88" s="21"/>
      <c r="N88" s="9"/>
      <c r="O88" s="21"/>
      <c r="P88" s="21"/>
      <c r="Q88" s="21"/>
      <c r="R88" s="21"/>
      <c r="S88" s="21"/>
      <c r="X88" s="9"/>
      <c r="Y88" s="21"/>
      <c r="Z88" s="21"/>
      <c r="AA88" s="21"/>
      <c r="AB88" s="21"/>
      <c r="AC88" s="21"/>
      <c r="AF88" s="9"/>
      <c r="AG88" s="21"/>
      <c r="AH88" s="21"/>
      <c r="AI88" s="21"/>
      <c r="AJ88" s="21"/>
      <c r="AK88" s="21"/>
      <c r="AP88" s="9"/>
      <c r="AQ88" s="21"/>
      <c r="AR88" s="21"/>
      <c r="AS88" s="21"/>
      <c r="AT88" s="21"/>
      <c r="AU88" s="21"/>
      <c r="AX88" s="9"/>
      <c r="AY88" s="21"/>
      <c r="AZ88" s="21"/>
      <c r="BA88" s="21"/>
      <c r="BB88" s="21"/>
      <c r="BC88" s="21"/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/>
      <c r="H89" s="21"/>
      <c r="I89" s="21"/>
      <c r="J89" s="21"/>
      <c r="K89" s="21"/>
      <c r="N89" s="9"/>
      <c r="O89" s="21"/>
      <c r="P89" s="21"/>
      <c r="Q89" s="21"/>
      <c r="R89" s="21"/>
      <c r="S89" s="21"/>
      <c r="X89" s="9"/>
      <c r="Y89" s="21"/>
      <c r="Z89" s="21"/>
      <c r="AA89" s="21"/>
      <c r="AB89" s="21"/>
      <c r="AC89" s="21"/>
      <c r="AF89" s="9"/>
      <c r="AG89" s="21"/>
      <c r="AH89" s="21"/>
      <c r="AI89" s="21"/>
      <c r="AJ89" s="21"/>
      <c r="AK89" s="21"/>
      <c r="AP89" s="9"/>
      <c r="AQ89" s="21"/>
      <c r="AR89" s="21"/>
      <c r="AS89" s="21"/>
      <c r="AT89" s="21"/>
      <c r="AU89" s="21"/>
      <c r="AX89" s="9"/>
      <c r="AY89" s="21"/>
      <c r="AZ89" s="21"/>
      <c r="BA89" s="21"/>
      <c r="BB89" s="21"/>
      <c r="BC89" s="21"/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/>
      <c r="H90" s="21"/>
      <c r="I90" s="21"/>
      <c r="J90" s="21"/>
      <c r="K90" s="21"/>
      <c r="N90" s="9"/>
      <c r="O90" s="21"/>
      <c r="P90" s="21"/>
      <c r="Q90" s="21"/>
      <c r="R90" s="21"/>
      <c r="S90" s="21"/>
      <c r="X90" s="9"/>
      <c r="Y90" s="21"/>
      <c r="Z90" s="21"/>
      <c r="AA90" s="21"/>
      <c r="AB90" s="21"/>
      <c r="AC90" s="21"/>
      <c r="AF90" s="9"/>
      <c r="AG90" s="21"/>
      <c r="AH90" s="21"/>
      <c r="AI90" s="21"/>
      <c r="AJ90" s="21"/>
      <c r="AK90" s="21"/>
      <c r="AP90" s="9"/>
      <c r="AQ90" s="21"/>
      <c r="AR90" s="21"/>
      <c r="AS90" s="21"/>
      <c r="AT90" s="21"/>
      <c r="AU90" s="21"/>
      <c r="AX90" s="9"/>
      <c r="AY90" s="21"/>
      <c r="AZ90" s="21"/>
      <c r="BA90" s="21"/>
      <c r="BB90" s="21"/>
      <c r="BC90" s="21"/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/>
      <c r="H91" s="21"/>
      <c r="I91" s="21"/>
      <c r="J91" s="21"/>
      <c r="K91" s="21"/>
      <c r="N91" s="9"/>
      <c r="O91" s="21"/>
      <c r="P91" s="21"/>
      <c r="Q91" s="21"/>
      <c r="R91" s="21"/>
      <c r="S91" s="21"/>
      <c r="X91" s="9"/>
      <c r="Y91" s="21"/>
      <c r="Z91" s="21"/>
      <c r="AA91" s="21"/>
      <c r="AB91" s="21"/>
      <c r="AC91" s="21"/>
      <c r="AF91" s="9"/>
      <c r="AG91" s="21"/>
      <c r="AH91" s="21"/>
      <c r="AI91" s="21"/>
      <c r="AJ91" s="21"/>
      <c r="AK91" s="21"/>
      <c r="AP91" s="9"/>
      <c r="AQ91" s="21"/>
      <c r="AR91" s="21"/>
      <c r="AS91" s="21"/>
      <c r="AT91" s="21"/>
      <c r="AU91" s="21"/>
      <c r="AX91" s="9"/>
      <c r="AY91" s="21"/>
      <c r="AZ91" s="21"/>
      <c r="BA91" s="21"/>
      <c r="BB91" s="21"/>
      <c r="BC91" s="21"/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/>
      <c r="H92" s="21"/>
      <c r="I92" s="21"/>
      <c r="J92" s="21"/>
      <c r="K92" s="21"/>
      <c r="N92" s="9"/>
      <c r="O92" s="21"/>
      <c r="P92" s="21"/>
      <c r="Q92" s="21"/>
      <c r="R92" s="21"/>
      <c r="S92" s="21"/>
      <c r="X92" s="9"/>
      <c r="Y92" s="21"/>
      <c r="Z92" s="21"/>
      <c r="AA92" s="21"/>
      <c r="AB92" s="21"/>
      <c r="AC92" s="21"/>
      <c r="AF92" s="9"/>
      <c r="AG92" s="21"/>
      <c r="AH92" s="21"/>
      <c r="AI92" s="21"/>
      <c r="AJ92" s="21"/>
      <c r="AK92" s="21"/>
      <c r="AP92" s="9"/>
      <c r="AQ92" s="21"/>
      <c r="AR92" s="21"/>
      <c r="AS92" s="21"/>
      <c r="AT92" s="21"/>
      <c r="AU92" s="21"/>
      <c r="AX92" s="9"/>
      <c r="AY92" s="21"/>
      <c r="AZ92" s="21"/>
      <c r="BA92" s="21"/>
      <c r="BB92" s="21"/>
      <c r="BC92" s="21"/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/>
      <c r="H93" s="21"/>
      <c r="I93" s="21"/>
      <c r="J93" s="21"/>
      <c r="K93" s="21"/>
      <c r="N93" s="9"/>
      <c r="O93" s="21"/>
      <c r="P93" s="21"/>
      <c r="Q93" s="21"/>
      <c r="R93" s="21"/>
      <c r="S93" s="21"/>
      <c r="X93" s="9"/>
      <c r="Y93" s="21"/>
      <c r="Z93" s="21"/>
      <c r="AA93" s="21"/>
      <c r="AB93" s="21"/>
      <c r="AC93" s="21"/>
      <c r="AF93" s="9"/>
      <c r="AG93" s="21"/>
      <c r="AH93" s="21"/>
      <c r="AI93" s="21"/>
      <c r="AJ93" s="21"/>
      <c r="AK93" s="21"/>
      <c r="AP93" s="9"/>
      <c r="AQ93" s="21"/>
      <c r="AR93" s="21"/>
      <c r="AS93" s="21"/>
      <c r="AT93" s="21"/>
      <c r="AU93" s="21"/>
      <c r="AX93" s="9"/>
      <c r="AY93" s="21"/>
      <c r="AZ93" s="21"/>
      <c r="BA93" s="21"/>
      <c r="BB93" s="21"/>
      <c r="BC93" s="21"/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/>
      <c r="H94" s="21"/>
      <c r="I94" s="21"/>
      <c r="J94" s="21"/>
      <c r="K94" s="21"/>
      <c r="N94" s="9"/>
      <c r="O94" s="21"/>
      <c r="P94" s="21"/>
      <c r="Q94" s="21"/>
      <c r="R94" s="21"/>
      <c r="S94" s="21"/>
      <c r="X94" s="9"/>
      <c r="Y94" s="21"/>
      <c r="Z94" s="21"/>
      <c r="AA94" s="21"/>
      <c r="AB94" s="21"/>
      <c r="AC94" s="21"/>
      <c r="AF94" s="9"/>
      <c r="AG94" s="21"/>
      <c r="AH94" s="21"/>
      <c r="AI94" s="21"/>
      <c r="AJ94" s="21"/>
      <c r="AK94" s="21"/>
      <c r="AP94" s="9"/>
      <c r="AQ94" s="21"/>
      <c r="AR94" s="21"/>
      <c r="AS94" s="21"/>
      <c r="AT94" s="21"/>
      <c r="AU94" s="21"/>
      <c r="AX94" s="9"/>
      <c r="AY94" s="21"/>
      <c r="AZ94" s="21"/>
      <c r="BA94" s="21"/>
      <c r="BB94" s="21"/>
      <c r="BC94" s="21"/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/>
      <c r="H95" s="21"/>
      <c r="I95" s="21"/>
      <c r="J95" s="21"/>
      <c r="K95" s="21"/>
      <c r="N95" s="9"/>
      <c r="O95" s="21"/>
      <c r="P95" s="21"/>
      <c r="Q95" s="21"/>
      <c r="R95" s="21"/>
      <c r="S95" s="21"/>
      <c r="X95" s="9"/>
      <c r="Y95" s="21"/>
      <c r="Z95" s="21"/>
      <c r="AA95" s="21"/>
      <c r="AB95" s="21"/>
      <c r="AC95" s="21"/>
      <c r="AF95" s="9"/>
      <c r="AG95" s="21"/>
      <c r="AH95" s="21"/>
      <c r="AI95" s="21"/>
      <c r="AJ95" s="21"/>
      <c r="AK95" s="21"/>
      <c r="AP95" s="9"/>
      <c r="AQ95" s="21"/>
      <c r="AR95" s="21"/>
      <c r="AS95" s="21"/>
      <c r="AT95" s="21"/>
      <c r="AU95" s="21"/>
      <c r="AX95" s="9"/>
      <c r="AY95" s="21"/>
      <c r="AZ95" s="21"/>
      <c r="BA95" s="21"/>
      <c r="BB95" s="21"/>
      <c r="BC95" s="21"/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/>
      <c r="H96" s="21"/>
      <c r="I96" s="21"/>
      <c r="J96" s="21"/>
      <c r="K96" s="21"/>
      <c r="N96" s="9"/>
      <c r="O96" s="21"/>
      <c r="P96" s="21"/>
      <c r="Q96" s="21"/>
      <c r="R96" s="21"/>
      <c r="S96" s="21"/>
      <c r="X96" s="9"/>
      <c r="Y96" s="21"/>
      <c r="Z96" s="21"/>
      <c r="AA96" s="21"/>
      <c r="AB96" s="21"/>
      <c r="AC96" s="21"/>
      <c r="AF96" s="9"/>
      <c r="AG96" s="21"/>
      <c r="AH96" s="21"/>
      <c r="AI96" s="21"/>
      <c r="AJ96" s="21"/>
      <c r="AK96" s="21"/>
      <c r="AP96" s="9"/>
      <c r="AQ96" s="21"/>
      <c r="AR96" s="21"/>
      <c r="AS96" s="21"/>
      <c r="AT96" s="21"/>
      <c r="AU96" s="21"/>
      <c r="AX96" s="9"/>
      <c r="AY96" s="21"/>
      <c r="AZ96" s="21"/>
      <c r="BA96" s="21"/>
      <c r="BB96" s="21"/>
      <c r="BC96" s="21"/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/>
      <c r="H97" s="21"/>
      <c r="I97" s="21"/>
      <c r="J97" s="21"/>
      <c r="K97" s="21"/>
      <c r="N97" s="9"/>
      <c r="O97" s="21"/>
      <c r="P97" s="21"/>
      <c r="Q97" s="21"/>
      <c r="R97" s="21"/>
      <c r="S97" s="21"/>
      <c r="X97" s="9"/>
      <c r="Y97" s="21"/>
      <c r="Z97" s="21"/>
      <c r="AA97" s="21"/>
      <c r="AB97" s="21"/>
      <c r="AC97" s="21"/>
      <c r="AF97" s="9"/>
      <c r="AG97" s="21"/>
      <c r="AH97" s="21"/>
      <c r="AI97" s="21"/>
      <c r="AJ97" s="21"/>
      <c r="AK97" s="21"/>
      <c r="AP97" s="9"/>
      <c r="AQ97" s="21"/>
      <c r="AR97" s="21"/>
      <c r="AS97" s="21"/>
      <c r="AT97" s="21"/>
      <c r="AU97" s="21"/>
      <c r="AX97" s="9"/>
      <c r="AY97" s="21"/>
      <c r="AZ97" s="21"/>
      <c r="BA97" s="21"/>
      <c r="BB97" s="21"/>
      <c r="BC97" s="21"/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/>
      <c r="H98" s="21"/>
      <c r="I98" s="21"/>
      <c r="J98" s="21"/>
      <c r="K98" s="21"/>
      <c r="N98" s="9"/>
      <c r="O98" s="21"/>
      <c r="P98" s="21"/>
      <c r="Q98" s="21"/>
      <c r="R98" s="21"/>
      <c r="S98" s="21"/>
      <c r="X98" s="9"/>
      <c r="Y98" s="21"/>
      <c r="Z98" s="21"/>
      <c r="AA98" s="21"/>
      <c r="AB98" s="21"/>
      <c r="AC98" s="21"/>
      <c r="AF98" s="9"/>
      <c r="AG98" s="21"/>
      <c r="AH98" s="21"/>
      <c r="AI98" s="21"/>
      <c r="AJ98" s="21"/>
      <c r="AK98" s="21"/>
      <c r="AP98" s="9"/>
      <c r="AQ98" s="21"/>
      <c r="AR98" s="21"/>
      <c r="AS98" s="21"/>
      <c r="AT98" s="21"/>
      <c r="AU98" s="21"/>
      <c r="AX98" s="9"/>
      <c r="AY98" s="21"/>
      <c r="AZ98" s="21"/>
      <c r="BA98" s="21"/>
      <c r="BB98" s="21"/>
      <c r="BC98" s="21"/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/>
      <c r="H99" s="21"/>
      <c r="I99" s="21"/>
      <c r="J99" s="21"/>
      <c r="K99" s="21"/>
      <c r="N99" s="9"/>
      <c r="O99" s="21"/>
      <c r="P99" s="21"/>
      <c r="Q99" s="21"/>
      <c r="R99" s="21"/>
      <c r="S99" s="21"/>
      <c r="X99" s="9"/>
      <c r="Y99" s="21"/>
      <c r="Z99" s="21"/>
      <c r="AA99" s="21"/>
      <c r="AB99" s="21"/>
      <c r="AC99" s="21"/>
      <c r="AF99" s="9"/>
      <c r="AG99" s="21"/>
      <c r="AH99" s="21"/>
      <c r="AI99" s="21"/>
      <c r="AJ99" s="21"/>
      <c r="AK99" s="21"/>
      <c r="AP99" s="9"/>
      <c r="AQ99" s="21"/>
      <c r="AR99" s="21"/>
      <c r="AS99" s="21"/>
      <c r="AT99" s="21"/>
      <c r="AU99" s="21"/>
      <c r="AX99" s="9"/>
      <c r="AY99" s="21"/>
      <c r="AZ99" s="21"/>
      <c r="BA99" s="21"/>
      <c r="BB99" s="21"/>
      <c r="BC99" s="21"/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/>
      <c r="H100" s="21"/>
      <c r="I100" s="21"/>
      <c r="J100" s="21"/>
      <c r="K100" s="21"/>
      <c r="N100" s="9"/>
      <c r="O100" s="21"/>
      <c r="P100" s="21"/>
      <c r="Q100" s="21"/>
      <c r="R100" s="21"/>
      <c r="S100" s="21"/>
      <c r="X100" s="9"/>
      <c r="Y100" s="21"/>
      <c r="Z100" s="21"/>
      <c r="AA100" s="21"/>
      <c r="AB100" s="21"/>
      <c r="AC100" s="21"/>
      <c r="AF100" s="9"/>
      <c r="AG100" s="21"/>
      <c r="AH100" s="21"/>
      <c r="AI100" s="21"/>
      <c r="AJ100" s="21"/>
      <c r="AK100" s="21"/>
      <c r="AP100" s="9"/>
      <c r="AQ100" s="21"/>
      <c r="AR100" s="21"/>
      <c r="AS100" s="21"/>
      <c r="AT100" s="21"/>
      <c r="AU100" s="21"/>
      <c r="AX100" s="9"/>
      <c r="AY100" s="21"/>
      <c r="AZ100" s="21"/>
      <c r="BA100" s="21"/>
      <c r="BB100" s="21"/>
      <c r="BC100" s="21"/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/>
      <c r="H101" s="21"/>
      <c r="I101" s="21"/>
      <c r="J101" s="21"/>
      <c r="K101" s="21"/>
      <c r="N101" s="9"/>
      <c r="O101" s="21"/>
      <c r="P101" s="21"/>
      <c r="Q101" s="21"/>
      <c r="R101" s="21"/>
      <c r="S101" s="21"/>
      <c r="X101" s="9"/>
      <c r="Y101" s="21"/>
      <c r="Z101" s="21"/>
      <c r="AA101" s="21"/>
      <c r="AB101" s="21"/>
      <c r="AC101" s="21"/>
      <c r="AF101" s="9"/>
      <c r="AG101" s="21"/>
      <c r="AH101" s="21"/>
      <c r="AI101" s="21"/>
      <c r="AJ101" s="21"/>
      <c r="AK101" s="21"/>
      <c r="AP101" s="9"/>
      <c r="AQ101" s="21"/>
      <c r="AR101" s="21"/>
      <c r="AS101" s="21"/>
      <c r="AT101" s="21"/>
      <c r="AU101" s="21"/>
      <c r="AX101" s="9"/>
      <c r="AY101" s="21"/>
      <c r="AZ101" s="21"/>
      <c r="BA101" s="21"/>
      <c r="BB101" s="21"/>
      <c r="BC101" s="21"/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/>
      <c r="H102" s="21"/>
      <c r="I102" s="21"/>
      <c r="J102" s="21"/>
      <c r="K102" s="21"/>
      <c r="N102" s="9"/>
      <c r="O102" s="21"/>
      <c r="P102" s="21"/>
      <c r="Q102" s="21"/>
      <c r="R102" s="21"/>
      <c r="S102" s="21"/>
      <c r="X102" s="9"/>
      <c r="Y102" s="21"/>
      <c r="Z102" s="21"/>
      <c r="AA102" s="21"/>
      <c r="AB102" s="21"/>
      <c r="AC102" s="21"/>
      <c r="AF102" s="9"/>
      <c r="AG102" s="21"/>
      <c r="AH102" s="21"/>
      <c r="AI102" s="21"/>
      <c r="AJ102" s="21"/>
      <c r="AK102" s="21"/>
      <c r="AP102" s="9"/>
      <c r="AQ102" s="21"/>
      <c r="AR102" s="21"/>
      <c r="AS102" s="21"/>
      <c r="AT102" s="21"/>
      <c r="AU102" s="21"/>
      <c r="AX102" s="9"/>
      <c r="AY102" s="21"/>
      <c r="AZ102" s="21"/>
      <c r="BA102" s="21"/>
      <c r="BB102" s="21"/>
      <c r="BC102" s="21"/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/>
      <c r="H103" s="21"/>
      <c r="I103" s="21"/>
      <c r="J103" s="21"/>
      <c r="K103" s="21"/>
      <c r="N103" s="9"/>
      <c r="O103" s="21"/>
      <c r="P103" s="21"/>
      <c r="Q103" s="21"/>
      <c r="R103" s="21"/>
      <c r="S103" s="21"/>
      <c r="X103" s="9"/>
      <c r="Y103" s="21"/>
      <c r="Z103" s="21"/>
      <c r="AA103" s="21"/>
      <c r="AB103" s="21"/>
      <c r="AC103" s="21"/>
      <c r="AF103" s="9"/>
      <c r="AG103" s="21"/>
      <c r="AH103" s="21"/>
      <c r="AI103" s="21"/>
      <c r="AJ103" s="21"/>
      <c r="AK103" s="21"/>
      <c r="AP103" s="9"/>
      <c r="AQ103" s="21"/>
      <c r="AR103" s="21"/>
      <c r="AS103" s="21"/>
      <c r="AT103" s="21"/>
      <c r="AU103" s="21"/>
      <c r="AX103" s="9"/>
      <c r="AY103" s="21"/>
      <c r="AZ103" s="21"/>
      <c r="BA103" s="21"/>
      <c r="BB103" s="21"/>
      <c r="BC103" s="21"/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/>
      <c r="H104" s="21"/>
      <c r="I104" s="21"/>
      <c r="J104" s="21"/>
      <c r="K104" s="21"/>
      <c r="N104" s="9"/>
      <c r="O104" s="21"/>
      <c r="P104" s="21"/>
      <c r="Q104" s="21"/>
      <c r="R104" s="21"/>
      <c r="S104" s="21"/>
      <c r="X104" s="9"/>
      <c r="Y104" s="21"/>
      <c r="Z104" s="21"/>
      <c r="AA104" s="21"/>
      <c r="AB104" s="21"/>
      <c r="AC104" s="21"/>
      <c r="AF104" s="9"/>
      <c r="AG104" s="21"/>
      <c r="AH104" s="21"/>
      <c r="AI104" s="21"/>
      <c r="AJ104" s="21"/>
      <c r="AK104" s="21"/>
      <c r="AP104" s="9"/>
      <c r="AQ104" s="21"/>
      <c r="AR104" s="21"/>
      <c r="AS104" s="21"/>
      <c r="AT104" s="21"/>
      <c r="AU104" s="21"/>
      <c r="AX104" s="9"/>
      <c r="AY104" s="21"/>
      <c r="AZ104" s="21"/>
      <c r="BA104" s="21"/>
      <c r="BB104" s="21"/>
      <c r="BC104" s="21"/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/>
      <c r="H105" s="21"/>
      <c r="I105" s="21"/>
      <c r="J105" s="21"/>
      <c r="K105" s="21"/>
      <c r="N105" s="9"/>
      <c r="O105" s="21"/>
      <c r="P105" s="21"/>
      <c r="Q105" s="21"/>
      <c r="R105" s="21"/>
      <c r="S105" s="21"/>
      <c r="X105" s="9"/>
      <c r="Y105" s="21"/>
      <c r="Z105" s="21"/>
      <c r="AA105" s="21"/>
      <c r="AB105" s="21"/>
      <c r="AC105" s="21"/>
      <c r="AF105" s="9"/>
      <c r="AG105" s="21"/>
      <c r="AH105" s="21"/>
      <c r="AI105" s="21"/>
      <c r="AJ105" s="21"/>
      <c r="AK105" s="21"/>
      <c r="AP105" s="9"/>
      <c r="AQ105" s="21"/>
      <c r="AR105" s="21"/>
      <c r="AS105" s="21"/>
      <c r="AT105" s="21"/>
      <c r="AU105" s="21"/>
      <c r="AX105" s="9"/>
      <c r="AY105" s="21"/>
      <c r="AZ105" s="21"/>
      <c r="BA105" s="21"/>
      <c r="BB105" s="21"/>
      <c r="BC105" s="21"/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/>
      <c r="H106" s="21"/>
      <c r="I106" s="21"/>
      <c r="J106" s="21"/>
      <c r="K106" s="21"/>
      <c r="N106" s="9"/>
      <c r="O106" s="21"/>
      <c r="P106" s="21"/>
      <c r="Q106" s="21"/>
      <c r="R106" s="21"/>
      <c r="S106" s="21"/>
      <c r="X106" s="9"/>
      <c r="Y106" s="21"/>
      <c r="Z106" s="21"/>
      <c r="AA106" s="21"/>
      <c r="AB106" s="21"/>
      <c r="AC106" s="21"/>
      <c r="AF106" s="9"/>
      <c r="AG106" s="21"/>
      <c r="AH106" s="21"/>
      <c r="AI106" s="21"/>
      <c r="AJ106" s="21"/>
      <c r="AK106" s="21"/>
      <c r="AP106" s="9"/>
      <c r="AQ106" s="21"/>
      <c r="AR106" s="21"/>
      <c r="AS106" s="21"/>
      <c r="AT106" s="21"/>
      <c r="AU106" s="21"/>
      <c r="AX106" s="9"/>
      <c r="AY106" s="21"/>
      <c r="AZ106" s="21"/>
      <c r="BA106" s="21"/>
      <c r="BB106" s="21"/>
      <c r="BC106" s="21"/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/>
      <c r="H107" s="21"/>
      <c r="I107" s="21"/>
      <c r="J107" s="21"/>
      <c r="K107" s="21"/>
      <c r="N107" s="9"/>
      <c r="O107" s="21"/>
      <c r="P107" s="21"/>
      <c r="Q107" s="21"/>
      <c r="R107" s="21"/>
      <c r="S107" s="21"/>
      <c r="X107" s="9"/>
      <c r="Y107" s="21"/>
      <c r="Z107" s="21"/>
      <c r="AA107" s="21"/>
      <c r="AB107" s="21"/>
      <c r="AC107" s="21"/>
      <c r="AF107" s="9"/>
      <c r="AG107" s="21"/>
      <c r="AH107" s="21"/>
      <c r="AI107" s="21"/>
      <c r="AJ107" s="21"/>
      <c r="AK107" s="21"/>
      <c r="AP107" s="9"/>
      <c r="AQ107" s="21"/>
      <c r="AR107" s="21"/>
      <c r="AS107" s="21"/>
      <c r="AT107" s="21"/>
      <c r="AU107" s="21"/>
      <c r="AX107" s="9"/>
      <c r="AY107" s="21"/>
      <c r="AZ107" s="21"/>
      <c r="BA107" s="21"/>
      <c r="BB107" s="21"/>
      <c r="BC107" s="21"/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/>
      <c r="H108" s="21"/>
      <c r="I108" s="21"/>
      <c r="J108" s="21"/>
      <c r="K108" s="21"/>
      <c r="N108" s="9"/>
      <c r="O108" s="21"/>
      <c r="P108" s="21"/>
      <c r="Q108" s="21"/>
      <c r="R108" s="21"/>
      <c r="S108" s="21"/>
      <c r="X108" s="9"/>
      <c r="Y108" s="21"/>
      <c r="Z108" s="21"/>
      <c r="AA108" s="21"/>
      <c r="AB108" s="21"/>
      <c r="AC108" s="21"/>
      <c r="AF108" s="9"/>
      <c r="AG108" s="21"/>
      <c r="AH108" s="21"/>
      <c r="AI108" s="21"/>
      <c r="AJ108" s="21"/>
      <c r="AK108" s="21"/>
      <c r="AP108" s="9"/>
      <c r="AQ108" s="21"/>
      <c r="AR108" s="21"/>
      <c r="AS108" s="21"/>
      <c r="AT108" s="21"/>
      <c r="AU108" s="21"/>
      <c r="AX108" s="9"/>
      <c r="AY108" s="21"/>
      <c r="AZ108" s="21"/>
      <c r="BA108" s="21"/>
      <c r="BB108" s="21"/>
      <c r="BC108" s="21"/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/>
      <c r="H109" s="21"/>
      <c r="I109" s="21"/>
      <c r="J109" s="21"/>
      <c r="K109" s="21"/>
      <c r="N109" s="9"/>
      <c r="O109" s="21"/>
      <c r="P109" s="21"/>
      <c r="Q109" s="21"/>
      <c r="R109" s="21"/>
      <c r="S109" s="21"/>
      <c r="X109" s="9"/>
      <c r="Y109" s="21"/>
      <c r="Z109" s="21"/>
      <c r="AA109" s="21"/>
      <c r="AB109" s="21"/>
      <c r="AC109" s="21"/>
      <c r="AF109" s="9"/>
      <c r="AG109" s="21"/>
      <c r="AH109" s="21"/>
      <c r="AI109" s="21"/>
      <c r="AJ109" s="21"/>
      <c r="AK109" s="21"/>
      <c r="AP109" s="9"/>
      <c r="AQ109" s="21"/>
      <c r="AR109" s="21"/>
      <c r="AS109" s="21"/>
      <c r="AT109" s="21"/>
      <c r="AU109" s="21"/>
      <c r="AX109" s="9"/>
      <c r="AY109" s="21"/>
      <c r="AZ109" s="21"/>
      <c r="BA109" s="21"/>
      <c r="BB109" s="21"/>
      <c r="BC109" s="21"/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/>
      <c r="H110" s="21"/>
      <c r="I110" s="21"/>
      <c r="J110" s="21"/>
      <c r="K110" s="21"/>
      <c r="N110" s="9"/>
      <c r="O110" s="21"/>
      <c r="P110" s="21"/>
      <c r="Q110" s="21"/>
      <c r="R110" s="21"/>
      <c r="S110" s="21"/>
      <c r="X110" s="9"/>
      <c r="Y110" s="21"/>
      <c r="Z110" s="21"/>
      <c r="AA110" s="21"/>
      <c r="AB110" s="21"/>
      <c r="AC110" s="21"/>
      <c r="AF110" s="9"/>
      <c r="AG110" s="21"/>
      <c r="AH110" s="21"/>
      <c r="AI110" s="21"/>
      <c r="AJ110" s="21"/>
      <c r="AK110" s="21"/>
      <c r="AP110" s="9"/>
      <c r="AQ110" s="21"/>
      <c r="AR110" s="21"/>
      <c r="AS110" s="21"/>
      <c r="AT110" s="21"/>
      <c r="AU110" s="21"/>
      <c r="AX110" s="9"/>
      <c r="AY110" s="21"/>
      <c r="AZ110" s="21"/>
      <c r="BA110" s="21"/>
      <c r="BB110" s="21"/>
      <c r="BC110" s="21"/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/>
      <c r="H111" s="21"/>
      <c r="I111" s="21"/>
      <c r="J111" s="21"/>
      <c r="K111" s="21"/>
      <c r="N111" s="9"/>
      <c r="O111" s="21"/>
      <c r="P111" s="21"/>
      <c r="Q111" s="21"/>
      <c r="R111" s="21"/>
      <c r="S111" s="21"/>
      <c r="X111" s="9"/>
      <c r="Y111" s="21"/>
      <c r="Z111" s="21"/>
      <c r="AA111" s="21"/>
      <c r="AB111" s="21"/>
      <c r="AC111" s="21"/>
      <c r="AF111" s="9"/>
      <c r="AG111" s="21"/>
      <c r="AH111" s="21"/>
      <c r="AI111" s="21"/>
      <c r="AJ111" s="21"/>
      <c r="AK111" s="21"/>
      <c r="AP111" s="9"/>
      <c r="AQ111" s="21"/>
      <c r="AR111" s="21"/>
      <c r="AS111" s="21"/>
      <c r="AT111" s="21"/>
      <c r="AU111" s="21"/>
      <c r="AX111" s="9"/>
      <c r="AY111" s="21"/>
      <c r="AZ111" s="21"/>
      <c r="BA111" s="21"/>
      <c r="BB111" s="21"/>
      <c r="BC111" s="21"/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/>
      <c r="H112" s="21"/>
      <c r="I112" s="21"/>
      <c r="J112" s="21"/>
      <c r="K112" s="21"/>
      <c r="N112" s="9"/>
      <c r="O112" s="21"/>
      <c r="P112" s="21"/>
      <c r="Q112" s="21"/>
      <c r="R112" s="21"/>
      <c r="S112" s="21"/>
      <c r="X112" s="9"/>
      <c r="Y112" s="21"/>
      <c r="Z112" s="21"/>
      <c r="AA112" s="21"/>
      <c r="AB112" s="21"/>
      <c r="AC112" s="21"/>
      <c r="AF112" s="9"/>
      <c r="AG112" s="21"/>
      <c r="AH112" s="21"/>
      <c r="AI112" s="21"/>
      <c r="AJ112" s="21"/>
      <c r="AK112" s="21"/>
      <c r="AP112" s="9"/>
      <c r="AQ112" s="21"/>
      <c r="AR112" s="21"/>
      <c r="AS112" s="21"/>
      <c r="AT112" s="21"/>
      <c r="AU112" s="21"/>
      <c r="AX112" s="9"/>
      <c r="AY112" s="21"/>
      <c r="AZ112" s="21"/>
      <c r="BA112" s="21"/>
      <c r="BB112" s="21"/>
      <c r="BC112" s="21"/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/>
      <c r="H113" s="21"/>
      <c r="I113" s="21"/>
      <c r="J113" s="21"/>
      <c r="K113" s="21"/>
      <c r="N113" s="9"/>
      <c r="O113" s="21"/>
      <c r="P113" s="21"/>
      <c r="Q113" s="21"/>
      <c r="R113" s="21"/>
      <c r="S113" s="21"/>
      <c r="X113" s="9"/>
      <c r="Y113" s="21"/>
      <c r="Z113" s="21"/>
      <c r="AA113" s="21"/>
      <c r="AB113" s="21"/>
      <c r="AC113" s="21"/>
      <c r="AF113" s="9"/>
      <c r="AG113" s="21"/>
      <c r="AH113" s="21"/>
      <c r="AI113" s="21"/>
      <c r="AJ113" s="21"/>
      <c r="AK113" s="21"/>
      <c r="AP113" s="9"/>
      <c r="AQ113" s="21"/>
      <c r="AR113" s="21"/>
      <c r="AS113" s="21"/>
      <c r="AT113" s="21"/>
      <c r="AU113" s="21"/>
      <c r="AX113" s="9"/>
      <c r="AY113" s="21"/>
      <c r="AZ113" s="21"/>
      <c r="BA113" s="21"/>
      <c r="BB113" s="21"/>
      <c r="BC113" s="21"/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/>
      <c r="H114" s="21"/>
      <c r="I114" s="21"/>
      <c r="J114" s="21"/>
      <c r="K114" s="21"/>
      <c r="N114" s="9"/>
      <c r="O114" s="21"/>
      <c r="P114" s="21"/>
      <c r="Q114" s="21"/>
      <c r="R114" s="21"/>
      <c r="S114" s="21"/>
      <c r="X114" s="9"/>
      <c r="Y114" s="21"/>
      <c r="Z114" s="21"/>
      <c r="AA114" s="21"/>
      <c r="AB114" s="21"/>
      <c r="AC114" s="21"/>
      <c r="AF114" s="9"/>
      <c r="AG114" s="21"/>
      <c r="AH114" s="21"/>
      <c r="AI114" s="21"/>
      <c r="AJ114" s="21"/>
      <c r="AK114" s="21"/>
      <c r="AP114" s="9"/>
      <c r="AQ114" s="21"/>
      <c r="AR114" s="21"/>
      <c r="AS114" s="21"/>
      <c r="AT114" s="21"/>
      <c r="AU114" s="21"/>
      <c r="AX114" s="9"/>
      <c r="AY114" s="21"/>
      <c r="AZ114" s="21"/>
      <c r="BA114" s="21"/>
      <c r="BB114" s="21"/>
      <c r="BC114" s="21"/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/>
      <c r="H115" s="21"/>
      <c r="I115" s="21"/>
      <c r="J115" s="21"/>
      <c r="K115" s="21"/>
      <c r="N115" s="9"/>
      <c r="O115" s="21"/>
      <c r="P115" s="21"/>
      <c r="Q115" s="21"/>
      <c r="R115" s="21"/>
      <c r="S115" s="21"/>
      <c r="X115" s="9"/>
      <c r="Y115" s="21"/>
      <c r="Z115" s="21"/>
      <c r="AA115" s="21"/>
      <c r="AB115" s="21"/>
      <c r="AC115" s="21"/>
      <c r="AF115" s="9"/>
      <c r="AG115" s="21"/>
      <c r="AH115" s="21"/>
      <c r="AI115" s="21"/>
      <c r="AJ115" s="21"/>
      <c r="AK115" s="21"/>
      <c r="AP115" s="9"/>
      <c r="AQ115" s="21"/>
      <c r="AR115" s="21"/>
      <c r="AS115" s="21"/>
      <c r="AT115" s="21"/>
      <c r="AU115" s="21"/>
      <c r="AX115" s="9"/>
      <c r="AY115" s="21"/>
      <c r="AZ115" s="21"/>
      <c r="BA115" s="21"/>
      <c r="BB115" s="21"/>
      <c r="BC115" s="21"/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/>
      <c r="H116" s="21"/>
      <c r="I116" s="21"/>
      <c r="J116" s="21"/>
      <c r="K116" s="21"/>
      <c r="N116" s="9"/>
      <c r="O116" s="21"/>
      <c r="P116" s="21"/>
      <c r="Q116" s="21"/>
      <c r="R116" s="21"/>
      <c r="S116" s="21"/>
      <c r="X116" s="9"/>
      <c r="Y116" s="21"/>
      <c r="Z116" s="21"/>
      <c r="AA116" s="21"/>
      <c r="AB116" s="21"/>
      <c r="AC116" s="21"/>
      <c r="AF116" s="9"/>
      <c r="AG116" s="21"/>
      <c r="AH116" s="21"/>
      <c r="AI116" s="21"/>
      <c r="AJ116" s="21"/>
      <c r="AK116" s="21"/>
      <c r="AP116" s="9"/>
      <c r="AQ116" s="21"/>
      <c r="AR116" s="21"/>
      <c r="AS116" s="21"/>
      <c r="AT116" s="21"/>
      <c r="AU116" s="21"/>
      <c r="AX116" s="9"/>
      <c r="AY116" s="21"/>
      <c r="AZ116" s="21"/>
      <c r="BA116" s="21"/>
      <c r="BB116" s="21"/>
      <c r="BC116" s="21"/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/>
      <c r="H117" s="21"/>
      <c r="I117" s="21"/>
      <c r="J117" s="21"/>
      <c r="K117" s="21"/>
      <c r="N117" s="9"/>
      <c r="O117" s="21"/>
      <c r="P117" s="21"/>
      <c r="Q117" s="21"/>
      <c r="R117" s="21"/>
      <c r="S117" s="21"/>
      <c r="X117" s="9"/>
      <c r="Y117" s="21"/>
      <c r="Z117" s="21"/>
      <c r="AA117" s="21"/>
      <c r="AB117" s="21"/>
      <c r="AC117" s="21"/>
      <c r="AF117" s="9"/>
      <c r="AG117" s="21"/>
      <c r="AH117" s="21"/>
      <c r="AI117" s="21"/>
      <c r="AJ117" s="21"/>
      <c r="AK117" s="21"/>
      <c r="AP117" s="9"/>
      <c r="AQ117" s="21"/>
      <c r="AR117" s="21"/>
      <c r="AS117" s="21"/>
      <c r="AT117" s="21"/>
      <c r="AU117" s="21"/>
      <c r="AX117" s="9"/>
      <c r="AY117" s="21"/>
      <c r="AZ117" s="21"/>
      <c r="BA117" s="21"/>
      <c r="BB117" s="21"/>
      <c r="BC117" s="21"/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/>
      <c r="H118" s="21"/>
      <c r="I118" s="21"/>
      <c r="J118" s="21"/>
      <c r="K118" s="21"/>
      <c r="N118" s="9"/>
      <c r="O118" s="21"/>
      <c r="P118" s="21"/>
      <c r="Q118" s="21"/>
      <c r="R118" s="21"/>
      <c r="S118" s="21"/>
      <c r="X118" s="9"/>
      <c r="Y118" s="21"/>
      <c r="Z118" s="21"/>
      <c r="AA118" s="21"/>
      <c r="AB118" s="21"/>
      <c r="AC118" s="21"/>
      <c r="AF118" s="9"/>
      <c r="AG118" s="21"/>
      <c r="AH118" s="21"/>
      <c r="AI118" s="21"/>
      <c r="AJ118" s="21"/>
      <c r="AK118" s="21"/>
      <c r="AP118" s="9"/>
      <c r="AQ118" s="21"/>
      <c r="AR118" s="21"/>
      <c r="AS118" s="21"/>
      <c r="AT118" s="21"/>
      <c r="AU118" s="21"/>
      <c r="AX118" s="9"/>
      <c r="AY118" s="21"/>
      <c r="AZ118" s="21"/>
      <c r="BA118" s="21"/>
      <c r="BB118" s="21"/>
      <c r="BC118" s="21"/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/>
      <c r="H119" s="21"/>
      <c r="I119" s="21"/>
      <c r="J119" s="21"/>
      <c r="K119" s="21"/>
      <c r="N119" s="9"/>
      <c r="O119" s="21"/>
      <c r="P119" s="21"/>
      <c r="Q119" s="21"/>
      <c r="R119" s="21"/>
      <c r="S119" s="21"/>
      <c r="X119" s="9"/>
      <c r="Y119" s="21"/>
      <c r="Z119" s="21"/>
      <c r="AA119" s="21"/>
      <c r="AB119" s="21"/>
      <c r="AC119" s="21"/>
      <c r="AF119" s="9"/>
      <c r="AG119" s="21"/>
      <c r="AH119" s="21"/>
      <c r="AI119" s="21"/>
      <c r="AJ119" s="21"/>
      <c r="AK119" s="21"/>
      <c r="AP119" s="9"/>
      <c r="AQ119" s="21"/>
      <c r="AR119" s="21"/>
      <c r="AS119" s="21"/>
      <c r="AT119" s="21"/>
      <c r="AU119" s="21"/>
      <c r="AX119" s="9"/>
      <c r="AY119" s="21"/>
      <c r="AZ119" s="21"/>
      <c r="BA119" s="21"/>
      <c r="BB119" s="21"/>
      <c r="BC119" s="21"/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/>
      <c r="H120" s="21"/>
      <c r="I120" s="21"/>
      <c r="J120" s="21"/>
      <c r="K120" s="21"/>
      <c r="N120" s="9"/>
      <c r="O120" s="21"/>
      <c r="P120" s="21"/>
      <c r="Q120" s="21"/>
      <c r="R120" s="21"/>
      <c r="S120" s="21"/>
      <c r="X120" s="9"/>
      <c r="Y120" s="21"/>
      <c r="Z120" s="21"/>
      <c r="AA120" s="21"/>
      <c r="AB120" s="21"/>
      <c r="AC120" s="21"/>
      <c r="AF120" s="9"/>
      <c r="AG120" s="21"/>
      <c r="AH120" s="21"/>
      <c r="AI120" s="21"/>
      <c r="AJ120" s="21"/>
      <c r="AK120" s="21"/>
      <c r="AP120" s="9"/>
      <c r="AQ120" s="21"/>
      <c r="AR120" s="21"/>
      <c r="AS120" s="21"/>
      <c r="AT120" s="21"/>
      <c r="AU120" s="21"/>
      <c r="AX120" s="9"/>
      <c r="AY120" s="21"/>
      <c r="AZ120" s="21"/>
      <c r="BA120" s="21"/>
      <c r="BB120" s="21"/>
      <c r="BC120" s="21"/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/>
      <c r="H121" s="21"/>
      <c r="I121" s="21"/>
      <c r="J121" s="21"/>
      <c r="K121" s="21"/>
      <c r="N121" s="9"/>
      <c r="O121" s="21"/>
      <c r="P121" s="21"/>
      <c r="Q121" s="21"/>
      <c r="R121" s="21"/>
      <c r="S121" s="21"/>
      <c r="X121" s="9"/>
      <c r="Y121" s="21"/>
      <c r="Z121" s="21"/>
      <c r="AA121" s="21"/>
      <c r="AB121" s="21"/>
      <c r="AC121" s="21"/>
      <c r="AF121" s="9"/>
      <c r="AG121" s="21"/>
      <c r="AH121" s="21"/>
      <c r="AI121" s="21"/>
      <c r="AJ121" s="21"/>
      <c r="AK121" s="21"/>
      <c r="AP121" s="9"/>
      <c r="AQ121" s="21"/>
      <c r="AR121" s="21"/>
      <c r="AS121" s="21"/>
      <c r="AT121" s="21"/>
      <c r="AU121" s="21"/>
      <c r="AX121" s="9"/>
      <c r="AY121" s="21"/>
      <c r="AZ121" s="21"/>
      <c r="BA121" s="21"/>
      <c r="BB121" s="21"/>
      <c r="BC121" s="21"/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/>
      <c r="H122" s="21"/>
      <c r="I122" s="21"/>
      <c r="J122" s="21"/>
      <c r="K122" s="21"/>
      <c r="N122" s="9"/>
      <c r="O122" s="21"/>
      <c r="P122" s="21"/>
      <c r="Q122" s="21"/>
      <c r="R122" s="21"/>
      <c r="S122" s="21"/>
      <c r="X122" s="9"/>
      <c r="Y122" s="21"/>
      <c r="Z122" s="21"/>
      <c r="AA122" s="21"/>
      <c r="AB122" s="21"/>
      <c r="AC122" s="21"/>
      <c r="AF122" s="9"/>
      <c r="AG122" s="21"/>
      <c r="AH122" s="21"/>
      <c r="AI122" s="21"/>
      <c r="AJ122" s="21"/>
      <c r="AK122" s="21"/>
      <c r="AP122" s="9"/>
      <c r="AQ122" s="21"/>
      <c r="AR122" s="21"/>
      <c r="AS122" s="21"/>
      <c r="AT122" s="21"/>
      <c r="AU122" s="21"/>
      <c r="AX122" s="9"/>
      <c r="AY122" s="21"/>
      <c r="AZ122" s="21"/>
      <c r="BA122" s="21"/>
      <c r="BB122" s="21"/>
      <c r="BC122" s="21"/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/>
      <c r="H123" s="21"/>
      <c r="I123" s="21"/>
      <c r="J123" s="21"/>
      <c r="K123" s="21"/>
      <c r="N123" s="9"/>
      <c r="O123" s="21"/>
      <c r="P123" s="21"/>
      <c r="Q123" s="21"/>
      <c r="R123" s="21"/>
      <c r="S123" s="21"/>
      <c r="X123" s="9"/>
      <c r="Y123" s="21"/>
      <c r="Z123" s="21"/>
      <c r="AA123" s="21"/>
      <c r="AB123" s="21"/>
      <c r="AC123" s="21"/>
      <c r="AF123" s="9"/>
      <c r="AG123" s="21"/>
      <c r="AH123" s="21"/>
      <c r="AI123" s="21"/>
      <c r="AJ123" s="21"/>
      <c r="AK123" s="21"/>
      <c r="AP123" s="9"/>
      <c r="AQ123" s="21"/>
      <c r="AR123" s="21"/>
      <c r="AS123" s="21"/>
      <c r="AT123" s="21"/>
      <c r="AU123" s="21"/>
      <c r="AX123" s="9"/>
      <c r="AY123" s="21"/>
      <c r="AZ123" s="21"/>
      <c r="BA123" s="21"/>
      <c r="BB123" s="21"/>
      <c r="BC123" s="21"/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/>
      <c r="H124" s="21"/>
      <c r="I124" s="21"/>
      <c r="J124" s="21"/>
      <c r="K124" s="21"/>
      <c r="N124" s="9"/>
      <c r="O124" s="21"/>
      <c r="P124" s="21"/>
      <c r="Q124" s="21"/>
      <c r="R124" s="21"/>
      <c r="S124" s="21"/>
      <c r="X124" s="9"/>
      <c r="Y124" s="21"/>
      <c r="Z124" s="21"/>
      <c r="AA124" s="21"/>
      <c r="AB124" s="21"/>
      <c r="AC124" s="21"/>
      <c r="AF124" s="9"/>
      <c r="AG124" s="21"/>
      <c r="AH124" s="21"/>
      <c r="AI124" s="21"/>
      <c r="AJ124" s="21"/>
      <c r="AK124" s="21"/>
      <c r="AP124" s="9"/>
      <c r="AQ124" s="21"/>
      <c r="AR124" s="21"/>
      <c r="AS124" s="21"/>
      <c r="AT124" s="21"/>
      <c r="AU124" s="21"/>
      <c r="AX124" s="9"/>
      <c r="AY124" s="21"/>
      <c r="AZ124" s="21"/>
      <c r="BA124" s="21"/>
      <c r="BB124" s="21"/>
      <c r="BC124" s="21"/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/>
      <c r="H125" s="21"/>
      <c r="I125" s="21"/>
      <c r="J125" s="21"/>
      <c r="K125" s="21"/>
      <c r="N125" s="9"/>
      <c r="O125" s="21"/>
      <c r="P125" s="21"/>
      <c r="Q125" s="21"/>
      <c r="R125" s="21"/>
      <c r="S125" s="21"/>
      <c r="X125" s="9"/>
      <c r="Y125" s="21"/>
      <c r="Z125" s="21"/>
      <c r="AA125" s="21"/>
      <c r="AB125" s="21"/>
      <c r="AC125" s="21"/>
      <c r="AF125" s="9"/>
      <c r="AG125" s="21"/>
      <c r="AH125" s="21"/>
      <c r="AI125" s="21"/>
      <c r="AJ125" s="21"/>
      <c r="AK125" s="21"/>
      <c r="AP125" s="9"/>
      <c r="AQ125" s="21"/>
      <c r="AR125" s="21"/>
      <c r="AS125" s="21"/>
      <c r="AT125" s="21"/>
      <c r="AU125" s="21"/>
      <c r="AX125" s="9"/>
      <c r="AY125" s="21"/>
      <c r="AZ125" s="21"/>
      <c r="BA125" s="21"/>
      <c r="BB125" s="21"/>
      <c r="BC125" s="21"/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/>
      <c r="H126" s="21"/>
      <c r="I126" s="21"/>
      <c r="J126" s="21"/>
      <c r="K126" s="21"/>
      <c r="N126" s="9"/>
      <c r="O126" s="21"/>
      <c r="P126" s="21"/>
      <c r="Q126" s="21"/>
      <c r="R126" s="21"/>
      <c r="S126" s="21"/>
      <c r="X126" s="9"/>
      <c r="Y126" s="21"/>
      <c r="Z126" s="21"/>
      <c r="AA126" s="21"/>
      <c r="AB126" s="21"/>
      <c r="AC126" s="21"/>
      <c r="AF126" s="9"/>
      <c r="AG126" s="21"/>
      <c r="AH126" s="21"/>
      <c r="AI126" s="21"/>
      <c r="AJ126" s="21"/>
      <c r="AK126" s="21"/>
      <c r="AP126" s="9"/>
      <c r="AQ126" s="21"/>
      <c r="AR126" s="21"/>
      <c r="AS126" s="21"/>
      <c r="AT126" s="21"/>
      <c r="AU126" s="21"/>
      <c r="AX126" s="9"/>
      <c r="AY126" s="21"/>
      <c r="AZ126" s="21"/>
      <c r="BA126" s="21"/>
      <c r="BB126" s="21"/>
      <c r="BC126" s="21"/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/>
      <c r="H127" s="21"/>
      <c r="I127" s="21"/>
      <c r="J127" s="21"/>
      <c r="K127" s="21"/>
      <c r="N127" s="9"/>
      <c r="O127" s="21"/>
      <c r="P127" s="21"/>
      <c r="Q127" s="21"/>
      <c r="R127" s="21"/>
      <c r="S127" s="21"/>
      <c r="X127" s="9"/>
      <c r="Y127" s="21"/>
      <c r="Z127" s="21"/>
      <c r="AA127" s="21"/>
      <c r="AB127" s="21"/>
      <c r="AC127" s="21"/>
      <c r="AF127" s="9"/>
      <c r="AG127" s="21"/>
      <c r="AH127" s="21"/>
      <c r="AI127" s="21"/>
      <c r="AJ127" s="21"/>
      <c r="AK127" s="21"/>
      <c r="AP127" s="9"/>
      <c r="AQ127" s="21"/>
      <c r="AR127" s="21"/>
      <c r="AS127" s="21"/>
      <c r="AT127" s="21"/>
      <c r="AU127" s="21"/>
      <c r="AX127" s="9"/>
      <c r="AY127" s="21"/>
      <c r="AZ127" s="21"/>
      <c r="BA127" s="21"/>
      <c r="BB127" s="21"/>
      <c r="BC127" s="21"/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/>
      <c r="H128" s="21"/>
      <c r="I128" s="21"/>
      <c r="J128" s="21"/>
      <c r="K128" s="21"/>
      <c r="N128" s="9"/>
      <c r="O128" s="21"/>
      <c r="P128" s="21"/>
      <c r="Q128" s="21"/>
      <c r="R128" s="21"/>
      <c r="S128" s="21"/>
      <c r="X128" s="9"/>
      <c r="Y128" s="21"/>
      <c r="Z128" s="21"/>
      <c r="AA128" s="21"/>
      <c r="AB128" s="21"/>
      <c r="AC128" s="21"/>
      <c r="AF128" s="9"/>
      <c r="AG128" s="21"/>
      <c r="AH128" s="21"/>
      <c r="AI128" s="21"/>
      <c r="AJ128" s="21"/>
      <c r="AK128" s="21"/>
      <c r="AP128" s="9"/>
      <c r="AQ128" s="21"/>
      <c r="AR128" s="21"/>
      <c r="AS128" s="21"/>
      <c r="AT128" s="21"/>
      <c r="AU128" s="21"/>
      <c r="AX128" s="9"/>
      <c r="AY128" s="21"/>
      <c r="AZ128" s="21"/>
      <c r="BA128" s="21"/>
      <c r="BB128" s="21"/>
      <c r="BC128" s="21"/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/>
      <c r="H129" s="21"/>
      <c r="I129" s="21"/>
      <c r="J129" s="21"/>
      <c r="K129" s="21"/>
      <c r="N129" s="9"/>
      <c r="O129" s="21"/>
      <c r="P129" s="21"/>
      <c r="Q129" s="21"/>
      <c r="R129" s="21"/>
      <c r="S129" s="21"/>
      <c r="X129" s="9"/>
      <c r="Y129" s="21"/>
      <c r="Z129" s="21"/>
      <c r="AA129" s="21"/>
      <c r="AB129" s="21"/>
      <c r="AC129" s="21"/>
      <c r="AF129" s="9"/>
      <c r="AG129" s="21"/>
      <c r="AH129" s="21"/>
      <c r="AI129" s="21"/>
      <c r="AJ129" s="21"/>
      <c r="AK129" s="21"/>
      <c r="AP129" s="9"/>
      <c r="AQ129" s="21"/>
      <c r="AR129" s="21"/>
      <c r="AS129" s="21"/>
      <c r="AT129" s="21"/>
      <c r="AU129" s="21"/>
      <c r="AX129" s="9"/>
      <c r="AY129" s="21"/>
      <c r="AZ129" s="21"/>
      <c r="BA129" s="21"/>
      <c r="BB129" s="21"/>
      <c r="BC129" s="21"/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/>
      <c r="H130" s="21"/>
      <c r="I130" s="21"/>
      <c r="J130" s="21"/>
      <c r="K130" s="21"/>
      <c r="N130" s="9"/>
      <c r="O130" s="21"/>
      <c r="P130" s="21"/>
      <c r="Q130" s="21"/>
      <c r="R130" s="21"/>
      <c r="S130" s="21"/>
      <c r="X130" s="9"/>
      <c r="Y130" s="21"/>
      <c r="Z130" s="21"/>
      <c r="AA130" s="21"/>
      <c r="AB130" s="21"/>
      <c r="AC130" s="21"/>
      <c r="AF130" s="9"/>
      <c r="AG130" s="21"/>
      <c r="AH130" s="21"/>
      <c r="AI130" s="21"/>
      <c r="AJ130" s="21"/>
      <c r="AK130" s="21"/>
      <c r="AP130" s="9"/>
      <c r="AQ130" s="21"/>
      <c r="AR130" s="21"/>
      <c r="AS130" s="21"/>
      <c r="AT130" s="21"/>
      <c r="AU130" s="21"/>
      <c r="AX130" s="9"/>
      <c r="AY130" s="21"/>
      <c r="AZ130" s="21"/>
      <c r="BA130" s="21"/>
      <c r="BB130" s="21"/>
      <c r="BC130" s="21"/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/>
      <c r="H131" s="21"/>
      <c r="I131" s="21"/>
      <c r="J131" s="21"/>
      <c r="K131" s="21"/>
      <c r="N131" s="9"/>
      <c r="O131" s="21"/>
      <c r="P131" s="21"/>
      <c r="Q131" s="21"/>
      <c r="R131" s="21"/>
      <c r="S131" s="21"/>
      <c r="X131" s="9"/>
      <c r="Y131" s="21"/>
      <c r="Z131" s="21"/>
      <c r="AA131" s="21"/>
      <c r="AB131" s="21"/>
      <c r="AC131" s="21"/>
      <c r="AF131" s="9"/>
      <c r="AG131" s="21"/>
      <c r="AH131" s="21"/>
      <c r="AI131" s="21"/>
      <c r="AJ131" s="21"/>
      <c r="AK131" s="21"/>
      <c r="AP131" s="9"/>
      <c r="AQ131" s="21"/>
      <c r="AR131" s="21"/>
      <c r="AS131" s="21"/>
      <c r="AT131" s="21"/>
      <c r="AU131" s="21"/>
      <c r="AX131" s="9"/>
      <c r="AY131" s="21"/>
      <c r="AZ131" s="21"/>
      <c r="BA131" s="21"/>
      <c r="BB131" s="21"/>
      <c r="BC131" s="21"/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/>
      <c r="H132" s="21"/>
      <c r="I132" s="21"/>
      <c r="J132" s="21"/>
      <c r="K132" s="21"/>
      <c r="N132" s="9"/>
      <c r="O132" s="21"/>
      <c r="P132" s="21"/>
      <c r="Q132" s="21"/>
      <c r="R132" s="21"/>
      <c r="S132" s="21"/>
      <c r="X132" s="9"/>
      <c r="Y132" s="21"/>
      <c r="Z132" s="21"/>
      <c r="AA132" s="21"/>
      <c r="AB132" s="21"/>
      <c r="AC132" s="21"/>
      <c r="AF132" s="9"/>
      <c r="AG132" s="21"/>
      <c r="AH132" s="21"/>
      <c r="AI132" s="21"/>
      <c r="AJ132" s="21"/>
      <c r="AK132" s="21"/>
      <c r="AP132" s="9"/>
      <c r="AQ132" s="21"/>
      <c r="AR132" s="21"/>
      <c r="AS132" s="21"/>
      <c r="AT132" s="21"/>
      <c r="AU132" s="21"/>
      <c r="AX132" s="9"/>
      <c r="AY132" s="21"/>
      <c r="AZ132" s="21"/>
      <c r="BA132" s="21"/>
      <c r="BB132" s="21"/>
      <c r="BC132" s="21"/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/>
      <c r="H133" s="21"/>
      <c r="I133" s="21"/>
      <c r="J133" s="21"/>
      <c r="K133" s="21"/>
      <c r="N133" s="9"/>
      <c r="O133" s="21"/>
      <c r="P133" s="21"/>
      <c r="Q133" s="21"/>
      <c r="R133" s="21"/>
      <c r="S133" s="21"/>
      <c r="X133" s="9"/>
      <c r="Y133" s="21"/>
      <c r="Z133" s="21"/>
      <c r="AA133" s="21"/>
      <c r="AB133" s="21"/>
      <c r="AC133" s="21"/>
      <c r="AF133" s="9"/>
      <c r="AG133" s="21"/>
      <c r="AH133" s="21"/>
      <c r="AI133" s="21"/>
      <c r="AJ133" s="21"/>
      <c r="AK133" s="21"/>
      <c r="AP133" s="9"/>
      <c r="AQ133" s="21"/>
      <c r="AR133" s="21"/>
      <c r="AS133" s="21"/>
      <c r="AT133" s="21"/>
      <c r="AU133" s="21"/>
      <c r="AX133" s="9"/>
      <c r="AY133" s="21"/>
      <c r="AZ133" s="21"/>
      <c r="BA133" s="21"/>
      <c r="BB133" s="21"/>
      <c r="BC133" s="21"/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/>
      <c r="H134" s="21"/>
      <c r="I134" s="21"/>
      <c r="J134" s="21"/>
      <c r="K134" s="21"/>
      <c r="N134" s="9"/>
      <c r="O134" s="21"/>
      <c r="P134" s="21"/>
      <c r="Q134" s="21"/>
      <c r="R134" s="21"/>
      <c r="S134" s="21"/>
      <c r="X134" s="9"/>
      <c r="Y134" s="21"/>
      <c r="Z134" s="21"/>
      <c r="AA134" s="21"/>
      <c r="AB134" s="21"/>
      <c r="AC134" s="21"/>
      <c r="AF134" s="9"/>
      <c r="AG134" s="21"/>
      <c r="AH134" s="21"/>
      <c r="AI134" s="21"/>
      <c r="AJ134" s="21"/>
      <c r="AK134" s="21"/>
      <c r="AP134" s="9"/>
      <c r="AQ134" s="21"/>
      <c r="AR134" s="21"/>
      <c r="AS134" s="21"/>
      <c r="AT134" s="21"/>
      <c r="AU134" s="21"/>
      <c r="AX134" s="9"/>
      <c r="AY134" s="21"/>
      <c r="AZ134" s="21"/>
      <c r="BA134" s="21"/>
      <c r="BB134" s="21"/>
      <c r="BC134" s="21"/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/>
      <c r="H135" s="21"/>
      <c r="I135" s="21"/>
      <c r="J135" s="21"/>
      <c r="K135" s="21"/>
      <c r="N135" s="9"/>
      <c r="O135" s="21"/>
      <c r="P135" s="21"/>
      <c r="Q135" s="21"/>
      <c r="R135" s="21"/>
      <c r="S135" s="21"/>
      <c r="X135" s="9"/>
      <c r="Y135" s="21"/>
      <c r="Z135" s="21"/>
      <c r="AA135" s="21"/>
      <c r="AB135" s="21"/>
      <c r="AC135" s="21"/>
      <c r="AF135" s="9"/>
      <c r="AG135" s="21"/>
      <c r="AH135" s="21"/>
      <c r="AI135" s="21"/>
      <c r="AJ135" s="21"/>
      <c r="AK135" s="21"/>
      <c r="AP135" s="9"/>
      <c r="AQ135" s="21"/>
      <c r="AR135" s="21"/>
      <c r="AS135" s="21"/>
      <c r="AT135" s="21"/>
      <c r="AU135" s="21"/>
      <c r="AX135" s="9"/>
      <c r="AY135" s="21"/>
      <c r="AZ135" s="21"/>
      <c r="BA135" s="21"/>
      <c r="BB135" s="21"/>
      <c r="BC135" s="21"/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/>
      <c r="H136" s="21"/>
      <c r="I136" s="21"/>
      <c r="J136" s="21"/>
      <c r="K136" s="21"/>
      <c r="N136" s="9"/>
      <c r="O136" s="21"/>
      <c r="P136" s="21"/>
      <c r="Q136" s="21"/>
      <c r="R136" s="21"/>
      <c r="S136" s="21"/>
      <c r="X136" s="9"/>
      <c r="Y136" s="21"/>
      <c r="Z136" s="21"/>
      <c r="AA136" s="21"/>
      <c r="AB136" s="21"/>
      <c r="AC136" s="21"/>
      <c r="AF136" s="9"/>
      <c r="AG136" s="21"/>
      <c r="AH136" s="21"/>
      <c r="AI136" s="21"/>
      <c r="AJ136" s="21"/>
      <c r="AK136" s="21"/>
      <c r="AP136" s="9"/>
      <c r="AQ136" s="21"/>
      <c r="AR136" s="21"/>
      <c r="AS136" s="21"/>
      <c r="AT136" s="21"/>
      <c r="AU136" s="21"/>
      <c r="AX136" s="9"/>
      <c r="AY136" s="21"/>
      <c r="AZ136" s="21"/>
      <c r="BA136" s="21"/>
      <c r="BB136" s="21"/>
      <c r="BC136" s="21"/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/>
      <c r="H137" s="21"/>
      <c r="I137" s="21"/>
      <c r="J137" s="21"/>
      <c r="K137" s="21"/>
      <c r="N137" s="9"/>
      <c r="O137" s="21"/>
      <c r="P137" s="21"/>
      <c r="Q137" s="21"/>
      <c r="R137" s="21"/>
      <c r="S137" s="21"/>
      <c r="X137" s="9"/>
      <c r="Y137" s="21"/>
      <c r="Z137" s="21"/>
      <c r="AA137" s="21"/>
      <c r="AB137" s="21"/>
      <c r="AC137" s="21"/>
      <c r="AF137" s="9"/>
      <c r="AG137" s="21"/>
      <c r="AH137" s="21"/>
      <c r="AI137" s="21"/>
      <c r="AJ137" s="21"/>
      <c r="AK137" s="21"/>
      <c r="AP137" s="9"/>
      <c r="AQ137" s="21"/>
      <c r="AR137" s="21"/>
      <c r="AS137" s="21"/>
      <c r="AT137" s="21"/>
      <c r="AU137" s="21"/>
      <c r="AX137" s="9"/>
      <c r="AY137" s="21"/>
      <c r="AZ137" s="21"/>
      <c r="BA137" s="21"/>
      <c r="BB137" s="21"/>
      <c r="BC137" s="21"/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/>
      <c r="H138" s="21"/>
      <c r="I138" s="21"/>
      <c r="J138" s="21"/>
      <c r="K138" s="21"/>
      <c r="N138" s="9"/>
      <c r="O138" s="21"/>
      <c r="P138" s="21"/>
      <c r="Q138" s="21"/>
      <c r="R138" s="21"/>
      <c r="S138" s="21"/>
      <c r="X138" s="9"/>
      <c r="Y138" s="21"/>
      <c r="Z138" s="21"/>
      <c r="AA138" s="21"/>
      <c r="AB138" s="21"/>
      <c r="AC138" s="21"/>
      <c r="AF138" s="9"/>
      <c r="AG138" s="21"/>
      <c r="AH138" s="21"/>
      <c r="AI138" s="21"/>
      <c r="AJ138" s="21"/>
      <c r="AK138" s="21"/>
      <c r="AP138" s="9"/>
      <c r="AQ138" s="21"/>
      <c r="AR138" s="21"/>
      <c r="AS138" s="21"/>
      <c r="AT138" s="21"/>
      <c r="AU138" s="21"/>
      <c r="AX138" s="9"/>
      <c r="AY138" s="21"/>
      <c r="AZ138" s="21"/>
      <c r="BA138" s="21"/>
      <c r="BB138" s="21"/>
      <c r="BC138" s="21"/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/>
      <c r="H139" s="21"/>
      <c r="I139" s="21"/>
      <c r="J139" s="21"/>
      <c r="K139" s="21"/>
      <c r="N139" s="9"/>
      <c r="O139" s="21"/>
      <c r="P139" s="21"/>
      <c r="Q139" s="21"/>
      <c r="R139" s="21"/>
      <c r="S139" s="21"/>
      <c r="X139" s="9"/>
      <c r="Y139" s="21"/>
      <c r="Z139" s="21"/>
      <c r="AA139" s="21"/>
      <c r="AB139" s="21"/>
      <c r="AC139" s="21"/>
      <c r="AF139" s="9"/>
      <c r="AG139" s="21"/>
      <c r="AH139" s="21"/>
      <c r="AI139" s="21"/>
      <c r="AJ139" s="21"/>
      <c r="AK139" s="21"/>
      <c r="AP139" s="9"/>
      <c r="AQ139" s="21"/>
      <c r="AR139" s="21"/>
      <c r="AS139" s="21"/>
      <c r="AT139" s="21"/>
      <c r="AU139" s="21"/>
      <c r="AX139" s="9"/>
      <c r="AY139" s="21"/>
      <c r="AZ139" s="21"/>
      <c r="BA139" s="21"/>
      <c r="BB139" s="21"/>
      <c r="BC139" s="21"/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/>
      <c r="H140" s="21"/>
      <c r="I140" s="21"/>
      <c r="J140" s="21"/>
      <c r="K140" s="21"/>
      <c r="N140" s="9"/>
      <c r="O140" s="21"/>
      <c r="P140" s="21"/>
      <c r="Q140" s="21"/>
      <c r="R140" s="21"/>
      <c r="S140" s="21"/>
      <c r="X140" s="9"/>
      <c r="Y140" s="21"/>
      <c r="Z140" s="21"/>
      <c r="AA140" s="21"/>
      <c r="AB140" s="21"/>
      <c r="AC140" s="21"/>
      <c r="AF140" s="9"/>
      <c r="AG140" s="21"/>
      <c r="AH140" s="21"/>
      <c r="AI140" s="21"/>
      <c r="AJ140" s="21"/>
      <c r="AK140" s="21"/>
      <c r="AP140" s="9"/>
      <c r="AQ140" s="21"/>
      <c r="AR140" s="21"/>
      <c r="AS140" s="21"/>
      <c r="AT140" s="21"/>
      <c r="AU140" s="21"/>
      <c r="AX140" s="9"/>
      <c r="AY140" s="21"/>
      <c r="AZ140" s="21"/>
      <c r="BA140" s="21"/>
      <c r="BB140" s="21"/>
      <c r="BC140" s="21"/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/>
      <c r="H141" s="21"/>
      <c r="I141" s="21"/>
      <c r="J141" s="21"/>
      <c r="K141" s="21"/>
      <c r="N141" s="9"/>
      <c r="O141" s="21"/>
      <c r="P141" s="21"/>
      <c r="Q141" s="21"/>
      <c r="R141" s="21"/>
      <c r="S141" s="21"/>
      <c r="X141" s="9"/>
      <c r="Y141" s="21"/>
      <c r="Z141" s="21"/>
      <c r="AA141" s="21"/>
      <c r="AB141" s="21"/>
      <c r="AC141" s="21"/>
      <c r="AF141" s="9"/>
      <c r="AG141" s="21"/>
      <c r="AH141" s="21"/>
      <c r="AI141" s="21"/>
      <c r="AJ141" s="21"/>
      <c r="AK141" s="21"/>
      <c r="AP141" s="9"/>
      <c r="AQ141" s="21"/>
      <c r="AR141" s="21"/>
      <c r="AS141" s="21"/>
      <c r="AT141" s="21"/>
      <c r="AU141" s="21"/>
      <c r="AX141" s="9"/>
      <c r="AY141" s="21"/>
      <c r="AZ141" s="21"/>
      <c r="BA141" s="21"/>
      <c r="BB141" s="21"/>
      <c r="BC141" s="21"/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/>
      <c r="H142" s="21"/>
      <c r="I142" s="21"/>
      <c r="J142" s="21"/>
      <c r="K142" s="21"/>
      <c r="N142" s="9"/>
      <c r="O142" s="21"/>
      <c r="P142" s="21"/>
      <c r="Q142" s="21"/>
      <c r="R142" s="21"/>
      <c r="S142" s="21"/>
      <c r="X142" s="9"/>
      <c r="Y142" s="21"/>
      <c r="Z142" s="21"/>
      <c r="AA142" s="21"/>
      <c r="AB142" s="21"/>
      <c r="AC142" s="21"/>
      <c r="AF142" s="9"/>
      <c r="AG142" s="21"/>
      <c r="AH142" s="21"/>
      <c r="AI142" s="21"/>
      <c r="AJ142" s="21"/>
      <c r="AK142" s="21"/>
      <c r="AP142" s="9"/>
      <c r="AQ142" s="21"/>
      <c r="AR142" s="21"/>
      <c r="AS142" s="21"/>
      <c r="AT142" s="21"/>
      <c r="AU142" s="21"/>
      <c r="AX142" s="9"/>
      <c r="AY142" s="21"/>
      <c r="AZ142" s="21"/>
      <c r="BA142" s="21"/>
      <c r="BB142" s="21"/>
      <c r="BC142" s="21"/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/>
      <c r="H143" s="21"/>
      <c r="I143" s="21"/>
      <c r="J143" s="21"/>
      <c r="K143" s="21"/>
      <c r="N143" s="9"/>
      <c r="O143" s="21"/>
      <c r="P143" s="21"/>
      <c r="Q143" s="21"/>
      <c r="R143" s="21"/>
      <c r="S143" s="21"/>
      <c r="X143" s="9"/>
      <c r="Y143" s="21"/>
      <c r="Z143" s="21"/>
      <c r="AA143" s="21"/>
      <c r="AB143" s="21"/>
      <c r="AC143" s="21"/>
      <c r="AF143" s="9"/>
      <c r="AG143" s="21"/>
      <c r="AH143" s="21"/>
      <c r="AI143" s="21"/>
      <c r="AJ143" s="21"/>
      <c r="AK143" s="21"/>
      <c r="AP143" s="9"/>
      <c r="AQ143" s="21"/>
      <c r="AR143" s="21"/>
      <c r="AS143" s="21"/>
      <c r="AT143" s="21"/>
      <c r="AU143" s="21"/>
      <c r="AX143" s="9"/>
      <c r="AY143" s="21"/>
      <c r="AZ143" s="21"/>
      <c r="BA143" s="21"/>
      <c r="BB143" s="21"/>
      <c r="BC143" s="21"/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/>
      <c r="H144" s="21"/>
      <c r="I144" s="21"/>
      <c r="J144" s="21"/>
      <c r="K144" s="21"/>
      <c r="N144" s="9"/>
      <c r="O144" s="21"/>
      <c r="P144" s="21"/>
      <c r="Q144" s="21"/>
      <c r="R144" s="21"/>
      <c r="S144" s="21"/>
      <c r="X144" s="9"/>
      <c r="Y144" s="21"/>
      <c r="Z144" s="21"/>
      <c r="AA144" s="21"/>
      <c r="AB144" s="21"/>
      <c r="AC144" s="21"/>
      <c r="AF144" s="9"/>
      <c r="AG144" s="21"/>
      <c r="AH144" s="21"/>
      <c r="AI144" s="21"/>
      <c r="AJ144" s="21"/>
      <c r="AK144" s="21"/>
      <c r="AP144" s="9"/>
      <c r="AQ144" s="21"/>
      <c r="AR144" s="21"/>
      <c r="AS144" s="21"/>
      <c r="AT144" s="21"/>
      <c r="AU144" s="21"/>
      <c r="AX144" s="9"/>
      <c r="AY144" s="21"/>
      <c r="AZ144" s="21"/>
      <c r="BA144" s="21"/>
      <c r="BB144" s="21"/>
      <c r="BC144" s="21"/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/>
      <c r="H145" s="21"/>
      <c r="I145" s="21"/>
      <c r="J145" s="21"/>
      <c r="K145" s="21"/>
      <c r="N145" s="9"/>
      <c r="O145" s="21"/>
      <c r="P145" s="21"/>
      <c r="Q145" s="21"/>
      <c r="R145" s="21"/>
      <c r="S145" s="21"/>
      <c r="X145" s="9"/>
      <c r="Y145" s="21"/>
      <c r="Z145" s="21"/>
      <c r="AA145" s="21"/>
      <c r="AB145" s="21"/>
      <c r="AC145" s="21"/>
      <c r="AF145" s="9"/>
      <c r="AG145" s="21"/>
      <c r="AH145" s="21"/>
      <c r="AI145" s="21"/>
      <c r="AJ145" s="21"/>
      <c r="AK145" s="21"/>
      <c r="AP145" s="9"/>
      <c r="AQ145" s="21"/>
      <c r="AR145" s="21"/>
      <c r="AS145" s="21"/>
      <c r="AT145" s="21"/>
      <c r="AU145" s="21"/>
      <c r="AX145" s="9"/>
      <c r="AY145" s="21"/>
      <c r="AZ145" s="21"/>
      <c r="BA145" s="21"/>
      <c r="BB145" s="21"/>
      <c r="BC145" s="21"/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/>
      <c r="H146" s="21"/>
      <c r="I146" s="21"/>
      <c r="J146" s="21"/>
      <c r="K146" s="21"/>
      <c r="N146" s="9"/>
      <c r="O146" s="21"/>
      <c r="P146" s="21"/>
      <c r="Q146" s="21"/>
      <c r="R146" s="21"/>
      <c r="S146" s="21"/>
      <c r="X146" s="9"/>
      <c r="Y146" s="21"/>
      <c r="Z146" s="21"/>
      <c r="AA146" s="21"/>
      <c r="AB146" s="21"/>
      <c r="AC146" s="21"/>
      <c r="AF146" s="9"/>
      <c r="AG146" s="21"/>
      <c r="AH146" s="21"/>
      <c r="AI146" s="21"/>
      <c r="AJ146" s="21"/>
      <c r="AK146" s="21"/>
      <c r="AP146" s="9"/>
      <c r="AQ146" s="21"/>
      <c r="AR146" s="21"/>
      <c r="AS146" s="21"/>
      <c r="AT146" s="21"/>
      <c r="AU146" s="21"/>
      <c r="AX146" s="9"/>
      <c r="AY146" s="21"/>
      <c r="AZ146" s="21"/>
      <c r="BA146" s="21"/>
      <c r="BB146" s="21"/>
      <c r="BC146" s="21"/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/>
      <c r="H147" s="21"/>
      <c r="I147" s="21"/>
      <c r="J147" s="21"/>
      <c r="K147" s="21"/>
      <c r="N147" s="9"/>
      <c r="O147" s="21"/>
      <c r="P147" s="21"/>
      <c r="Q147" s="21"/>
      <c r="R147" s="21"/>
      <c r="S147" s="21"/>
      <c r="X147" s="9"/>
      <c r="Y147" s="21"/>
      <c r="Z147" s="21"/>
      <c r="AA147" s="21"/>
      <c r="AB147" s="21"/>
      <c r="AC147" s="21"/>
      <c r="AF147" s="9"/>
      <c r="AG147" s="21"/>
      <c r="AH147" s="21"/>
      <c r="AI147" s="21"/>
      <c r="AJ147" s="21"/>
      <c r="AK147" s="21"/>
      <c r="AP147" s="9"/>
      <c r="AQ147" s="21"/>
      <c r="AR147" s="21"/>
      <c r="AS147" s="21"/>
      <c r="AT147" s="21"/>
      <c r="AU147" s="21"/>
      <c r="AX147" s="9"/>
      <c r="AY147" s="21"/>
      <c r="AZ147" s="21"/>
      <c r="BA147" s="21"/>
      <c r="BB147" s="21"/>
      <c r="BC147" s="21"/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/>
      <c r="H148" s="21"/>
      <c r="I148" s="21"/>
      <c r="J148" s="21"/>
      <c r="K148" s="21"/>
      <c r="N148" s="9"/>
      <c r="O148" s="21"/>
      <c r="P148" s="21"/>
      <c r="Q148" s="21"/>
      <c r="R148" s="21"/>
      <c r="S148" s="21"/>
      <c r="X148" s="9"/>
      <c r="Y148" s="21"/>
      <c r="Z148" s="21"/>
      <c r="AA148" s="21"/>
      <c r="AB148" s="21"/>
      <c r="AC148" s="21"/>
      <c r="AF148" s="9"/>
      <c r="AG148" s="21"/>
      <c r="AH148" s="21"/>
      <c r="AI148" s="21"/>
      <c r="AJ148" s="21"/>
      <c r="AK148" s="21"/>
      <c r="AP148" s="9"/>
      <c r="AQ148" s="21"/>
      <c r="AR148" s="21"/>
      <c r="AS148" s="21"/>
      <c r="AT148" s="21"/>
      <c r="AU148" s="21"/>
      <c r="AX148" s="9"/>
      <c r="AY148" s="21"/>
      <c r="AZ148" s="21"/>
      <c r="BA148" s="21"/>
      <c r="BB148" s="21"/>
      <c r="BC148" s="21"/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/>
      <c r="H149" s="21"/>
      <c r="I149" s="21"/>
      <c r="J149" s="21"/>
      <c r="K149" s="21"/>
      <c r="N149" s="9"/>
      <c r="O149" s="21"/>
      <c r="P149" s="21"/>
      <c r="Q149" s="21"/>
      <c r="R149" s="21"/>
      <c r="S149" s="21"/>
      <c r="X149" s="9"/>
      <c r="Y149" s="21"/>
      <c r="Z149" s="21"/>
      <c r="AA149" s="21"/>
      <c r="AB149" s="21"/>
      <c r="AC149" s="21"/>
      <c r="AF149" s="9"/>
      <c r="AG149" s="21"/>
      <c r="AH149" s="21"/>
      <c r="AI149" s="21"/>
      <c r="AJ149" s="21"/>
      <c r="AK149" s="21"/>
      <c r="AP149" s="9"/>
      <c r="AQ149" s="21"/>
      <c r="AR149" s="21"/>
      <c r="AS149" s="21"/>
      <c r="AT149" s="21"/>
      <c r="AU149" s="21"/>
      <c r="AX149" s="9"/>
      <c r="AY149" s="21"/>
      <c r="AZ149" s="21"/>
      <c r="BA149" s="21"/>
      <c r="BB149" s="21"/>
      <c r="BC149" s="21"/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/>
      <c r="H150" s="21"/>
      <c r="I150" s="21"/>
      <c r="J150" s="21"/>
      <c r="K150" s="21"/>
      <c r="N150" s="9"/>
      <c r="O150" s="21"/>
      <c r="P150" s="21"/>
      <c r="Q150" s="21"/>
      <c r="R150" s="21"/>
      <c r="S150" s="21"/>
      <c r="X150" s="9"/>
      <c r="Y150" s="21"/>
      <c r="Z150" s="21"/>
      <c r="AA150" s="21"/>
      <c r="AB150" s="21"/>
      <c r="AC150" s="21"/>
      <c r="AF150" s="9"/>
      <c r="AG150" s="21"/>
      <c r="AH150" s="21"/>
      <c r="AI150" s="21"/>
      <c r="AJ150" s="21"/>
      <c r="AK150" s="21"/>
      <c r="AP150" s="9"/>
      <c r="AQ150" s="21"/>
      <c r="AR150" s="21"/>
      <c r="AS150" s="21"/>
      <c r="AT150" s="21"/>
      <c r="AU150" s="21"/>
      <c r="AX150" s="9"/>
      <c r="AY150" s="21"/>
      <c r="AZ150" s="21"/>
      <c r="BA150" s="21"/>
      <c r="BB150" s="21"/>
      <c r="BC150" s="21"/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/>
      <c r="H151" s="21"/>
      <c r="I151" s="21"/>
      <c r="J151" s="21"/>
      <c r="K151" s="21"/>
      <c r="N151" s="9"/>
      <c r="O151" s="21"/>
      <c r="P151" s="21"/>
      <c r="Q151" s="21"/>
      <c r="R151" s="21"/>
      <c r="S151" s="21"/>
      <c r="X151" s="9"/>
      <c r="Y151" s="21"/>
      <c r="Z151" s="21"/>
      <c r="AA151" s="21"/>
      <c r="AB151" s="21"/>
      <c r="AC151" s="21"/>
      <c r="AF151" s="9"/>
      <c r="AG151" s="21"/>
      <c r="AH151" s="21"/>
      <c r="AI151" s="21"/>
      <c r="AJ151" s="21"/>
      <c r="AK151" s="21"/>
      <c r="AP151" s="9"/>
      <c r="AQ151" s="21"/>
      <c r="AR151" s="21"/>
      <c r="AS151" s="21"/>
      <c r="AT151" s="21"/>
      <c r="AU151" s="21"/>
      <c r="AX151" s="9"/>
      <c r="AY151" s="21"/>
      <c r="AZ151" s="21"/>
      <c r="BA151" s="21"/>
      <c r="BB151" s="21"/>
      <c r="BC151" s="21"/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/>
      <c r="H152" s="21"/>
      <c r="I152" s="21"/>
      <c r="J152" s="21"/>
      <c r="K152" s="21"/>
      <c r="N152" s="9"/>
      <c r="O152" s="21"/>
      <c r="P152" s="21"/>
      <c r="Q152" s="21"/>
      <c r="R152" s="21"/>
      <c r="S152" s="21"/>
      <c r="X152" s="9"/>
      <c r="Y152" s="21"/>
      <c r="Z152" s="21"/>
      <c r="AA152" s="21"/>
      <c r="AB152" s="21"/>
      <c r="AC152" s="21"/>
      <c r="AF152" s="9"/>
      <c r="AG152" s="21"/>
      <c r="AH152" s="21"/>
      <c r="AI152" s="21"/>
      <c r="AJ152" s="21"/>
      <c r="AK152" s="21"/>
      <c r="AP152" s="9"/>
      <c r="AQ152" s="21"/>
      <c r="AR152" s="21"/>
      <c r="AS152" s="21"/>
      <c r="AT152" s="21"/>
      <c r="AU152" s="21"/>
      <c r="AX152" s="9"/>
      <c r="AY152" s="21"/>
      <c r="AZ152" s="21"/>
      <c r="BA152" s="21"/>
      <c r="BB152" s="21"/>
      <c r="BC152" s="21"/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/>
      <c r="H153" s="21"/>
      <c r="I153" s="21"/>
      <c r="J153" s="21"/>
      <c r="K153" s="21"/>
      <c r="N153" s="9"/>
      <c r="O153" s="21"/>
      <c r="P153" s="21"/>
      <c r="Q153" s="21"/>
      <c r="R153" s="21"/>
      <c r="S153" s="21"/>
      <c r="X153" s="9"/>
      <c r="Y153" s="21"/>
      <c r="Z153" s="21"/>
      <c r="AA153" s="21"/>
      <c r="AB153" s="21"/>
      <c r="AC153" s="21"/>
      <c r="AF153" s="9"/>
      <c r="AG153" s="21"/>
      <c r="AH153" s="21"/>
      <c r="AI153" s="21"/>
      <c r="AJ153" s="21"/>
      <c r="AK153" s="21"/>
      <c r="AP153" s="9"/>
      <c r="AQ153" s="21"/>
      <c r="AR153" s="21"/>
      <c r="AS153" s="21"/>
      <c r="AT153" s="21"/>
      <c r="AU153" s="21"/>
      <c r="AX153" s="9"/>
      <c r="AY153" s="21"/>
      <c r="AZ153" s="21"/>
      <c r="BA153" s="21"/>
      <c r="BB153" s="21"/>
      <c r="BC153" s="21"/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/>
      <c r="H154" s="21"/>
      <c r="I154" s="21"/>
      <c r="J154" s="21"/>
      <c r="K154" s="21"/>
      <c r="N154" s="9"/>
      <c r="O154" s="21"/>
      <c r="P154" s="21"/>
      <c r="Q154" s="21"/>
      <c r="R154" s="21"/>
      <c r="S154" s="21"/>
      <c r="X154" s="9"/>
      <c r="Y154" s="21"/>
      <c r="Z154" s="21"/>
      <c r="AA154" s="21"/>
      <c r="AB154" s="21"/>
      <c r="AC154" s="21"/>
      <c r="AF154" s="9"/>
      <c r="AG154" s="21"/>
      <c r="AH154" s="21"/>
      <c r="AI154" s="21"/>
      <c r="AJ154" s="21"/>
      <c r="AK154" s="21"/>
      <c r="AP154" s="9"/>
      <c r="AQ154" s="21"/>
      <c r="AR154" s="21"/>
      <c r="AS154" s="21"/>
      <c r="AT154" s="21"/>
      <c r="AU154" s="21"/>
      <c r="AX154" s="9"/>
      <c r="AY154" s="21"/>
      <c r="AZ154" s="21"/>
      <c r="BA154" s="21"/>
      <c r="BB154" s="21"/>
      <c r="BC154" s="21"/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/>
      <c r="H155" s="21"/>
      <c r="I155" s="21"/>
      <c r="J155" s="21"/>
      <c r="K155" s="21"/>
      <c r="N155" s="9"/>
      <c r="O155" s="21"/>
      <c r="P155" s="21"/>
      <c r="Q155" s="21"/>
      <c r="R155" s="21"/>
      <c r="S155" s="21"/>
      <c r="X155" s="9"/>
      <c r="Y155" s="21"/>
      <c r="Z155" s="21"/>
      <c r="AA155" s="21"/>
      <c r="AB155" s="21"/>
      <c r="AC155" s="21"/>
      <c r="AF155" s="9"/>
      <c r="AG155" s="21"/>
      <c r="AH155" s="21"/>
      <c r="AI155" s="21"/>
      <c r="AJ155" s="21"/>
      <c r="AK155" s="21"/>
      <c r="AP155" s="9"/>
      <c r="AQ155" s="21"/>
      <c r="AR155" s="21"/>
      <c r="AS155" s="21"/>
      <c r="AT155" s="21"/>
      <c r="AU155" s="21"/>
      <c r="AX155" s="9"/>
      <c r="AY155" s="21"/>
      <c r="AZ155" s="21"/>
      <c r="BA155" s="21"/>
      <c r="BB155" s="21"/>
      <c r="BC155" s="21"/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/>
      <c r="H156" s="21"/>
      <c r="I156" s="21"/>
      <c r="J156" s="21"/>
      <c r="K156" s="21"/>
      <c r="N156" s="9"/>
      <c r="O156" s="21"/>
      <c r="P156" s="21"/>
      <c r="Q156" s="21"/>
      <c r="R156" s="21"/>
      <c r="S156" s="21"/>
      <c r="X156" s="9"/>
      <c r="Y156" s="21"/>
      <c r="Z156" s="21"/>
      <c r="AA156" s="21"/>
      <c r="AB156" s="21"/>
      <c r="AC156" s="21"/>
      <c r="AF156" s="9"/>
      <c r="AG156" s="21"/>
      <c r="AH156" s="21"/>
      <c r="AI156" s="21"/>
      <c r="AJ156" s="21"/>
      <c r="AK156" s="21"/>
      <c r="AP156" s="9"/>
      <c r="AQ156" s="21"/>
      <c r="AR156" s="21"/>
      <c r="AS156" s="21"/>
      <c r="AT156" s="21"/>
      <c r="AU156" s="21"/>
      <c r="AX156" s="9"/>
      <c r="AY156" s="21"/>
      <c r="AZ156" s="21"/>
      <c r="BA156" s="21"/>
      <c r="BB156" s="21"/>
      <c r="BC156" s="21"/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/>
      <c r="H157" s="21"/>
      <c r="I157" s="21"/>
      <c r="J157" s="21"/>
      <c r="K157" s="21"/>
      <c r="N157" s="9"/>
      <c r="O157" s="21"/>
      <c r="P157" s="21"/>
      <c r="Q157" s="21"/>
      <c r="R157" s="21"/>
      <c r="S157" s="21"/>
      <c r="X157" s="9"/>
      <c r="Y157" s="21"/>
      <c r="Z157" s="21"/>
      <c r="AA157" s="21"/>
      <c r="AB157" s="21"/>
      <c r="AC157" s="21"/>
      <c r="AF157" s="9"/>
      <c r="AG157" s="21"/>
      <c r="AH157" s="21"/>
      <c r="AI157" s="21"/>
      <c r="AJ157" s="21"/>
      <c r="AK157" s="21"/>
      <c r="AP157" s="9"/>
      <c r="AQ157" s="21"/>
      <c r="AR157" s="21"/>
      <c r="AS157" s="21"/>
      <c r="AT157" s="21"/>
      <c r="AU157" s="21"/>
      <c r="AX157" s="9"/>
      <c r="AY157" s="21"/>
      <c r="AZ157" s="21"/>
      <c r="BA157" s="21"/>
      <c r="BB157" s="21"/>
      <c r="BC157" s="21"/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/>
      <c r="H158" s="21"/>
      <c r="I158" s="21"/>
      <c r="J158" s="21"/>
      <c r="K158" s="21"/>
      <c r="N158" s="9"/>
      <c r="O158" s="21"/>
      <c r="P158" s="21"/>
      <c r="Q158" s="21"/>
      <c r="R158" s="21"/>
      <c r="S158" s="21"/>
      <c r="X158" s="9"/>
      <c r="Y158" s="21"/>
      <c r="Z158" s="21"/>
      <c r="AA158" s="21"/>
      <c r="AB158" s="21"/>
      <c r="AC158" s="21"/>
      <c r="AF158" s="9"/>
      <c r="AG158" s="21"/>
      <c r="AH158" s="21"/>
      <c r="AI158" s="21"/>
      <c r="AJ158" s="21"/>
      <c r="AK158" s="21"/>
      <c r="AP158" s="9"/>
      <c r="AQ158" s="21"/>
      <c r="AR158" s="21"/>
      <c r="AS158" s="21"/>
      <c r="AT158" s="21"/>
      <c r="AU158" s="21"/>
      <c r="AX158" s="9"/>
      <c r="AY158" s="21"/>
      <c r="AZ158" s="21"/>
      <c r="BA158" s="21"/>
      <c r="BB158" s="21"/>
      <c r="BC158" s="21"/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/>
      <c r="H159" s="21"/>
      <c r="I159" s="21"/>
      <c r="J159" s="21"/>
      <c r="K159" s="21"/>
      <c r="N159" s="9"/>
      <c r="O159" s="21"/>
      <c r="P159" s="21"/>
      <c r="Q159" s="21"/>
      <c r="R159" s="21"/>
      <c r="S159" s="21"/>
      <c r="X159" s="9"/>
      <c r="Y159" s="21"/>
      <c r="Z159" s="21"/>
      <c r="AA159" s="21"/>
      <c r="AB159" s="21"/>
      <c r="AC159" s="21"/>
      <c r="AF159" s="9"/>
      <c r="AG159" s="21"/>
      <c r="AH159" s="21"/>
      <c r="AI159" s="21"/>
      <c r="AJ159" s="21"/>
      <c r="AK159" s="21"/>
      <c r="AP159" s="9"/>
      <c r="AQ159" s="21"/>
      <c r="AR159" s="21"/>
      <c r="AS159" s="21"/>
      <c r="AT159" s="21"/>
      <c r="AU159" s="21"/>
      <c r="AX159" s="9"/>
      <c r="AY159" s="21"/>
      <c r="AZ159" s="21"/>
      <c r="BA159" s="21"/>
      <c r="BB159" s="21"/>
      <c r="BC159" s="21"/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/>
      <c r="H160" s="21"/>
      <c r="I160" s="21"/>
      <c r="J160" s="21"/>
      <c r="K160" s="21"/>
      <c r="N160" s="9"/>
      <c r="O160" s="21"/>
      <c r="P160" s="21"/>
      <c r="Q160" s="21"/>
      <c r="R160" s="21"/>
      <c r="S160" s="21"/>
      <c r="X160" s="9"/>
      <c r="Y160" s="21"/>
      <c r="Z160" s="21"/>
      <c r="AA160" s="21"/>
      <c r="AB160" s="21"/>
      <c r="AC160" s="21"/>
      <c r="AF160" s="9"/>
      <c r="AG160" s="21"/>
      <c r="AH160" s="21"/>
      <c r="AI160" s="21"/>
      <c r="AJ160" s="21"/>
      <c r="AK160" s="21"/>
      <c r="AP160" s="9"/>
      <c r="AQ160" s="21"/>
      <c r="AR160" s="21"/>
      <c r="AS160" s="21"/>
      <c r="AT160" s="21"/>
      <c r="AU160" s="21"/>
      <c r="AX160" s="9"/>
      <c r="AY160" s="21"/>
      <c r="AZ160" s="21"/>
      <c r="BA160" s="21"/>
      <c r="BB160" s="21"/>
      <c r="BC160" s="21"/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/>
      <c r="H161" s="21"/>
      <c r="I161" s="21"/>
      <c r="J161" s="21"/>
      <c r="K161" s="21"/>
      <c r="N161" s="9"/>
      <c r="O161" s="21"/>
      <c r="P161" s="21"/>
      <c r="Q161" s="21"/>
      <c r="R161" s="21"/>
      <c r="S161" s="21"/>
      <c r="X161" s="9"/>
      <c r="Y161" s="21"/>
      <c r="Z161" s="21"/>
      <c r="AA161" s="21"/>
      <c r="AB161" s="21"/>
      <c r="AC161" s="21"/>
      <c r="AF161" s="9"/>
      <c r="AG161" s="21"/>
      <c r="AH161" s="21"/>
      <c r="AI161" s="21"/>
      <c r="AJ161" s="21"/>
      <c r="AK161" s="21"/>
      <c r="AP161" s="9"/>
      <c r="AQ161" s="21"/>
      <c r="AR161" s="21"/>
      <c r="AS161" s="21"/>
      <c r="AT161" s="21"/>
      <c r="AU161" s="21"/>
      <c r="AX161" s="9"/>
      <c r="AY161" s="21"/>
      <c r="AZ161" s="21"/>
      <c r="BA161" s="21"/>
      <c r="BB161" s="21"/>
      <c r="BC161" s="21"/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/>
      <c r="H162" s="21"/>
      <c r="I162" s="21"/>
      <c r="J162" s="21"/>
      <c r="K162" s="21"/>
      <c r="N162" s="9"/>
      <c r="O162" s="21"/>
      <c r="P162" s="21"/>
      <c r="Q162" s="21"/>
      <c r="R162" s="21"/>
      <c r="S162" s="21"/>
      <c r="X162" s="9"/>
      <c r="Y162" s="21"/>
      <c r="Z162" s="21"/>
      <c r="AA162" s="21"/>
      <c r="AB162" s="21"/>
      <c r="AC162" s="21"/>
      <c r="AF162" s="9"/>
      <c r="AG162" s="21"/>
      <c r="AH162" s="21"/>
      <c r="AI162" s="21"/>
      <c r="AJ162" s="21"/>
      <c r="AK162" s="21"/>
      <c r="AP162" s="9"/>
      <c r="AQ162" s="21"/>
      <c r="AR162" s="21"/>
      <c r="AS162" s="21"/>
      <c r="AT162" s="21"/>
      <c r="AU162" s="21"/>
      <c r="AX162" s="9"/>
      <c r="AY162" s="21"/>
      <c r="AZ162" s="21"/>
      <c r="BA162" s="21"/>
      <c r="BB162" s="21"/>
      <c r="BC162" s="21"/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/>
      <c r="H163" s="21"/>
      <c r="I163" s="21"/>
      <c r="J163" s="21"/>
      <c r="K163" s="21"/>
      <c r="N163" s="9"/>
      <c r="O163" s="21"/>
      <c r="P163" s="21"/>
      <c r="Q163" s="21"/>
      <c r="R163" s="21"/>
      <c r="S163" s="21"/>
      <c r="X163" s="9"/>
      <c r="Y163" s="21"/>
      <c r="Z163" s="21"/>
      <c r="AA163" s="21"/>
      <c r="AB163" s="21"/>
      <c r="AC163" s="21"/>
      <c r="AF163" s="9"/>
      <c r="AG163" s="21"/>
      <c r="AH163" s="21"/>
      <c r="AI163" s="21"/>
      <c r="AJ163" s="21"/>
      <c r="AK163" s="21"/>
      <c r="AP163" s="9"/>
      <c r="AQ163" s="21"/>
      <c r="AR163" s="21"/>
      <c r="AS163" s="21"/>
      <c r="AT163" s="21"/>
      <c r="AU163" s="21"/>
      <c r="AX163" s="9"/>
      <c r="AY163" s="21"/>
      <c r="AZ163" s="21"/>
      <c r="BA163" s="21"/>
      <c r="BB163" s="21"/>
      <c r="BC163" s="21"/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/>
      <c r="H164" s="21"/>
      <c r="I164" s="21"/>
      <c r="J164" s="21"/>
      <c r="K164" s="21"/>
      <c r="N164" s="9"/>
      <c r="O164" s="21"/>
      <c r="P164" s="21"/>
      <c r="Q164" s="21"/>
      <c r="R164" s="21"/>
      <c r="S164" s="21"/>
      <c r="X164" s="9"/>
      <c r="Y164" s="21"/>
      <c r="Z164" s="21"/>
      <c r="AA164" s="21"/>
      <c r="AB164" s="21"/>
      <c r="AC164" s="21"/>
      <c r="AF164" s="9"/>
      <c r="AG164" s="21"/>
      <c r="AH164" s="21"/>
      <c r="AI164" s="21"/>
      <c r="AJ164" s="21"/>
      <c r="AK164" s="21"/>
      <c r="AP164" s="9"/>
      <c r="AQ164" s="21"/>
      <c r="AR164" s="21"/>
      <c r="AS164" s="21"/>
      <c r="AT164" s="21"/>
      <c r="AU164" s="21"/>
      <c r="AX164" s="9"/>
      <c r="AY164" s="21"/>
      <c r="AZ164" s="21"/>
      <c r="BA164" s="21"/>
      <c r="BB164" s="21"/>
      <c r="BC164" s="21"/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/>
      <c r="H165" s="21"/>
      <c r="I165" s="21"/>
      <c r="J165" s="21"/>
      <c r="K165" s="21"/>
      <c r="N165" s="9"/>
      <c r="O165" s="21"/>
      <c r="P165" s="21"/>
      <c r="Q165" s="21"/>
      <c r="R165" s="21"/>
      <c r="S165" s="21"/>
      <c r="X165" s="9"/>
      <c r="Y165" s="21"/>
      <c r="Z165" s="21"/>
      <c r="AA165" s="21"/>
      <c r="AB165" s="21"/>
      <c r="AC165" s="21"/>
      <c r="AF165" s="9"/>
      <c r="AG165" s="21"/>
      <c r="AH165" s="21"/>
      <c r="AI165" s="21"/>
      <c r="AJ165" s="21"/>
      <c r="AK165" s="21"/>
      <c r="AP165" s="9"/>
      <c r="AQ165" s="21"/>
      <c r="AR165" s="21"/>
      <c r="AS165" s="21"/>
      <c r="AT165" s="21"/>
      <c r="AU165" s="21"/>
      <c r="AX165" s="9"/>
      <c r="AY165" s="21"/>
      <c r="AZ165" s="21"/>
      <c r="BA165" s="21"/>
      <c r="BB165" s="21"/>
      <c r="BC165" s="21"/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/>
      <c r="H166" s="21"/>
      <c r="I166" s="21"/>
      <c r="J166" s="21"/>
      <c r="K166" s="21"/>
      <c r="N166" s="9"/>
      <c r="O166" s="21"/>
      <c r="P166" s="21"/>
      <c r="Q166" s="21"/>
      <c r="R166" s="21"/>
      <c r="S166" s="21"/>
      <c r="X166" s="9"/>
      <c r="Y166" s="21"/>
      <c r="Z166" s="21"/>
      <c r="AA166" s="21"/>
      <c r="AB166" s="21"/>
      <c r="AC166" s="21"/>
      <c r="AF166" s="9"/>
      <c r="AG166" s="21"/>
      <c r="AH166" s="21"/>
      <c r="AI166" s="21"/>
      <c r="AJ166" s="21"/>
      <c r="AK166" s="21"/>
      <c r="AP166" s="9"/>
      <c r="AQ166" s="21"/>
      <c r="AR166" s="21"/>
      <c r="AS166" s="21"/>
      <c r="AT166" s="21"/>
      <c r="AU166" s="21"/>
      <c r="AX166" s="9"/>
      <c r="AY166" s="21"/>
      <c r="AZ166" s="21"/>
      <c r="BA166" s="21"/>
      <c r="BB166" s="21"/>
      <c r="BC166" s="21"/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/>
      <c r="H167" s="21"/>
      <c r="I167" s="21"/>
      <c r="J167" s="21"/>
      <c r="K167" s="21"/>
      <c r="N167" s="9"/>
      <c r="O167" s="21"/>
      <c r="P167" s="21"/>
      <c r="Q167" s="21"/>
      <c r="R167" s="21"/>
      <c r="S167" s="21"/>
      <c r="X167" s="9"/>
      <c r="Y167" s="21"/>
      <c r="Z167" s="21"/>
      <c r="AA167" s="21"/>
      <c r="AB167" s="21"/>
      <c r="AC167" s="21"/>
      <c r="AF167" s="9"/>
      <c r="AG167" s="21"/>
      <c r="AH167" s="21"/>
      <c r="AI167" s="21"/>
      <c r="AJ167" s="21"/>
      <c r="AK167" s="21"/>
      <c r="AP167" s="9"/>
      <c r="AQ167" s="21"/>
      <c r="AR167" s="21"/>
      <c r="AS167" s="21"/>
      <c r="AT167" s="21"/>
      <c r="AU167" s="21"/>
      <c r="AX167" s="9"/>
      <c r="AY167" s="21"/>
      <c r="AZ167" s="21"/>
      <c r="BA167" s="21"/>
      <c r="BB167" s="21"/>
      <c r="BC167" s="21"/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/>
      <c r="H168" s="21"/>
      <c r="I168" s="21"/>
      <c r="J168" s="21"/>
      <c r="K168" s="21"/>
      <c r="N168" s="9"/>
      <c r="O168" s="21"/>
      <c r="P168" s="21"/>
      <c r="Q168" s="21"/>
      <c r="R168" s="21"/>
      <c r="S168" s="21"/>
      <c r="X168" s="9"/>
      <c r="Y168" s="21"/>
      <c r="Z168" s="21"/>
      <c r="AA168" s="21"/>
      <c r="AB168" s="21"/>
      <c r="AC168" s="21"/>
      <c r="AF168" s="9"/>
      <c r="AG168" s="21"/>
      <c r="AH168" s="21"/>
      <c r="AI168" s="21"/>
      <c r="AJ168" s="21"/>
      <c r="AK168" s="21"/>
      <c r="AP168" s="9"/>
      <c r="AQ168" s="21"/>
      <c r="AR168" s="21"/>
      <c r="AS168" s="21"/>
      <c r="AT168" s="21"/>
      <c r="AU168" s="21"/>
      <c r="AX168" s="9"/>
      <c r="AY168" s="21"/>
      <c r="AZ168" s="21"/>
      <c r="BA168" s="21"/>
      <c r="BB168" s="21"/>
      <c r="BC168" s="21"/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/>
      <c r="H169" s="21"/>
      <c r="I169" s="21"/>
      <c r="J169" s="21"/>
      <c r="K169" s="21"/>
      <c r="N169" s="9"/>
      <c r="O169" s="21"/>
      <c r="P169" s="21"/>
      <c r="Q169" s="21"/>
      <c r="R169" s="21"/>
      <c r="S169" s="21"/>
      <c r="X169" s="9"/>
      <c r="Y169" s="21"/>
      <c r="Z169" s="21"/>
      <c r="AA169" s="21"/>
      <c r="AB169" s="21"/>
      <c r="AC169" s="21"/>
      <c r="AF169" s="9"/>
      <c r="AG169" s="21"/>
      <c r="AH169" s="21"/>
      <c r="AI169" s="21"/>
      <c r="AJ169" s="21"/>
      <c r="AK169" s="21"/>
      <c r="AP169" s="9"/>
      <c r="AQ169" s="21"/>
      <c r="AR169" s="21"/>
      <c r="AS169" s="21"/>
      <c r="AT169" s="21"/>
      <c r="AU169" s="21"/>
      <c r="AX169" s="9"/>
      <c r="AY169" s="21"/>
      <c r="AZ169" s="21"/>
      <c r="BA169" s="21"/>
      <c r="BB169" s="21"/>
      <c r="BC169" s="21"/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/>
      <c r="H170" s="21"/>
      <c r="I170" s="21"/>
      <c r="J170" s="21"/>
      <c r="K170" s="21"/>
      <c r="N170" s="9"/>
      <c r="O170" s="21"/>
      <c r="P170" s="21"/>
      <c r="Q170" s="21"/>
      <c r="R170" s="21"/>
      <c r="S170" s="21"/>
      <c r="X170" s="9"/>
      <c r="Y170" s="21"/>
      <c r="Z170" s="21"/>
      <c r="AA170" s="21"/>
      <c r="AB170" s="21"/>
      <c r="AC170" s="21"/>
      <c r="AF170" s="9"/>
      <c r="AG170" s="21"/>
      <c r="AH170" s="21"/>
      <c r="AI170" s="21"/>
      <c r="AJ170" s="21"/>
      <c r="AK170" s="21"/>
      <c r="AP170" s="9"/>
      <c r="AQ170" s="21"/>
      <c r="AR170" s="21"/>
      <c r="AS170" s="21"/>
      <c r="AT170" s="21"/>
      <c r="AU170" s="21"/>
      <c r="AX170" s="9"/>
      <c r="AY170" s="21"/>
      <c r="AZ170" s="21"/>
      <c r="BA170" s="21"/>
      <c r="BB170" s="21"/>
      <c r="BC170" s="21"/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/>
      <c r="H171" s="21"/>
      <c r="I171" s="21"/>
      <c r="J171" s="21"/>
      <c r="K171" s="21"/>
      <c r="N171" s="9"/>
      <c r="O171" s="21"/>
      <c r="P171" s="21"/>
      <c r="Q171" s="21"/>
      <c r="R171" s="21"/>
      <c r="S171" s="21"/>
      <c r="X171" s="9"/>
      <c r="Y171" s="21"/>
      <c r="Z171" s="21"/>
      <c r="AA171" s="21"/>
      <c r="AB171" s="21"/>
      <c r="AC171" s="21"/>
      <c r="AF171" s="9"/>
      <c r="AG171" s="21"/>
      <c r="AH171" s="21"/>
      <c r="AI171" s="21"/>
      <c r="AJ171" s="21"/>
      <c r="AK171" s="21"/>
      <c r="AP171" s="9"/>
      <c r="AQ171" s="21"/>
      <c r="AR171" s="21"/>
      <c r="AS171" s="21"/>
      <c r="AT171" s="21"/>
      <c r="AU171" s="21"/>
      <c r="AX171" s="9"/>
      <c r="AY171" s="21"/>
      <c r="AZ171" s="21"/>
      <c r="BA171" s="21"/>
      <c r="BB171" s="21"/>
      <c r="BC171" s="21"/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/>
      <c r="H172" s="21"/>
      <c r="I172" s="21"/>
      <c r="J172" s="21"/>
      <c r="K172" s="21"/>
      <c r="N172" s="9"/>
      <c r="O172" s="21"/>
      <c r="P172" s="21"/>
      <c r="Q172" s="21"/>
      <c r="R172" s="21"/>
      <c r="S172" s="21"/>
      <c r="X172" s="9"/>
      <c r="Y172" s="21"/>
      <c r="Z172" s="21"/>
      <c r="AA172" s="21"/>
      <c r="AB172" s="21"/>
      <c r="AC172" s="21"/>
      <c r="AF172" s="9"/>
      <c r="AG172" s="21"/>
      <c r="AH172" s="21"/>
      <c r="AI172" s="21"/>
      <c r="AJ172" s="21"/>
      <c r="AK172" s="21"/>
      <c r="AP172" s="9"/>
      <c r="AQ172" s="21"/>
      <c r="AR172" s="21"/>
      <c r="AS172" s="21"/>
      <c r="AT172" s="21"/>
      <c r="AU172" s="21"/>
      <c r="AX172" s="9"/>
      <c r="AY172" s="21"/>
      <c r="AZ172" s="21"/>
      <c r="BA172" s="21"/>
      <c r="BB172" s="21"/>
      <c r="BC172" s="21"/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/>
      <c r="H173" s="21"/>
      <c r="I173" s="21"/>
      <c r="J173" s="21"/>
      <c r="K173" s="21"/>
      <c r="N173" s="9"/>
      <c r="O173" s="21"/>
      <c r="P173" s="21"/>
      <c r="Q173" s="21"/>
      <c r="R173" s="21"/>
      <c r="S173" s="21"/>
      <c r="X173" s="9"/>
      <c r="Y173" s="21"/>
      <c r="Z173" s="21"/>
      <c r="AA173" s="21"/>
      <c r="AB173" s="21"/>
      <c r="AC173" s="21"/>
      <c r="AF173" s="9"/>
      <c r="AG173" s="21"/>
      <c r="AH173" s="21"/>
      <c r="AI173" s="21"/>
      <c r="AJ173" s="21"/>
      <c r="AK173" s="21"/>
      <c r="AP173" s="9"/>
      <c r="AQ173" s="21"/>
      <c r="AR173" s="21"/>
      <c r="AS173" s="21"/>
      <c r="AT173" s="21"/>
      <c r="AU173" s="21"/>
      <c r="AX173" s="9"/>
      <c r="AY173" s="21"/>
      <c r="AZ173" s="21"/>
      <c r="BA173" s="21"/>
      <c r="BB173" s="21"/>
      <c r="BC173" s="21"/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/>
      <c r="H174" s="21"/>
      <c r="I174" s="21"/>
      <c r="J174" s="21"/>
      <c r="K174" s="21"/>
      <c r="N174" s="9"/>
      <c r="O174" s="21"/>
      <c r="P174" s="21"/>
      <c r="Q174" s="21"/>
      <c r="R174" s="21"/>
      <c r="S174" s="21"/>
      <c r="X174" s="9"/>
      <c r="Y174" s="21"/>
      <c r="Z174" s="21"/>
      <c r="AA174" s="21"/>
      <c r="AB174" s="21"/>
      <c r="AC174" s="21"/>
      <c r="AF174" s="9"/>
      <c r="AG174" s="21"/>
      <c r="AH174" s="21"/>
      <c r="AI174" s="21"/>
      <c r="AJ174" s="21"/>
      <c r="AK174" s="21"/>
      <c r="AP174" s="9"/>
      <c r="AQ174" s="21"/>
      <c r="AR174" s="21"/>
      <c r="AS174" s="21"/>
      <c r="AT174" s="21"/>
      <c r="AU174" s="21"/>
      <c r="AX174" s="9"/>
      <c r="AY174" s="21"/>
      <c r="AZ174" s="21"/>
      <c r="BA174" s="21"/>
      <c r="BB174" s="21"/>
      <c r="BC174" s="21"/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/>
      <c r="H175" s="21"/>
      <c r="I175" s="21"/>
      <c r="J175" s="21"/>
      <c r="K175" s="21"/>
      <c r="N175" s="9"/>
      <c r="O175" s="21"/>
      <c r="P175" s="21"/>
      <c r="Q175" s="21"/>
      <c r="R175" s="21"/>
      <c r="S175" s="21"/>
      <c r="X175" s="9"/>
      <c r="Y175" s="21"/>
      <c r="Z175" s="21"/>
      <c r="AA175" s="21"/>
      <c r="AB175" s="21"/>
      <c r="AC175" s="21"/>
      <c r="AF175" s="9"/>
      <c r="AG175" s="21"/>
      <c r="AH175" s="21"/>
      <c r="AI175" s="21"/>
      <c r="AJ175" s="21"/>
      <c r="AK175" s="21"/>
      <c r="AP175" s="9"/>
      <c r="AQ175" s="21"/>
      <c r="AR175" s="21"/>
      <c r="AS175" s="21"/>
      <c r="AT175" s="21"/>
      <c r="AU175" s="21"/>
      <c r="AX175" s="9"/>
      <c r="AY175" s="21"/>
      <c r="AZ175" s="21"/>
      <c r="BA175" s="21"/>
      <c r="BB175" s="21"/>
      <c r="BC175" s="21"/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/>
      <c r="H176" s="21"/>
      <c r="I176" s="21"/>
      <c r="J176" s="21"/>
      <c r="K176" s="21"/>
      <c r="N176" s="9"/>
      <c r="O176" s="21"/>
      <c r="P176" s="21"/>
      <c r="Q176" s="21"/>
      <c r="R176" s="21"/>
      <c r="S176" s="21"/>
      <c r="X176" s="9"/>
      <c r="Y176" s="21"/>
      <c r="Z176" s="21"/>
      <c r="AA176" s="21"/>
      <c r="AB176" s="21"/>
      <c r="AC176" s="21"/>
      <c r="AF176" s="9"/>
      <c r="AG176" s="21"/>
      <c r="AH176" s="21"/>
      <c r="AI176" s="21"/>
      <c r="AJ176" s="21"/>
      <c r="AK176" s="21"/>
      <c r="AP176" s="9"/>
      <c r="AQ176" s="21"/>
      <c r="AR176" s="21"/>
      <c r="AS176" s="21"/>
      <c r="AT176" s="21"/>
      <c r="AU176" s="21"/>
      <c r="AX176" s="9"/>
      <c r="AY176" s="21"/>
      <c r="AZ176" s="21"/>
      <c r="BA176" s="21"/>
      <c r="BB176" s="21"/>
      <c r="BC176" s="21"/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/>
      <c r="H177" s="21"/>
      <c r="I177" s="21"/>
      <c r="J177" s="21"/>
      <c r="K177" s="21"/>
      <c r="N177" s="9"/>
      <c r="O177" s="21"/>
      <c r="P177" s="21"/>
      <c r="Q177" s="21"/>
      <c r="R177" s="21"/>
      <c r="S177" s="21"/>
      <c r="X177" s="9"/>
      <c r="Y177" s="21"/>
      <c r="Z177" s="21"/>
      <c r="AA177" s="21"/>
      <c r="AB177" s="21"/>
      <c r="AC177" s="21"/>
      <c r="AF177" s="9"/>
      <c r="AG177" s="21"/>
      <c r="AH177" s="21"/>
      <c r="AI177" s="21"/>
      <c r="AJ177" s="21"/>
      <c r="AK177" s="21"/>
      <c r="AP177" s="9"/>
      <c r="AQ177" s="21"/>
      <c r="AR177" s="21"/>
      <c r="AS177" s="21"/>
      <c r="AT177" s="21"/>
      <c r="AU177" s="21"/>
      <c r="AX177" s="9"/>
      <c r="AY177" s="21"/>
      <c r="AZ177" s="21"/>
      <c r="BA177" s="21"/>
      <c r="BB177" s="21"/>
      <c r="BC177" s="21"/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/>
      <c r="H178" s="21"/>
      <c r="I178" s="21"/>
      <c r="J178" s="21"/>
      <c r="K178" s="21"/>
      <c r="N178" s="9"/>
      <c r="O178" s="21"/>
      <c r="P178" s="21"/>
      <c r="Q178" s="21"/>
      <c r="R178" s="21"/>
      <c r="S178" s="21"/>
      <c r="X178" s="9"/>
      <c r="Y178" s="21"/>
      <c r="Z178" s="21"/>
      <c r="AA178" s="21"/>
      <c r="AB178" s="21"/>
      <c r="AC178" s="21"/>
      <c r="AF178" s="9"/>
      <c r="AG178" s="21"/>
      <c r="AH178" s="21"/>
      <c r="AI178" s="21"/>
      <c r="AJ178" s="21"/>
      <c r="AK178" s="21"/>
      <c r="AP178" s="9"/>
      <c r="AQ178" s="21"/>
      <c r="AR178" s="21"/>
      <c r="AS178" s="21"/>
      <c r="AT178" s="21"/>
      <c r="AU178" s="21"/>
      <c r="AX178" s="9"/>
      <c r="AY178" s="21"/>
      <c r="AZ178" s="21"/>
      <c r="BA178" s="21"/>
      <c r="BB178" s="21"/>
      <c r="BC178" s="21"/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/>
      <c r="H179" s="21"/>
      <c r="I179" s="21"/>
      <c r="J179" s="21"/>
      <c r="K179" s="21"/>
      <c r="N179" s="9"/>
      <c r="O179" s="21"/>
      <c r="P179" s="21"/>
      <c r="Q179" s="21"/>
      <c r="R179" s="21"/>
      <c r="S179" s="21"/>
      <c r="X179" s="9"/>
      <c r="Y179" s="21"/>
      <c r="Z179" s="21"/>
      <c r="AA179" s="21"/>
      <c r="AB179" s="21"/>
      <c r="AC179" s="21"/>
      <c r="AF179" s="9"/>
      <c r="AG179" s="21"/>
      <c r="AH179" s="21"/>
      <c r="AI179" s="21"/>
      <c r="AJ179" s="21"/>
      <c r="AK179" s="21"/>
      <c r="AP179" s="9"/>
      <c r="AQ179" s="21"/>
      <c r="AR179" s="21"/>
      <c r="AS179" s="21"/>
      <c r="AT179" s="21"/>
      <c r="AU179" s="21"/>
      <c r="AX179" s="9"/>
      <c r="AY179" s="21"/>
      <c r="AZ179" s="21"/>
      <c r="BA179" s="21"/>
      <c r="BB179" s="21"/>
      <c r="BC179" s="21"/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/>
      <c r="H180" s="21"/>
      <c r="I180" s="21"/>
      <c r="J180" s="21"/>
      <c r="K180" s="21"/>
      <c r="N180" s="9"/>
      <c r="O180" s="21"/>
      <c r="P180" s="21"/>
      <c r="Q180" s="21"/>
      <c r="R180" s="21"/>
      <c r="S180" s="21"/>
      <c r="X180" s="9"/>
      <c r="Y180" s="21"/>
      <c r="Z180" s="21"/>
      <c r="AA180" s="21"/>
      <c r="AB180" s="21"/>
      <c r="AC180" s="21"/>
      <c r="AF180" s="9"/>
      <c r="AG180" s="21"/>
      <c r="AH180" s="21"/>
      <c r="AI180" s="21"/>
      <c r="AJ180" s="21"/>
      <c r="AK180" s="21"/>
      <c r="AP180" s="9"/>
      <c r="AQ180" s="21"/>
      <c r="AR180" s="21"/>
      <c r="AS180" s="21"/>
      <c r="AT180" s="21"/>
      <c r="AU180" s="21"/>
      <c r="AX180" s="9"/>
      <c r="AY180" s="21"/>
      <c r="AZ180" s="21"/>
      <c r="BA180" s="21"/>
      <c r="BB180" s="21"/>
      <c r="BC180" s="21"/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/>
      <c r="H181" s="21"/>
      <c r="I181" s="21"/>
      <c r="J181" s="21"/>
      <c r="K181" s="21"/>
      <c r="N181" s="9"/>
      <c r="O181" s="21"/>
      <c r="P181" s="21"/>
      <c r="Q181" s="21"/>
      <c r="R181" s="21"/>
      <c r="S181" s="21"/>
      <c r="X181" s="9"/>
      <c r="Y181" s="21"/>
      <c r="Z181" s="21"/>
      <c r="AA181" s="21"/>
      <c r="AB181" s="21"/>
      <c r="AC181" s="21"/>
      <c r="AF181" s="9"/>
      <c r="AG181" s="21"/>
      <c r="AH181" s="21"/>
      <c r="AI181" s="21"/>
      <c r="AJ181" s="21"/>
      <c r="AK181" s="21"/>
      <c r="AP181" s="9"/>
      <c r="AQ181" s="21"/>
      <c r="AR181" s="21"/>
      <c r="AS181" s="21"/>
      <c r="AT181" s="21"/>
      <c r="AU181" s="21"/>
      <c r="AX181" s="9"/>
      <c r="AY181" s="21"/>
      <c r="AZ181" s="21"/>
      <c r="BA181" s="21"/>
      <c r="BB181" s="21"/>
      <c r="BC181" s="21"/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/>
      <c r="H182" s="21"/>
      <c r="I182" s="21"/>
      <c r="J182" s="21"/>
      <c r="K182" s="21"/>
      <c r="N182" s="9"/>
      <c r="O182" s="21"/>
      <c r="P182" s="21"/>
      <c r="Q182" s="21"/>
      <c r="R182" s="21"/>
      <c r="S182" s="21"/>
      <c r="X182" s="9"/>
      <c r="Y182" s="21"/>
      <c r="Z182" s="21"/>
      <c r="AA182" s="21"/>
      <c r="AB182" s="21"/>
      <c r="AC182" s="21"/>
      <c r="AF182" s="9"/>
      <c r="AG182" s="21"/>
      <c r="AH182" s="21"/>
      <c r="AI182" s="21"/>
      <c r="AJ182" s="21"/>
      <c r="AK182" s="21"/>
      <c r="AP182" s="9"/>
      <c r="AQ182" s="21"/>
      <c r="AR182" s="21"/>
      <c r="AS182" s="21"/>
      <c r="AT182" s="21"/>
      <c r="AU182" s="21"/>
      <c r="AX182" s="9"/>
      <c r="AY182" s="21"/>
      <c r="AZ182" s="21"/>
      <c r="BA182" s="21"/>
      <c r="BB182" s="21"/>
      <c r="BC182" s="21"/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/>
      <c r="H183" s="21"/>
      <c r="I183" s="21"/>
      <c r="J183" s="21"/>
      <c r="K183" s="21"/>
      <c r="N183" s="9"/>
      <c r="O183" s="21"/>
      <c r="P183" s="21"/>
      <c r="Q183" s="21"/>
      <c r="R183" s="21"/>
      <c r="S183" s="21"/>
      <c r="X183" s="9"/>
      <c r="Y183" s="21"/>
      <c r="Z183" s="21"/>
      <c r="AA183" s="21"/>
      <c r="AB183" s="21"/>
      <c r="AC183" s="21"/>
      <c r="AF183" s="9"/>
      <c r="AG183" s="21"/>
      <c r="AH183" s="21"/>
      <c r="AI183" s="21"/>
      <c r="AJ183" s="21"/>
      <c r="AK183" s="21"/>
      <c r="AP183" s="9"/>
      <c r="AQ183" s="21"/>
      <c r="AR183" s="21"/>
      <c r="AS183" s="21"/>
      <c r="AT183" s="21"/>
      <c r="AU183" s="21"/>
      <c r="AX183" s="9"/>
      <c r="AY183" s="21"/>
      <c r="AZ183" s="21"/>
      <c r="BA183" s="21"/>
      <c r="BB183" s="21"/>
      <c r="BC183" s="21"/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/>
      <c r="H184" s="21"/>
      <c r="I184" s="21"/>
      <c r="J184" s="21"/>
      <c r="K184" s="21"/>
      <c r="N184" s="9"/>
      <c r="O184" s="21"/>
      <c r="P184" s="21"/>
      <c r="Q184" s="21"/>
      <c r="R184" s="21"/>
      <c r="S184" s="21"/>
      <c r="X184" s="9"/>
      <c r="Y184" s="21"/>
      <c r="Z184" s="21"/>
      <c r="AA184" s="21"/>
      <c r="AB184" s="21"/>
      <c r="AC184" s="21"/>
      <c r="AF184" s="9"/>
      <c r="AG184" s="21"/>
      <c r="AH184" s="21"/>
      <c r="AI184" s="21"/>
      <c r="AJ184" s="21"/>
      <c r="AK184" s="21"/>
      <c r="AP184" s="9"/>
      <c r="AQ184" s="21"/>
      <c r="AR184" s="21"/>
      <c r="AS184" s="21"/>
      <c r="AT184" s="21"/>
      <c r="AU184" s="21"/>
      <c r="AX184" s="9"/>
      <c r="AY184" s="21"/>
      <c r="AZ184" s="21"/>
      <c r="BA184" s="21"/>
      <c r="BB184" s="21"/>
      <c r="BC184" s="21"/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/>
      <c r="H185" s="21"/>
      <c r="I185" s="21"/>
      <c r="J185" s="21"/>
      <c r="K185" s="21"/>
      <c r="N185" s="9"/>
      <c r="O185" s="21"/>
      <c r="P185" s="21"/>
      <c r="Q185" s="21"/>
      <c r="R185" s="21"/>
      <c r="S185" s="21"/>
      <c r="X185" s="9"/>
      <c r="Y185" s="21"/>
      <c r="Z185" s="21"/>
      <c r="AA185" s="21"/>
      <c r="AB185" s="21"/>
      <c r="AC185" s="21"/>
      <c r="AF185" s="9"/>
      <c r="AG185" s="21"/>
      <c r="AH185" s="21"/>
      <c r="AI185" s="21"/>
      <c r="AJ185" s="21"/>
      <c r="AK185" s="21"/>
      <c r="AP185" s="9"/>
      <c r="AQ185" s="21"/>
      <c r="AR185" s="21"/>
      <c r="AS185" s="21"/>
      <c r="AT185" s="21"/>
      <c r="AU185" s="21"/>
      <c r="AX185" s="9"/>
      <c r="AY185" s="21"/>
      <c r="AZ185" s="21"/>
      <c r="BA185" s="21"/>
      <c r="BB185" s="21"/>
      <c r="BC185" s="21"/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/>
      <c r="H186" s="21"/>
      <c r="I186" s="21"/>
      <c r="J186" s="21"/>
      <c r="K186" s="21"/>
      <c r="N186" s="9"/>
      <c r="O186" s="21"/>
      <c r="P186" s="21"/>
      <c r="Q186" s="21"/>
      <c r="R186" s="21"/>
      <c r="S186" s="21"/>
      <c r="X186" s="9"/>
      <c r="Y186" s="21"/>
      <c r="Z186" s="21"/>
      <c r="AA186" s="21"/>
      <c r="AB186" s="21"/>
      <c r="AC186" s="21"/>
      <c r="AF186" s="9"/>
      <c r="AG186" s="21"/>
      <c r="AH186" s="21"/>
      <c r="AI186" s="21"/>
      <c r="AJ186" s="21"/>
      <c r="AK186" s="21"/>
      <c r="AP186" s="9"/>
      <c r="AQ186" s="21"/>
      <c r="AR186" s="21"/>
      <c r="AS186" s="21"/>
      <c r="AT186" s="21"/>
      <c r="AU186" s="21"/>
      <c r="AX186" s="9"/>
      <c r="AY186" s="21"/>
      <c r="AZ186" s="21"/>
      <c r="BA186" s="21"/>
      <c r="BB186" s="21"/>
      <c r="BC186" s="21"/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/>
      <c r="H187" s="21"/>
      <c r="I187" s="21"/>
      <c r="J187" s="21"/>
      <c r="K187" s="21"/>
      <c r="N187" s="9"/>
      <c r="O187" s="21"/>
      <c r="P187" s="21"/>
      <c r="Q187" s="21"/>
      <c r="R187" s="21"/>
      <c r="S187" s="21"/>
      <c r="X187" s="9"/>
      <c r="Y187" s="21"/>
      <c r="Z187" s="21"/>
      <c r="AA187" s="21"/>
      <c r="AB187" s="21"/>
      <c r="AC187" s="21"/>
      <c r="AF187" s="9"/>
      <c r="AG187" s="21"/>
      <c r="AH187" s="21"/>
      <c r="AI187" s="21"/>
      <c r="AJ187" s="21"/>
      <c r="AK187" s="21"/>
      <c r="AP187" s="9"/>
      <c r="AQ187" s="21"/>
      <c r="AR187" s="21"/>
      <c r="AS187" s="21"/>
      <c r="AT187" s="21"/>
      <c r="AU187" s="21"/>
      <c r="AX187" s="9"/>
      <c r="AY187" s="21"/>
      <c r="AZ187" s="21"/>
      <c r="BA187" s="21"/>
      <c r="BB187" s="21"/>
      <c r="BC187" s="21"/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/>
      <c r="H188" s="21"/>
      <c r="I188" s="21"/>
      <c r="J188" s="21"/>
      <c r="K188" s="21"/>
      <c r="N188" s="9"/>
      <c r="O188" s="21"/>
      <c r="P188" s="21"/>
      <c r="Q188" s="21"/>
      <c r="R188" s="21"/>
      <c r="S188" s="21"/>
      <c r="X188" s="9"/>
      <c r="Y188" s="21"/>
      <c r="Z188" s="21"/>
      <c r="AA188" s="21"/>
      <c r="AB188" s="21"/>
      <c r="AC188" s="21"/>
      <c r="AF188" s="9"/>
      <c r="AG188" s="21"/>
      <c r="AH188" s="21"/>
      <c r="AI188" s="21"/>
      <c r="AJ188" s="21"/>
      <c r="AK188" s="21"/>
      <c r="AP188" s="9"/>
      <c r="AQ188" s="21"/>
      <c r="AR188" s="21"/>
      <c r="AS188" s="21"/>
      <c r="AT188" s="21"/>
      <c r="AU188" s="21"/>
      <c r="AX188" s="9"/>
      <c r="AY188" s="21"/>
      <c r="AZ188" s="21"/>
      <c r="BA188" s="21"/>
      <c r="BB188" s="21"/>
      <c r="BC188" s="21"/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/>
      <c r="H189" s="21"/>
      <c r="I189" s="21"/>
      <c r="J189" s="21"/>
      <c r="K189" s="21"/>
      <c r="N189" s="9"/>
      <c r="O189" s="21"/>
      <c r="P189" s="21"/>
      <c r="Q189" s="21"/>
      <c r="R189" s="21"/>
      <c r="S189" s="21"/>
      <c r="X189" s="9"/>
      <c r="Y189" s="21"/>
      <c r="Z189" s="21"/>
      <c r="AA189" s="21"/>
      <c r="AB189" s="21"/>
      <c r="AC189" s="21"/>
      <c r="AF189" s="9"/>
      <c r="AG189" s="21"/>
      <c r="AH189" s="21"/>
      <c r="AI189" s="21"/>
      <c r="AJ189" s="21"/>
      <c r="AK189" s="21"/>
      <c r="AP189" s="9"/>
      <c r="AQ189" s="21"/>
      <c r="AR189" s="21"/>
      <c r="AS189" s="21"/>
      <c r="AT189" s="21"/>
      <c r="AU189" s="21"/>
      <c r="AX189" s="9"/>
      <c r="AY189" s="21"/>
      <c r="AZ189" s="21"/>
      <c r="BA189" s="21"/>
      <c r="BB189" s="21"/>
      <c r="BC189" s="21"/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/>
      <c r="H190" s="21"/>
      <c r="I190" s="21"/>
      <c r="J190" s="21"/>
      <c r="K190" s="21"/>
      <c r="N190" s="9"/>
      <c r="O190" s="21"/>
      <c r="P190" s="21"/>
      <c r="Q190" s="21"/>
      <c r="R190" s="21"/>
      <c r="S190" s="21"/>
      <c r="X190" s="9"/>
      <c r="Y190" s="21"/>
      <c r="Z190" s="21"/>
      <c r="AA190" s="21"/>
      <c r="AB190" s="21"/>
      <c r="AC190" s="21"/>
      <c r="AF190" s="9"/>
      <c r="AG190" s="21"/>
      <c r="AH190" s="21"/>
      <c r="AI190" s="21"/>
      <c r="AJ190" s="21"/>
      <c r="AK190" s="21"/>
      <c r="AP190" s="9"/>
      <c r="AQ190" s="21"/>
      <c r="AR190" s="21"/>
      <c r="AS190" s="21"/>
      <c r="AT190" s="21"/>
      <c r="AU190" s="21"/>
      <c r="AX190" s="9"/>
      <c r="AY190" s="21"/>
      <c r="AZ190" s="21"/>
      <c r="BA190" s="21"/>
      <c r="BB190" s="21"/>
      <c r="BC190" s="21"/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/>
      <c r="H191" s="21"/>
      <c r="I191" s="21"/>
      <c r="J191" s="21"/>
      <c r="K191" s="21"/>
      <c r="N191" s="9"/>
      <c r="O191" s="21"/>
      <c r="P191" s="21"/>
      <c r="Q191" s="21"/>
      <c r="R191" s="21"/>
      <c r="S191" s="21"/>
      <c r="X191" s="9"/>
      <c r="Y191" s="21"/>
      <c r="Z191" s="21"/>
      <c r="AA191" s="21"/>
      <c r="AB191" s="21"/>
      <c r="AC191" s="21"/>
      <c r="AF191" s="9"/>
      <c r="AG191" s="21"/>
      <c r="AH191" s="21"/>
      <c r="AI191" s="21"/>
      <c r="AJ191" s="21"/>
      <c r="AK191" s="21"/>
      <c r="AP191" s="9"/>
      <c r="AQ191" s="21"/>
      <c r="AR191" s="21"/>
      <c r="AS191" s="21"/>
      <c r="AT191" s="21"/>
      <c r="AU191" s="21"/>
      <c r="AX191" s="9"/>
      <c r="AY191" s="21"/>
      <c r="AZ191" s="21"/>
      <c r="BA191" s="21"/>
      <c r="BB191" s="21"/>
      <c r="BC191" s="21"/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/>
      <c r="H192" s="21"/>
      <c r="I192" s="21"/>
      <c r="J192" s="21"/>
      <c r="K192" s="21"/>
      <c r="N192" s="9"/>
      <c r="O192" s="21"/>
      <c r="P192" s="21"/>
      <c r="Q192" s="21"/>
      <c r="R192" s="21"/>
      <c r="S192" s="21"/>
      <c r="X192" s="9"/>
      <c r="Y192" s="21"/>
      <c r="Z192" s="21"/>
      <c r="AA192" s="21"/>
      <c r="AB192" s="21"/>
      <c r="AC192" s="21"/>
      <c r="AF192" s="9"/>
      <c r="AG192" s="21"/>
      <c r="AH192" s="21"/>
      <c r="AI192" s="21"/>
      <c r="AJ192" s="21"/>
      <c r="AK192" s="21"/>
      <c r="AP192" s="9"/>
      <c r="AQ192" s="21"/>
      <c r="AR192" s="21"/>
      <c r="AS192" s="21"/>
      <c r="AT192" s="21"/>
      <c r="AU192" s="21"/>
      <c r="AX192" s="9"/>
      <c r="AY192" s="21"/>
      <c r="AZ192" s="21"/>
      <c r="BA192" s="21"/>
      <c r="BB192" s="21"/>
      <c r="BC192" s="21"/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/>
      <c r="H193" s="21"/>
      <c r="I193" s="21"/>
      <c r="J193" s="21"/>
      <c r="K193" s="21"/>
      <c r="N193" s="9"/>
      <c r="O193" s="21"/>
      <c r="P193" s="21"/>
      <c r="Q193" s="21"/>
      <c r="R193" s="21"/>
      <c r="S193" s="21"/>
      <c r="X193" s="9"/>
      <c r="Y193" s="21"/>
      <c r="Z193" s="21"/>
      <c r="AA193" s="21"/>
      <c r="AB193" s="21"/>
      <c r="AC193" s="21"/>
      <c r="AF193" s="9"/>
      <c r="AG193" s="21"/>
      <c r="AH193" s="21"/>
      <c r="AI193" s="21"/>
      <c r="AJ193" s="21"/>
      <c r="AK193" s="21"/>
      <c r="AP193" s="9"/>
      <c r="AQ193" s="21"/>
      <c r="AR193" s="21"/>
      <c r="AS193" s="21"/>
      <c r="AT193" s="21"/>
      <c r="AU193" s="21"/>
      <c r="AX193" s="9"/>
      <c r="AY193" s="21"/>
      <c r="AZ193" s="21"/>
      <c r="BA193" s="21"/>
      <c r="BB193" s="21"/>
      <c r="BC193" s="21"/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/>
      <c r="H194" s="21"/>
      <c r="I194" s="21"/>
      <c r="J194" s="21"/>
      <c r="K194" s="21"/>
      <c r="N194" s="9"/>
      <c r="O194" s="21"/>
      <c r="P194" s="21"/>
      <c r="Q194" s="21"/>
      <c r="R194" s="21"/>
      <c r="S194" s="21"/>
      <c r="X194" s="9"/>
      <c r="Y194" s="21"/>
      <c r="Z194" s="21"/>
      <c r="AA194" s="21"/>
      <c r="AB194" s="21"/>
      <c r="AC194" s="21"/>
      <c r="AF194" s="9"/>
      <c r="AG194" s="21"/>
      <c r="AH194" s="21"/>
      <c r="AI194" s="21"/>
      <c r="AJ194" s="21"/>
      <c r="AK194" s="21"/>
      <c r="AP194" s="9"/>
      <c r="AQ194" s="21"/>
      <c r="AR194" s="21"/>
      <c r="AS194" s="21"/>
      <c r="AT194" s="21"/>
      <c r="AU194" s="21"/>
      <c r="AX194" s="9"/>
      <c r="AY194" s="21"/>
      <c r="AZ194" s="21"/>
      <c r="BA194" s="21"/>
      <c r="BB194" s="21"/>
      <c r="BC194" s="21"/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/>
      <c r="H195" s="21"/>
      <c r="I195" s="21"/>
      <c r="J195" s="21"/>
      <c r="K195" s="21"/>
      <c r="N195" s="9"/>
      <c r="O195" s="21"/>
      <c r="P195" s="21"/>
      <c r="Q195" s="21"/>
      <c r="R195" s="21"/>
      <c r="S195" s="21"/>
      <c r="X195" s="9"/>
      <c r="Y195" s="21"/>
      <c r="Z195" s="21"/>
      <c r="AA195" s="21"/>
      <c r="AB195" s="21"/>
      <c r="AC195" s="21"/>
      <c r="AF195" s="9"/>
      <c r="AG195" s="21"/>
      <c r="AH195" s="21"/>
      <c r="AI195" s="21"/>
      <c r="AJ195" s="21"/>
      <c r="AK195" s="21"/>
      <c r="AP195" s="9"/>
      <c r="AQ195" s="21"/>
      <c r="AR195" s="21"/>
      <c r="AS195" s="21"/>
      <c r="AT195" s="21"/>
      <c r="AU195" s="21"/>
      <c r="AX195" s="9"/>
      <c r="AY195" s="21"/>
      <c r="AZ195" s="21"/>
      <c r="BA195" s="21"/>
      <c r="BB195" s="21"/>
      <c r="BC195" s="21"/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/>
      <c r="H196" s="21"/>
      <c r="I196" s="21"/>
      <c r="J196" s="21"/>
      <c r="K196" s="21"/>
      <c r="N196" s="9"/>
      <c r="O196" s="21"/>
      <c r="P196" s="21"/>
      <c r="Q196" s="21"/>
      <c r="R196" s="21"/>
      <c r="S196" s="21"/>
      <c r="X196" s="9"/>
      <c r="Y196" s="21"/>
      <c r="Z196" s="21"/>
      <c r="AA196" s="21"/>
      <c r="AB196" s="21"/>
      <c r="AC196" s="21"/>
      <c r="AF196" s="9"/>
      <c r="AG196" s="21"/>
      <c r="AH196" s="21"/>
      <c r="AI196" s="21"/>
      <c r="AJ196" s="21"/>
      <c r="AK196" s="21"/>
      <c r="AP196" s="9"/>
      <c r="AQ196" s="21"/>
      <c r="AR196" s="21"/>
      <c r="AS196" s="21"/>
      <c r="AT196" s="21"/>
      <c r="AU196" s="21"/>
      <c r="AX196" s="9"/>
      <c r="AY196" s="21"/>
      <c r="AZ196" s="21"/>
      <c r="BA196" s="21"/>
      <c r="BB196" s="21"/>
      <c r="BC196" s="21"/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/>
      <c r="H197" s="21"/>
      <c r="I197" s="21"/>
      <c r="J197" s="21"/>
      <c r="K197" s="21"/>
      <c r="N197" s="9"/>
      <c r="O197" s="21"/>
      <c r="P197" s="21"/>
      <c r="Q197" s="21"/>
      <c r="R197" s="21"/>
      <c r="S197" s="21"/>
      <c r="X197" s="9"/>
      <c r="Y197" s="21"/>
      <c r="Z197" s="21"/>
      <c r="AA197" s="21"/>
      <c r="AB197" s="21"/>
      <c r="AC197" s="21"/>
      <c r="AF197" s="9"/>
      <c r="AG197" s="21"/>
      <c r="AH197" s="21"/>
      <c r="AI197" s="21"/>
      <c r="AJ197" s="21"/>
      <c r="AK197" s="21"/>
      <c r="AP197" s="9"/>
      <c r="AQ197" s="21"/>
      <c r="AR197" s="21"/>
      <c r="AS197" s="21"/>
      <c r="AT197" s="21"/>
      <c r="AU197" s="21"/>
      <c r="AX197" s="9"/>
      <c r="AY197" s="21"/>
      <c r="AZ197" s="21"/>
      <c r="BA197" s="21"/>
      <c r="BB197" s="21"/>
      <c r="BC197" s="21"/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/>
      <c r="H198" s="21"/>
      <c r="I198" s="21"/>
      <c r="J198" s="21"/>
      <c r="K198" s="21"/>
      <c r="N198" s="9"/>
      <c r="O198" s="21"/>
      <c r="P198" s="21"/>
      <c r="Q198" s="21"/>
      <c r="R198" s="21"/>
      <c r="S198" s="21"/>
      <c r="X198" s="9"/>
      <c r="Y198" s="21"/>
      <c r="Z198" s="21"/>
      <c r="AA198" s="21"/>
      <c r="AB198" s="21"/>
      <c r="AC198" s="21"/>
      <c r="AF198" s="9"/>
      <c r="AG198" s="21"/>
      <c r="AH198" s="21"/>
      <c r="AI198" s="21"/>
      <c r="AJ198" s="21"/>
      <c r="AK198" s="21"/>
      <c r="AP198" s="9"/>
      <c r="AQ198" s="21"/>
      <c r="AR198" s="21"/>
      <c r="AS198" s="21"/>
      <c r="AT198" s="21"/>
      <c r="AU198" s="21"/>
      <c r="AX198" s="9"/>
      <c r="AY198" s="21"/>
      <c r="AZ198" s="21"/>
      <c r="BA198" s="21"/>
      <c r="BB198" s="21"/>
      <c r="BC198" s="21"/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/>
      <c r="H199" s="21"/>
      <c r="I199" s="21"/>
      <c r="J199" s="21"/>
      <c r="K199" s="21"/>
      <c r="N199" s="9"/>
      <c r="O199" s="21"/>
      <c r="P199" s="21"/>
      <c r="Q199" s="21"/>
      <c r="R199" s="21"/>
      <c r="S199" s="21"/>
      <c r="X199" s="9"/>
      <c r="Y199" s="21"/>
      <c r="Z199" s="21"/>
      <c r="AA199" s="21"/>
      <c r="AB199" s="21"/>
      <c r="AC199" s="21"/>
      <c r="AF199" s="9"/>
      <c r="AG199" s="21"/>
      <c r="AH199" s="21"/>
      <c r="AI199" s="21"/>
      <c r="AJ199" s="21"/>
      <c r="AK199" s="21"/>
      <c r="AP199" s="9"/>
      <c r="AQ199" s="21"/>
      <c r="AR199" s="21"/>
      <c r="AS199" s="21"/>
      <c r="AT199" s="21"/>
      <c r="AU199" s="21"/>
      <c r="AX199" s="9"/>
      <c r="AY199" s="21"/>
      <c r="AZ199" s="21"/>
      <c r="BA199" s="21"/>
      <c r="BB199" s="21"/>
      <c r="BC199" s="21"/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/>
      <c r="H200" s="21"/>
      <c r="I200" s="21"/>
      <c r="J200" s="21"/>
      <c r="K200" s="21"/>
      <c r="N200" s="9"/>
      <c r="O200" s="21"/>
      <c r="P200" s="21"/>
      <c r="Q200" s="21"/>
      <c r="R200" s="21"/>
      <c r="S200" s="21"/>
      <c r="X200" s="9"/>
      <c r="Y200" s="21"/>
      <c r="Z200" s="21"/>
      <c r="AA200" s="21"/>
      <c r="AB200" s="21"/>
      <c r="AC200" s="21"/>
      <c r="AF200" s="9"/>
      <c r="AG200" s="21"/>
      <c r="AH200" s="21"/>
      <c r="AI200" s="21"/>
      <c r="AJ200" s="21"/>
      <c r="AK200" s="21"/>
      <c r="AP200" s="9"/>
      <c r="AQ200" s="21"/>
      <c r="AR200" s="21"/>
      <c r="AS200" s="21"/>
      <c r="AT200" s="21"/>
      <c r="AU200" s="21"/>
      <c r="AX200" s="9"/>
      <c r="AY200" s="21"/>
      <c r="AZ200" s="21"/>
      <c r="BA200" s="21"/>
      <c r="BB200" s="21"/>
      <c r="BC200" s="21"/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/>
      <c r="H201" s="21"/>
      <c r="I201" s="21"/>
      <c r="J201" s="21"/>
      <c r="K201" s="21"/>
      <c r="N201" s="9"/>
      <c r="O201" s="21"/>
      <c r="P201" s="21"/>
      <c r="Q201" s="21"/>
      <c r="R201" s="21"/>
      <c r="S201" s="21"/>
      <c r="X201" s="9"/>
      <c r="Y201" s="21"/>
      <c r="Z201" s="21"/>
      <c r="AA201" s="21"/>
      <c r="AB201" s="21"/>
      <c r="AC201" s="21"/>
      <c r="AF201" s="9"/>
      <c r="AG201" s="21"/>
      <c r="AH201" s="21"/>
      <c r="AI201" s="21"/>
      <c r="AJ201" s="21"/>
      <c r="AK201" s="21"/>
      <c r="AP201" s="9"/>
      <c r="AQ201" s="21"/>
      <c r="AR201" s="21"/>
      <c r="AS201" s="21"/>
      <c r="AT201" s="21"/>
      <c r="AU201" s="21"/>
      <c r="AX201" s="9"/>
      <c r="AY201" s="21"/>
      <c r="AZ201" s="21"/>
      <c r="BA201" s="21"/>
      <c r="BB201" s="21"/>
      <c r="BC201" s="21"/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/>
      <c r="H202" s="21"/>
      <c r="I202" s="21"/>
      <c r="J202" s="21"/>
      <c r="K202" s="21"/>
      <c r="N202" s="9"/>
      <c r="O202" s="21"/>
      <c r="P202" s="21"/>
      <c r="Q202" s="21"/>
      <c r="R202" s="21"/>
      <c r="S202" s="21"/>
      <c r="X202" s="9"/>
      <c r="Y202" s="21"/>
      <c r="Z202" s="21"/>
      <c r="AA202" s="21"/>
      <c r="AB202" s="21"/>
      <c r="AC202" s="21"/>
      <c r="AF202" s="9"/>
      <c r="AG202" s="21"/>
      <c r="AH202" s="21"/>
      <c r="AI202" s="21"/>
      <c r="AJ202" s="21"/>
      <c r="AK202" s="21"/>
      <c r="AP202" s="9"/>
      <c r="AQ202" s="21"/>
      <c r="AR202" s="21"/>
      <c r="AS202" s="21"/>
      <c r="AT202" s="21"/>
      <c r="AU202" s="21"/>
      <c r="AX202" s="9"/>
      <c r="AY202" s="21"/>
      <c r="AZ202" s="21"/>
      <c r="BA202" s="21"/>
      <c r="BB202" s="21"/>
      <c r="BC202" s="21"/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/>
      <c r="H203" s="21"/>
      <c r="I203" s="21"/>
      <c r="J203" s="21"/>
      <c r="K203" s="21"/>
      <c r="N203" s="9"/>
      <c r="O203" s="21"/>
      <c r="P203" s="21"/>
      <c r="Q203" s="21"/>
      <c r="R203" s="21"/>
      <c r="S203" s="21"/>
      <c r="X203" s="9"/>
      <c r="Y203" s="21"/>
      <c r="Z203" s="21"/>
      <c r="AA203" s="21"/>
      <c r="AB203" s="21"/>
      <c r="AC203" s="21"/>
      <c r="AF203" s="9"/>
      <c r="AG203" s="21"/>
      <c r="AH203" s="21"/>
      <c r="AI203" s="21"/>
      <c r="AJ203" s="21"/>
      <c r="AK203" s="21"/>
      <c r="AP203" s="9"/>
      <c r="AQ203" s="21"/>
      <c r="AR203" s="21"/>
      <c r="AS203" s="21"/>
      <c r="AT203" s="21"/>
      <c r="AU203" s="21"/>
      <c r="AX203" s="9"/>
      <c r="AY203" s="21"/>
      <c r="AZ203" s="21"/>
      <c r="BA203" s="21"/>
      <c r="BB203" s="21"/>
      <c r="BC203" s="21"/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/>
      <c r="H204" s="21"/>
      <c r="I204" s="21"/>
      <c r="J204" s="21"/>
      <c r="K204" s="21"/>
      <c r="N204" s="9"/>
      <c r="O204" s="21"/>
      <c r="P204" s="21"/>
      <c r="Q204" s="21"/>
      <c r="R204" s="21"/>
      <c r="S204" s="21"/>
      <c r="X204" s="9"/>
      <c r="Y204" s="21"/>
      <c r="Z204" s="21"/>
      <c r="AA204" s="21"/>
      <c r="AB204" s="21"/>
      <c r="AC204" s="21"/>
      <c r="AF204" s="9"/>
      <c r="AG204" s="21"/>
      <c r="AH204" s="21"/>
      <c r="AI204" s="21"/>
      <c r="AJ204" s="21"/>
      <c r="AK204" s="21"/>
      <c r="AP204" s="9"/>
      <c r="AQ204" s="21"/>
      <c r="AR204" s="21"/>
      <c r="AS204" s="21"/>
      <c r="AT204" s="21"/>
      <c r="AU204" s="21"/>
      <c r="AX204" s="9"/>
      <c r="AY204" s="21"/>
      <c r="AZ204" s="21"/>
      <c r="BA204" s="21"/>
      <c r="BB204" s="21"/>
      <c r="BC204" s="21"/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/>
      <c r="H205" s="21"/>
      <c r="I205" s="21"/>
      <c r="J205" s="21"/>
      <c r="K205" s="21"/>
      <c r="N205" s="9"/>
      <c r="O205" s="21"/>
      <c r="P205" s="21"/>
      <c r="Q205" s="21"/>
      <c r="R205" s="21"/>
      <c r="S205" s="21"/>
      <c r="X205" s="9"/>
      <c r="Y205" s="21"/>
      <c r="Z205" s="21"/>
      <c r="AA205" s="21"/>
      <c r="AB205" s="21"/>
      <c r="AC205" s="21"/>
      <c r="AF205" s="9"/>
      <c r="AG205" s="21"/>
      <c r="AH205" s="21"/>
      <c r="AI205" s="21"/>
      <c r="AJ205" s="21"/>
      <c r="AK205" s="21"/>
      <c r="AP205" s="9"/>
      <c r="AQ205" s="21"/>
      <c r="AR205" s="21"/>
      <c r="AS205" s="21"/>
      <c r="AT205" s="21"/>
      <c r="AU205" s="21"/>
      <c r="AX205" s="9"/>
      <c r="AY205" s="21"/>
      <c r="AZ205" s="21"/>
      <c r="BA205" s="21"/>
      <c r="BB205" s="21"/>
      <c r="BC205" s="21"/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/>
      <c r="H206" s="21"/>
      <c r="I206" s="21"/>
      <c r="J206" s="21"/>
      <c r="K206" s="21"/>
      <c r="N206" s="9"/>
      <c r="O206" s="21"/>
      <c r="P206" s="21"/>
      <c r="Q206" s="21"/>
      <c r="R206" s="21"/>
      <c r="S206" s="21"/>
      <c r="X206" s="9"/>
      <c r="Y206" s="21"/>
      <c r="Z206" s="21"/>
      <c r="AA206" s="21"/>
      <c r="AB206" s="21"/>
      <c r="AC206" s="21"/>
      <c r="AF206" s="9"/>
      <c r="AG206" s="21"/>
      <c r="AH206" s="21"/>
      <c r="AI206" s="21"/>
      <c r="AJ206" s="21"/>
      <c r="AK206" s="21"/>
      <c r="AP206" s="9"/>
      <c r="AQ206" s="21"/>
      <c r="AR206" s="21"/>
      <c r="AS206" s="21"/>
      <c r="AT206" s="21"/>
      <c r="AU206" s="21"/>
      <c r="AX206" s="9"/>
      <c r="AY206" s="21"/>
      <c r="AZ206" s="21"/>
      <c r="BA206" s="21"/>
      <c r="BB206" s="21"/>
      <c r="BC206" s="21"/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/>
      <c r="H207" s="21"/>
      <c r="I207" s="21"/>
      <c r="J207" s="21"/>
      <c r="K207" s="21"/>
      <c r="N207" s="9"/>
      <c r="O207" s="21"/>
      <c r="P207" s="21"/>
      <c r="Q207" s="21"/>
      <c r="R207" s="21"/>
      <c r="S207" s="21"/>
      <c r="X207" s="9"/>
      <c r="Y207" s="21"/>
      <c r="Z207" s="21"/>
      <c r="AA207" s="21"/>
      <c r="AB207" s="21"/>
      <c r="AC207" s="21"/>
      <c r="AF207" s="9"/>
      <c r="AG207" s="21"/>
      <c r="AH207" s="21"/>
      <c r="AI207" s="21"/>
      <c r="AJ207" s="21"/>
      <c r="AK207" s="21"/>
      <c r="AP207" s="9"/>
      <c r="AQ207" s="21"/>
      <c r="AR207" s="21"/>
      <c r="AS207" s="21"/>
      <c r="AT207" s="21"/>
      <c r="AU207" s="21"/>
      <c r="AX207" s="9"/>
      <c r="AY207" s="21"/>
      <c r="AZ207" s="21"/>
      <c r="BA207" s="21"/>
      <c r="BB207" s="21"/>
      <c r="BC207" s="21"/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/>
      <c r="H208" s="21"/>
      <c r="I208" s="21"/>
      <c r="J208" s="21"/>
      <c r="K208" s="21"/>
      <c r="N208" s="9"/>
      <c r="O208" s="21"/>
      <c r="P208" s="21"/>
      <c r="Q208" s="21"/>
      <c r="R208" s="21"/>
      <c r="S208" s="21"/>
      <c r="X208" s="9"/>
      <c r="Y208" s="21"/>
      <c r="Z208" s="21"/>
      <c r="AA208" s="21"/>
      <c r="AB208" s="21"/>
      <c r="AC208" s="21"/>
      <c r="AF208" s="9"/>
      <c r="AG208" s="21"/>
      <c r="AH208" s="21"/>
      <c r="AI208" s="21"/>
      <c r="AJ208" s="21"/>
      <c r="AK208" s="21"/>
      <c r="AP208" s="9"/>
      <c r="AQ208" s="21"/>
      <c r="AR208" s="21"/>
      <c r="AS208" s="21"/>
      <c r="AT208" s="21"/>
      <c r="AU208" s="21"/>
      <c r="AX208" s="9"/>
      <c r="AY208" s="21"/>
      <c r="AZ208" s="21"/>
      <c r="BA208" s="21"/>
      <c r="BB208" s="21"/>
      <c r="BC208" s="21"/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/>
      <c r="H209" s="21"/>
      <c r="I209" s="21"/>
      <c r="J209" s="21"/>
      <c r="K209" s="21"/>
      <c r="N209" s="9"/>
      <c r="O209" s="21"/>
      <c r="P209" s="21"/>
      <c r="Q209" s="21"/>
      <c r="R209" s="21"/>
      <c r="S209" s="21"/>
      <c r="X209" s="9"/>
      <c r="Y209" s="21"/>
      <c r="Z209" s="21"/>
      <c r="AA209" s="21"/>
      <c r="AB209" s="21"/>
      <c r="AC209" s="21"/>
      <c r="AF209" s="9"/>
      <c r="AG209" s="21"/>
      <c r="AH209" s="21"/>
      <c r="AI209" s="21"/>
      <c r="AJ209" s="21"/>
      <c r="AK209" s="21"/>
      <c r="AP209" s="9"/>
      <c r="AQ209" s="21"/>
      <c r="AR209" s="21"/>
      <c r="AS209" s="21"/>
      <c r="AT209" s="21"/>
      <c r="AU209" s="21"/>
      <c r="AX209" s="9"/>
      <c r="AY209" s="21"/>
      <c r="AZ209" s="21"/>
      <c r="BA209" s="21"/>
      <c r="BB209" s="21"/>
      <c r="BC209" s="21"/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/>
      <c r="H210" s="21"/>
      <c r="I210" s="21"/>
      <c r="J210" s="21"/>
      <c r="K210" s="21"/>
      <c r="N210" s="9"/>
      <c r="O210" s="21"/>
      <c r="P210" s="21"/>
      <c r="Q210" s="21"/>
      <c r="R210" s="21"/>
      <c r="S210" s="21"/>
      <c r="X210" s="9"/>
      <c r="Y210" s="21"/>
      <c r="Z210" s="21"/>
      <c r="AA210" s="21"/>
      <c r="AB210" s="21"/>
      <c r="AC210" s="21"/>
      <c r="AF210" s="9"/>
      <c r="AG210" s="21"/>
      <c r="AH210" s="21"/>
      <c r="AI210" s="21"/>
      <c r="AJ210" s="21"/>
      <c r="AK210" s="21"/>
      <c r="AP210" s="9"/>
      <c r="AQ210" s="21"/>
      <c r="AR210" s="21"/>
      <c r="AS210" s="21"/>
      <c r="AT210" s="21"/>
      <c r="AU210" s="21"/>
      <c r="AX210" s="9"/>
      <c r="AY210" s="21"/>
      <c r="AZ210" s="21"/>
      <c r="BA210" s="21"/>
      <c r="BB210" s="21"/>
      <c r="BC210" s="21"/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/>
      <c r="H211" s="21"/>
      <c r="I211" s="21"/>
      <c r="J211" s="21"/>
      <c r="K211" s="21"/>
      <c r="N211" s="9"/>
      <c r="O211" s="21"/>
      <c r="P211" s="21"/>
      <c r="Q211" s="21"/>
      <c r="R211" s="21"/>
      <c r="S211" s="21"/>
      <c r="X211" s="9"/>
      <c r="Y211" s="21"/>
      <c r="Z211" s="21"/>
      <c r="AA211" s="21"/>
      <c r="AB211" s="21"/>
      <c r="AC211" s="21"/>
      <c r="AF211" s="9"/>
      <c r="AG211" s="21"/>
      <c r="AH211" s="21"/>
      <c r="AI211" s="21"/>
      <c r="AJ211" s="21"/>
      <c r="AK211" s="21"/>
      <c r="AP211" s="9"/>
      <c r="AQ211" s="21"/>
      <c r="AR211" s="21"/>
      <c r="AS211" s="21"/>
      <c r="AT211" s="21"/>
      <c r="AU211" s="21"/>
      <c r="AX211" s="9"/>
      <c r="AY211" s="21"/>
      <c r="AZ211" s="21"/>
      <c r="BA211" s="21"/>
      <c r="BB211" s="21"/>
      <c r="BC211" s="21"/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/>
      <c r="H212" s="21"/>
      <c r="I212" s="21"/>
      <c r="J212" s="21"/>
      <c r="K212" s="21"/>
      <c r="N212" s="9"/>
      <c r="O212" s="21"/>
      <c r="P212" s="21"/>
      <c r="Q212" s="21"/>
      <c r="R212" s="21"/>
      <c r="S212" s="21"/>
      <c r="X212" s="9"/>
      <c r="Y212" s="21"/>
      <c r="Z212" s="21"/>
      <c r="AA212" s="21"/>
      <c r="AB212" s="21"/>
      <c r="AC212" s="21"/>
      <c r="AF212" s="9"/>
      <c r="AG212" s="21"/>
      <c r="AH212" s="21"/>
      <c r="AI212" s="21"/>
      <c r="AJ212" s="21"/>
      <c r="AK212" s="21"/>
      <c r="AP212" s="9"/>
      <c r="AQ212" s="21"/>
      <c r="AR212" s="21"/>
      <c r="AS212" s="21"/>
      <c r="AT212" s="21"/>
      <c r="AU212" s="21"/>
      <c r="AX212" s="9"/>
      <c r="AY212" s="21"/>
      <c r="AZ212" s="21"/>
      <c r="BA212" s="21"/>
      <c r="BB212" s="21"/>
      <c r="BC212" s="21"/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/>
      <c r="H213" s="21"/>
      <c r="I213" s="21"/>
      <c r="J213" s="21"/>
      <c r="K213" s="21"/>
      <c r="N213" s="9"/>
      <c r="O213" s="21"/>
      <c r="P213" s="21"/>
      <c r="Q213" s="21"/>
      <c r="R213" s="21"/>
      <c r="S213" s="21"/>
      <c r="X213" s="9"/>
      <c r="Y213" s="21"/>
      <c r="Z213" s="21"/>
      <c r="AA213" s="21"/>
      <c r="AB213" s="21"/>
      <c r="AC213" s="21"/>
      <c r="AF213" s="9"/>
      <c r="AG213" s="21"/>
      <c r="AH213" s="21"/>
      <c r="AI213" s="21"/>
      <c r="AJ213" s="21"/>
      <c r="AK213" s="21"/>
      <c r="AP213" s="9"/>
      <c r="AQ213" s="21"/>
      <c r="AR213" s="21"/>
      <c r="AS213" s="21"/>
      <c r="AT213" s="21"/>
      <c r="AU213" s="21"/>
      <c r="AX213" s="9"/>
      <c r="AY213" s="21"/>
      <c r="AZ213" s="21"/>
      <c r="BA213" s="21"/>
      <c r="BB213" s="21"/>
      <c r="BC213" s="21"/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/>
      <c r="H214" s="21"/>
      <c r="I214" s="21"/>
      <c r="J214" s="21"/>
      <c r="K214" s="21"/>
      <c r="N214" s="9"/>
      <c r="O214" s="21"/>
      <c r="P214" s="21"/>
      <c r="Q214" s="21"/>
      <c r="R214" s="21"/>
      <c r="S214" s="21"/>
      <c r="X214" s="9"/>
      <c r="Y214" s="21"/>
      <c r="Z214" s="21"/>
      <c r="AA214" s="21"/>
      <c r="AB214" s="21"/>
      <c r="AC214" s="21"/>
      <c r="AF214" s="9"/>
      <c r="AG214" s="21"/>
      <c r="AH214" s="21"/>
      <c r="AI214" s="21"/>
      <c r="AJ214" s="21"/>
      <c r="AK214" s="21"/>
      <c r="AP214" s="9"/>
      <c r="AQ214" s="21"/>
      <c r="AR214" s="21"/>
      <c r="AS214" s="21"/>
      <c r="AT214" s="21"/>
      <c r="AU214" s="21"/>
      <c r="AX214" s="9"/>
      <c r="AY214" s="21"/>
      <c r="AZ214" s="21"/>
      <c r="BA214" s="21"/>
      <c r="BB214" s="21"/>
      <c r="BC214" s="21"/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/>
      <c r="H215" s="21"/>
      <c r="I215" s="21"/>
      <c r="J215" s="21"/>
      <c r="K215" s="21"/>
      <c r="N215" s="9"/>
      <c r="O215" s="21"/>
      <c r="P215" s="21"/>
      <c r="Q215" s="21"/>
      <c r="R215" s="21"/>
      <c r="S215" s="21"/>
      <c r="X215" s="9"/>
      <c r="Y215" s="21"/>
      <c r="Z215" s="21"/>
      <c r="AA215" s="21"/>
      <c r="AB215" s="21"/>
      <c r="AC215" s="21"/>
      <c r="AF215" s="9"/>
      <c r="AG215" s="21"/>
      <c r="AH215" s="21"/>
      <c r="AI215" s="21"/>
      <c r="AJ215" s="21"/>
      <c r="AK215" s="21"/>
      <c r="AP215" s="9"/>
      <c r="AQ215" s="21"/>
      <c r="AR215" s="21"/>
      <c r="AS215" s="21"/>
      <c r="AT215" s="21"/>
      <c r="AU215" s="21"/>
      <c r="AX215" s="9"/>
      <c r="AY215" s="21"/>
      <c r="AZ215" s="21"/>
      <c r="BA215" s="21"/>
      <c r="BB215" s="21"/>
      <c r="BC215" s="21"/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/>
      <c r="H216" s="21"/>
      <c r="I216" s="21"/>
      <c r="J216" s="21"/>
      <c r="K216" s="21"/>
      <c r="N216" s="9"/>
      <c r="O216" s="21"/>
      <c r="P216" s="21"/>
      <c r="Q216" s="21"/>
      <c r="R216" s="21"/>
      <c r="S216" s="21"/>
      <c r="X216" s="9"/>
      <c r="Y216" s="21"/>
      <c r="Z216" s="21"/>
      <c r="AA216" s="21"/>
      <c r="AB216" s="21"/>
      <c r="AC216" s="21"/>
      <c r="AF216" s="9"/>
      <c r="AG216" s="21"/>
      <c r="AH216" s="21"/>
      <c r="AI216" s="21"/>
      <c r="AJ216" s="21"/>
      <c r="AK216" s="21"/>
      <c r="AP216" s="9"/>
      <c r="AQ216" s="21"/>
      <c r="AR216" s="21"/>
      <c r="AS216" s="21"/>
      <c r="AT216" s="21"/>
      <c r="AU216" s="21"/>
      <c r="AX216" s="9"/>
      <c r="AY216" s="21"/>
      <c r="AZ216" s="21"/>
      <c r="BA216" s="21"/>
      <c r="BB216" s="21"/>
      <c r="BC216" s="21"/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/>
      <c r="H217" s="21"/>
      <c r="I217" s="21"/>
      <c r="J217" s="21"/>
      <c r="K217" s="21"/>
      <c r="N217" s="9"/>
      <c r="O217" s="21"/>
      <c r="P217" s="21"/>
      <c r="Q217" s="21"/>
      <c r="R217" s="21"/>
      <c r="S217" s="21"/>
      <c r="X217" s="9"/>
      <c r="Y217" s="21"/>
      <c r="Z217" s="21"/>
      <c r="AA217" s="21"/>
      <c r="AB217" s="21"/>
      <c r="AC217" s="21"/>
      <c r="AF217" s="9"/>
      <c r="AG217" s="21"/>
      <c r="AH217" s="21"/>
      <c r="AI217" s="21"/>
      <c r="AJ217" s="21"/>
      <c r="AK217" s="21"/>
      <c r="AP217" s="9"/>
      <c r="AQ217" s="21"/>
      <c r="AR217" s="21"/>
      <c r="AS217" s="21"/>
      <c r="AT217" s="21"/>
      <c r="AU217" s="21"/>
      <c r="AX217" s="9"/>
      <c r="AY217" s="21"/>
      <c r="AZ217" s="21"/>
      <c r="BA217" s="21"/>
      <c r="BB217" s="21"/>
      <c r="BC217" s="21"/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/>
      <c r="H218" s="21"/>
      <c r="I218" s="21"/>
      <c r="J218" s="21"/>
      <c r="K218" s="21"/>
      <c r="N218" s="9"/>
      <c r="O218" s="21"/>
      <c r="P218" s="21"/>
      <c r="Q218" s="21"/>
      <c r="R218" s="21"/>
      <c r="S218" s="21"/>
      <c r="X218" s="9"/>
      <c r="Y218" s="21"/>
      <c r="Z218" s="21"/>
      <c r="AA218" s="21"/>
      <c r="AB218" s="21"/>
      <c r="AC218" s="21"/>
      <c r="AF218" s="9"/>
      <c r="AG218" s="21"/>
      <c r="AH218" s="21"/>
      <c r="AI218" s="21"/>
      <c r="AJ218" s="21"/>
      <c r="AK218" s="21"/>
      <c r="AP218" s="9"/>
      <c r="AQ218" s="21"/>
      <c r="AR218" s="21"/>
      <c r="AS218" s="21"/>
      <c r="AT218" s="21"/>
      <c r="AU218" s="21"/>
      <c r="AX218" s="9"/>
      <c r="AY218" s="21"/>
      <c r="AZ218" s="21"/>
      <c r="BA218" s="21"/>
      <c r="BB218" s="21"/>
      <c r="BC218" s="21"/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/>
      <c r="H219" s="21"/>
      <c r="I219" s="21"/>
      <c r="J219" s="21"/>
      <c r="K219" s="21"/>
      <c r="N219" s="9"/>
      <c r="O219" s="21"/>
      <c r="P219" s="21"/>
      <c r="Q219" s="21"/>
      <c r="R219" s="21"/>
      <c r="S219" s="21"/>
      <c r="X219" s="9"/>
      <c r="Y219" s="21"/>
      <c r="Z219" s="21"/>
      <c r="AA219" s="21"/>
      <c r="AB219" s="21"/>
      <c r="AC219" s="21"/>
      <c r="AF219" s="9"/>
      <c r="AG219" s="21"/>
      <c r="AH219" s="21"/>
      <c r="AI219" s="21"/>
      <c r="AJ219" s="21"/>
      <c r="AK219" s="21"/>
      <c r="AP219" s="9"/>
      <c r="AQ219" s="21"/>
      <c r="AR219" s="21"/>
      <c r="AS219" s="21"/>
      <c r="AT219" s="21"/>
      <c r="AU219" s="21"/>
      <c r="AX219" s="9"/>
      <c r="AY219" s="21"/>
      <c r="AZ219" s="21"/>
      <c r="BA219" s="21"/>
      <c r="BB219" s="21"/>
      <c r="BC219" s="21"/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/>
      <c r="H220" s="21"/>
      <c r="I220" s="21"/>
      <c r="J220" s="21"/>
      <c r="K220" s="21"/>
      <c r="N220" s="9"/>
      <c r="O220" s="21"/>
      <c r="P220" s="21"/>
      <c r="Q220" s="21"/>
      <c r="R220" s="21"/>
      <c r="S220" s="21"/>
      <c r="X220" s="9"/>
      <c r="Y220" s="21"/>
      <c r="Z220" s="21"/>
      <c r="AA220" s="21"/>
      <c r="AB220" s="21"/>
      <c r="AC220" s="21"/>
      <c r="AF220" s="9"/>
      <c r="AG220" s="21"/>
      <c r="AH220" s="21"/>
      <c r="AI220" s="21"/>
      <c r="AJ220" s="21"/>
      <c r="AK220" s="21"/>
      <c r="AP220" s="9"/>
      <c r="AQ220" s="21"/>
      <c r="AR220" s="21"/>
      <c r="AS220" s="21"/>
      <c r="AT220" s="21"/>
      <c r="AU220" s="21"/>
      <c r="AX220" s="9"/>
      <c r="AY220" s="21"/>
      <c r="AZ220" s="21"/>
      <c r="BA220" s="21"/>
      <c r="BB220" s="21"/>
      <c r="BC220" s="21"/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/>
      <c r="H221" s="21"/>
      <c r="I221" s="21"/>
      <c r="J221" s="21"/>
      <c r="K221" s="21"/>
      <c r="N221" s="9"/>
      <c r="O221" s="21"/>
      <c r="P221" s="21"/>
      <c r="Q221" s="21"/>
      <c r="R221" s="21"/>
      <c r="S221" s="21"/>
      <c r="X221" s="9"/>
      <c r="Y221" s="21"/>
      <c r="Z221" s="21"/>
      <c r="AA221" s="21"/>
      <c r="AB221" s="21"/>
      <c r="AC221" s="21"/>
      <c r="AF221" s="9"/>
      <c r="AG221" s="21"/>
      <c r="AH221" s="21"/>
      <c r="AI221" s="21"/>
      <c r="AJ221" s="21"/>
      <c r="AK221" s="21"/>
      <c r="AP221" s="9"/>
      <c r="AQ221" s="21"/>
      <c r="AR221" s="21"/>
      <c r="AS221" s="21"/>
      <c r="AT221" s="21"/>
      <c r="AU221" s="21"/>
      <c r="AX221" s="9"/>
      <c r="AY221" s="21"/>
      <c r="AZ221" s="21"/>
      <c r="BA221" s="21"/>
      <c r="BB221" s="21"/>
      <c r="BC221" s="21"/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/>
      <c r="H222" s="21"/>
      <c r="I222" s="21"/>
      <c r="J222" s="21"/>
      <c r="K222" s="21"/>
      <c r="N222" s="9"/>
      <c r="O222" s="21"/>
      <c r="P222" s="21"/>
      <c r="Q222" s="21"/>
      <c r="R222" s="21"/>
      <c r="S222" s="21"/>
      <c r="X222" s="9"/>
      <c r="Y222" s="21"/>
      <c r="Z222" s="21"/>
      <c r="AA222" s="21"/>
      <c r="AB222" s="21"/>
      <c r="AC222" s="21"/>
      <c r="AF222" s="9"/>
      <c r="AG222" s="21"/>
      <c r="AH222" s="21"/>
      <c r="AI222" s="21"/>
      <c r="AJ222" s="21"/>
      <c r="AK222" s="21"/>
      <c r="AP222" s="9"/>
      <c r="AQ222" s="21"/>
      <c r="AR222" s="21"/>
      <c r="AS222" s="21"/>
      <c r="AT222" s="21"/>
      <c r="AU222" s="21"/>
      <c r="AX222" s="9"/>
      <c r="AY222" s="21"/>
      <c r="AZ222" s="21"/>
      <c r="BA222" s="21"/>
      <c r="BB222" s="21"/>
      <c r="BC222" s="21"/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/>
      <c r="H223" s="21"/>
      <c r="I223" s="21"/>
      <c r="J223" s="21"/>
      <c r="K223" s="21"/>
      <c r="N223" s="9"/>
      <c r="O223" s="21"/>
      <c r="P223" s="21"/>
      <c r="Q223" s="21"/>
      <c r="R223" s="21"/>
      <c r="S223" s="21"/>
      <c r="X223" s="9"/>
      <c r="Y223" s="21"/>
      <c r="Z223" s="21"/>
      <c r="AA223" s="21"/>
      <c r="AB223" s="21"/>
      <c r="AC223" s="21"/>
      <c r="AF223" s="9"/>
      <c r="AG223" s="21"/>
      <c r="AH223" s="21"/>
      <c r="AI223" s="21"/>
      <c r="AJ223" s="21"/>
      <c r="AK223" s="21"/>
      <c r="AP223" s="9"/>
      <c r="AQ223" s="21"/>
      <c r="AR223" s="21"/>
      <c r="AS223" s="21"/>
      <c r="AT223" s="21"/>
      <c r="AU223" s="21"/>
      <c r="AX223" s="9"/>
      <c r="AY223" s="21"/>
      <c r="AZ223" s="21"/>
      <c r="BA223" s="21"/>
      <c r="BB223" s="21"/>
      <c r="BC223" s="21"/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/>
      <c r="H224" s="21"/>
      <c r="I224" s="21"/>
      <c r="J224" s="21"/>
      <c r="K224" s="21"/>
      <c r="N224" s="9"/>
      <c r="O224" s="21"/>
      <c r="P224" s="21"/>
      <c r="Q224" s="21"/>
      <c r="R224" s="21"/>
      <c r="S224" s="21"/>
      <c r="X224" s="9"/>
      <c r="Y224" s="21"/>
      <c r="Z224" s="21"/>
      <c r="AA224" s="21"/>
      <c r="AB224" s="21"/>
      <c r="AC224" s="21"/>
      <c r="AF224" s="9"/>
      <c r="AG224" s="21"/>
      <c r="AH224" s="21"/>
      <c r="AI224" s="21"/>
      <c r="AJ224" s="21"/>
      <c r="AK224" s="21"/>
      <c r="AP224" s="9"/>
      <c r="AQ224" s="21"/>
      <c r="AR224" s="21"/>
      <c r="AS224" s="21"/>
      <c r="AT224" s="21"/>
      <c r="AU224" s="21"/>
      <c r="AX224" s="9"/>
      <c r="AY224" s="21"/>
      <c r="AZ224" s="21"/>
      <c r="BA224" s="21"/>
      <c r="BB224" s="21"/>
      <c r="BC224" s="21"/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/>
      <c r="H225" s="21"/>
      <c r="I225" s="21"/>
      <c r="J225" s="21"/>
      <c r="K225" s="21"/>
      <c r="N225" s="9"/>
      <c r="O225" s="21"/>
      <c r="P225" s="21"/>
      <c r="Q225" s="21"/>
      <c r="R225" s="21"/>
      <c r="S225" s="21"/>
      <c r="X225" s="9"/>
      <c r="Y225" s="21"/>
      <c r="Z225" s="21"/>
      <c r="AA225" s="21"/>
      <c r="AB225" s="21"/>
      <c r="AC225" s="21"/>
      <c r="AF225" s="9"/>
      <c r="AG225" s="21"/>
      <c r="AH225" s="21"/>
      <c r="AI225" s="21"/>
      <c r="AJ225" s="21"/>
      <c r="AK225" s="21"/>
      <c r="AP225" s="9"/>
      <c r="AQ225" s="21"/>
      <c r="AR225" s="21"/>
      <c r="AS225" s="21"/>
      <c r="AT225" s="21"/>
      <c r="AU225" s="21"/>
      <c r="AX225" s="9"/>
      <c r="AY225" s="21"/>
      <c r="AZ225" s="21"/>
      <c r="BA225" s="21"/>
      <c r="BB225" s="21"/>
      <c r="BC225" s="21"/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/>
      <c r="H226" s="21"/>
      <c r="I226" s="21"/>
      <c r="J226" s="21"/>
      <c r="K226" s="21"/>
      <c r="N226" s="9"/>
      <c r="O226" s="21"/>
      <c r="P226" s="21"/>
      <c r="Q226" s="21"/>
      <c r="R226" s="21"/>
      <c r="S226" s="21"/>
      <c r="X226" s="9"/>
      <c r="Y226" s="21"/>
      <c r="Z226" s="21"/>
      <c r="AA226" s="21"/>
      <c r="AB226" s="21"/>
      <c r="AC226" s="21"/>
      <c r="AF226" s="9"/>
      <c r="AG226" s="21"/>
      <c r="AH226" s="21"/>
      <c r="AI226" s="21"/>
      <c r="AJ226" s="21"/>
      <c r="AK226" s="21"/>
      <c r="AP226" s="9"/>
      <c r="AQ226" s="21"/>
      <c r="AR226" s="21"/>
      <c r="AS226" s="21"/>
      <c r="AT226" s="21"/>
      <c r="AU226" s="21"/>
      <c r="AX226" s="9"/>
      <c r="AY226" s="21"/>
      <c r="AZ226" s="21"/>
      <c r="BA226" s="21"/>
      <c r="BB226" s="21"/>
      <c r="BC226" s="21"/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/>
      <c r="H227" s="21"/>
      <c r="I227" s="21"/>
      <c r="J227" s="21"/>
      <c r="K227" s="21"/>
      <c r="N227" s="9"/>
      <c r="O227" s="21"/>
      <c r="P227" s="21"/>
      <c r="Q227" s="21"/>
      <c r="R227" s="21"/>
      <c r="S227" s="21"/>
      <c r="X227" s="9"/>
      <c r="Y227" s="21"/>
      <c r="Z227" s="21"/>
      <c r="AA227" s="21"/>
      <c r="AB227" s="21"/>
      <c r="AC227" s="21"/>
      <c r="AF227" s="9"/>
      <c r="AG227" s="21"/>
      <c r="AH227" s="21"/>
      <c r="AI227" s="21"/>
      <c r="AJ227" s="21"/>
      <c r="AK227" s="21"/>
      <c r="AP227" s="9"/>
      <c r="AQ227" s="21"/>
      <c r="AR227" s="21"/>
      <c r="AS227" s="21"/>
      <c r="AT227" s="21"/>
      <c r="AU227" s="21"/>
      <c r="AX227" s="9"/>
      <c r="AY227" s="21"/>
      <c r="AZ227" s="21"/>
      <c r="BA227" s="21"/>
      <c r="BB227" s="21"/>
      <c r="BC227" s="21"/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/>
      <c r="H228" s="21"/>
      <c r="I228" s="21"/>
      <c r="J228" s="21"/>
      <c r="K228" s="21"/>
      <c r="N228" s="9"/>
      <c r="O228" s="21"/>
      <c r="P228" s="21"/>
      <c r="Q228" s="21"/>
      <c r="R228" s="21"/>
      <c r="S228" s="21"/>
      <c r="X228" s="9"/>
      <c r="Y228" s="21"/>
      <c r="Z228" s="21"/>
      <c r="AA228" s="21"/>
      <c r="AB228" s="21"/>
      <c r="AC228" s="21"/>
      <c r="AF228" s="9"/>
      <c r="AG228" s="21"/>
      <c r="AH228" s="21"/>
      <c r="AI228" s="21"/>
      <c r="AJ228" s="21"/>
      <c r="AK228" s="21"/>
      <c r="AP228" s="9"/>
      <c r="AQ228" s="21"/>
      <c r="AR228" s="21"/>
      <c r="AS228" s="21"/>
      <c r="AT228" s="21"/>
      <c r="AU228" s="21"/>
      <c r="AX228" s="9"/>
      <c r="AY228" s="21"/>
      <c r="AZ228" s="21"/>
      <c r="BA228" s="21"/>
      <c r="BB228" s="21"/>
      <c r="BC228" s="21"/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/>
      <c r="H229" s="21"/>
      <c r="I229" s="21"/>
      <c r="J229" s="21"/>
      <c r="K229" s="21"/>
      <c r="N229" s="9"/>
      <c r="O229" s="21"/>
      <c r="P229" s="21"/>
      <c r="Q229" s="21"/>
      <c r="R229" s="21"/>
      <c r="S229" s="21"/>
      <c r="X229" s="9"/>
      <c r="Y229" s="21"/>
      <c r="Z229" s="21"/>
      <c r="AA229" s="21"/>
      <c r="AB229" s="21"/>
      <c r="AC229" s="21"/>
      <c r="AF229" s="9"/>
      <c r="AG229" s="21"/>
      <c r="AH229" s="21"/>
      <c r="AI229" s="21"/>
      <c r="AJ229" s="21"/>
      <c r="AK229" s="21"/>
      <c r="AP229" s="9"/>
      <c r="AQ229" s="21"/>
      <c r="AR229" s="21"/>
      <c r="AS229" s="21"/>
      <c r="AT229" s="21"/>
      <c r="AU229" s="21"/>
      <c r="AX229" s="9"/>
      <c r="AY229" s="21"/>
      <c r="AZ229" s="21"/>
      <c r="BA229" s="21"/>
      <c r="BB229" s="21"/>
      <c r="BC229" s="21"/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/>
      <c r="H230" s="21"/>
      <c r="I230" s="21"/>
      <c r="J230" s="21"/>
      <c r="K230" s="21"/>
      <c r="N230" s="9"/>
      <c r="O230" s="21"/>
      <c r="P230" s="21"/>
      <c r="Q230" s="21"/>
      <c r="R230" s="21"/>
      <c r="S230" s="21"/>
      <c r="X230" s="9"/>
      <c r="Y230" s="21"/>
      <c r="Z230" s="21"/>
      <c r="AA230" s="21"/>
      <c r="AB230" s="21"/>
      <c r="AC230" s="21"/>
      <c r="AF230" s="9"/>
      <c r="AG230" s="21"/>
      <c r="AH230" s="21"/>
      <c r="AI230" s="21"/>
      <c r="AJ230" s="21"/>
      <c r="AK230" s="21"/>
      <c r="AP230" s="9"/>
      <c r="AQ230" s="21"/>
      <c r="AR230" s="21"/>
      <c r="AS230" s="21"/>
      <c r="AT230" s="21"/>
      <c r="AU230" s="21"/>
      <c r="AX230" s="9"/>
      <c r="AY230" s="21"/>
      <c r="AZ230" s="21"/>
      <c r="BA230" s="21"/>
      <c r="BB230" s="21"/>
      <c r="BC230" s="21"/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/>
      <c r="H231" s="21"/>
      <c r="I231" s="21"/>
      <c r="J231" s="21"/>
      <c r="K231" s="21"/>
      <c r="N231" s="9"/>
      <c r="O231" s="21"/>
      <c r="P231" s="21"/>
      <c r="Q231" s="21"/>
      <c r="R231" s="21"/>
      <c r="S231" s="21"/>
      <c r="X231" s="9"/>
      <c r="Y231" s="21"/>
      <c r="Z231" s="21"/>
      <c r="AA231" s="21"/>
      <c r="AB231" s="21"/>
      <c r="AC231" s="21"/>
      <c r="AF231" s="9"/>
      <c r="AG231" s="21"/>
      <c r="AH231" s="21"/>
      <c r="AI231" s="21"/>
      <c r="AJ231" s="21"/>
      <c r="AK231" s="21"/>
      <c r="AP231" s="9"/>
      <c r="AQ231" s="21"/>
      <c r="AR231" s="21"/>
      <c r="AS231" s="21"/>
      <c r="AT231" s="21"/>
      <c r="AU231" s="21"/>
      <c r="AX231" s="9"/>
      <c r="AY231" s="21"/>
      <c r="AZ231" s="21"/>
      <c r="BA231" s="21"/>
      <c r="BB231" s="21"/>
      <c r="BC231" s="21"/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/>
      <c r="H232" s="21"/>
      <c r="I232" s="21"/>
      <c r="J232" s="21"/>
      <c r="K232" s="21"/>
      <c r="N232" s="9"/>
      <c r="O232" s="21"/>
      <c r="P232" s="21"/>
      <c r="Q232" s="21"/>
      <c r="R232" s="21"/>
      <c r="S232" s="21"/>
      <c r="X232" s="9"/>
      <c r="Y232" s="21"/>
      <c r="Z232" s="21"/>
      <c r="AA232" s="21"/>
      <c r="AB232" s="21"/>
      <c r="AC232" s="21"/>
      <c r="AF232" s="9"/>
      <c r="AG232" s="21"/>
      <c r="AH232" s="21"/>
      <c r="AI232" s="21"/>
      <c r="AJ232" s="21"/>
      <c r="AK232" s="21"/>
      <c r="AP232" s="9"/>
      <c r="AQ232" s="21"/>
      <c r="AR232" s="21"/>
      <c r="AS232" s="21"/>
      <c r="AT232" s="21"/>
      <c r="AU232" s="21"/>
      <c r="AX232" s="9"/>
      <c r="AY232" s="21"/>
      <c r="AZ232" s="21"/>
      <c r="BA232" s="21"/>
      <c r="BB232" s="21"/>
      <c r="BC232" s="21"/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/>
      <c r="H233" s="21"/>
      <c r="I233" s="21"/>
      <c r="J233" s="21"/>
      <c r="K233" s="21"/>
      <c r="N233" s="9"/>
      <c r="O233" s="21"/>
      <c r="P233" s="21"/>
      <c r="Q233" s="21"/>
      <c r="R233" s="21"/>
      <c r="S233" s="21"/>
      <c r="X233" s="9"/>
      <c r="Y233" s="21"/>
      <c r="Z233" s="21"/>
      <c r="AA233" s="21"/>
      <c r="AB233" s="21"/>
      <c r="AC233" s="21"/>
      <c r="AF233" s="9"/>
      <c r="AG233" s="21"/>
      <c r="AH233" s="21"/>
      <c r="AI233" s="21"/>
      <c r="AJ233" s="21"/>
      <c r="AK233" s="21"/>
      <c r="AP233" s="9"/>
      <c r="AQ233" s="21"/>
      <c r="AR233" s="21"/>
      <c r="AS233" s="21"/>
      <c r="AT233" s="21"/>
      <c r="AU233" s="21"/>
      <c r="AX233" s="9"/>
      <c r="AY233" s="21"/>
      <c r="AZ233" s="21"/>
      <c r="BA233" s="21"/>
      <c r="BB233" s="21"/>
      <c r="BC233" s="21"/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/>
      <c r="H234" s="21"/>
      <c r="I234" s="21"/>
      <c r="J234" s="21"/>
      <c r="K234" s="21"/>
      <c r="N234" s="9"/>
      <c r="O234" s="21"/>
      <c r="P234" s="21"/>
      <c r="Q234" s="21"/>
      <c r="R234" s="21"/>
      <c r="S234" s="21"/>
      <c r="X234" s="9"/>
      <c r="Y234" s="21"/>
      <c r="Z234" s="21"/>
      <c r="AA234" s="21"/>
      <c r="AB234" s="21"/>
      <c r="AC234" s="21"/>
      <c r="AF234" s="9"/>
      <c r="AG234" s="21"/>
      <c r="AH234" s="21"/>
      <c r="AI234" s="21"/>
      <c r="AJ234" s="21"/>
      <c r="AK234" s="21"/>
      <c r="AP234" s="9"/>
      <c r="AQ234" s="21"/>
      <c r="AR234" s="21"/>
      <c r="AS234" s="21"/>
      <c r="AT234" s="21"/>
      <c r="AU234" s="21"/>
      <c r="AX234" s="9"/>
      <c r="AY234" s="21"/>
      <c r="AZ234" s="21"/>
      <c r="BA234" s="21"/>
      <c r="BB234" s="21"/>
      <c r="BC234" s="21"/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/>
      <c r="H235" s="21"/>
      <c r="I235" s="21"/>
      <c r="J235" s="21"/>
      <c r="K235" s="21"/>
      <c r="N235" s="9"/>
      <c r="O235" s="21"/>
      <c r="P235" s="21"/>
      <c r="Q235" s="21"/>
      <c r="R235" s="21"/>
      <c r="S235" s="21"/>
      <c r="X235" s="9"/>
      <c r="Y235" s="21"/>
      <c r="Z235" s="21"/>
      <c r="AA235" s="21"/>
      <c r="AB235" s="21"/>
      <c r="AC235" s="21"/>
      <c r="AF235" s="9"/>
      <c r="AG235" s="21"/>
      <c r="AH235" s="21"/>
      <c r="AI235" s="21"/>
      <c r="AJ235" s="21"/>
      <c r="AK235" s="21"/>
      <c r="AP235" s="9"/>
      <c r="AQ235" s="21"/>
      <c r="AR235" s="21"/>
      <c r="AS235" s="21"/>
      <c r="AT235" s="21"/>
      <c r="AU235" s="21"/>
      <c r="AX235" s="9"/>
      <c r="AY235" s="21"/>
      <c r="AZ235" s="21"/>
      <c r="BA235" s="21"/>
      <c r="BB235" s="21"/>
      <c r="BC235" s="21"/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/>
      <c r="H236" s="21"/>
      <c r="I236" s="21"/>
      <c r="J236" s="21"/>
      <c r="K236" s="21"/>
      <c r="N236" s="9"/>
      <c r="O236" s="21"/>
      <c r="P236" s="21"/>
      <c r="Q236" s="21"/>
      <c r="R236" s="21"/>
      <c r="S236" s="21"/>
      <c r="X236" s="9"/>
      <c r="Y236" s="21"/>
      <c r="Z236" s="21"/>
      <c r="AA236" s="21"/>
      <c r="AB236" s="21"/>
      <c r="AC236" s="21"/>
      <c r="AF236" s="9"/>
      <c r="AG236" s="21"/>
      <c r="AH236" s="21"/>
      <c r="AI236" s="21"/>
      <c r="AJ236" s="21"/>
      <c r="AK236" s="21"/>
      <c r="AP236" s="9"/>
      <c r="AQ236" s="21"/>
      <c r="AR236" s="21"/>
      <c r="AS236" s="21"/>
      <c r="AT236" s="21"/>
      <c r="AU236" s="21"/>
      <c r="AX236" s="9"/>
      <c r="AY236" s="21"/>
      <c r="AZ236" s="21"/>
      <c r="BA236" s="21"/>
      <c r="BB236" s="21"/>
      <c r="BC236" s="21"/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/>
      <c r="H237" s="21"/>
      <c r="I237" s="21"/>
      <c r="J237" s="21"/>
      <c r="K237" s="21"/>
      <c r="N237" s="9"/>
      <c r="O237" s="21"/>
      <c r="P237" s="21"/>
      <c r="Q237" s="21"/>
      <c r="R237" s="21"/>
      <c r="S237" s="21"/>
      <c r="X237" s="9"/>
      <c r="Y237" s="21"/>
      <c r="Z237" s="21"/>
      <c r="AA237" s="21"/>
      <c r="AB237" s="21"/>
      <c r="AC237" s="21"/>
      <c r="AF237" s="9"/>
      <c r="AG237" s="21"/>
      <c r="AH237" s="21"/>
      <c r="AI237" s="21"/>
      <c r="AJ237" s="21"/>
      <c r="AK237" s="21"/>
      <c r="AP237" s="9"/>
      <c r="AQ237" s="21"/>
      <c r="AR237" s="21"/>
      <c r="AS237" s="21"/>
      <c r="AT237" s="21"/>
      <c r="AU237" s="21"/>
      <c r="AX237" s="9"/>
      <c r="AY237" s="21"/>
      <c r="AZ237" s="21"/>
      <c r="BA237" s="21"/>
      <c r="BB237" s="21"/>
      <c r="BC237" s="21"/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/>
      <c r="H238" s="21"/>
      <c r="I238" s="21"/>
      <c r="J238" s="21"/>
      <c r="K238" s="21"/>
      <c r="N238" s="9"/>
      <c r="O238" s="21"/>
      <c r="P238" s="21"/>
      <c r="Q238" s="21"/>
      <c r="R238" s="21"/>
      <c r="S238" s="21"/>
      <c r="X238" s="9"/>
      <c r="Y238" s="21"/>
      <c r="Z238" s="21"/>
      <c r="AA238" s="21"/>
      <c r="AB238" s="21"/>
      <c r="AC238" s="21"/>
      <c r="AF238" s="9"/>
      <c r="AG238" s="21"/>
      <c r="AH238" s="21"/>
      <c r="AI238" s="21"/>
      <c r="AJ238" s="21"/>
      <c r="AK238" s="21"/>
      <c r="AP238" s="9"/>
      <c r="AQ238" s="21"/>
      <c r="AR238" s="21"/>
      <c r="AS238" s="21"/>
      <c r="AT238" s="21"/>
      <c r="AU238" s="21"/>
      <c r="AX238" s="9"/>
      <c r="AY238" s="21"/>
      <c r="AZ238" s="21"/>
      <c r="BA238" s="21"/>
      <c r="BB238" s="21"/>
      <c r="BC238" s="21"/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/>
      <c r="H239" s="21"/>
      <c r="I239" s="21"/>
      <c r="J239" s="21"/>
      <c r="K239" s="21"/>
      <c r="N239" s="9"/>
      <c r="O239" s="21"/>
      <c r="P239" s="21"/>
      <c r="Q239" s="21"/>
      <c r="R239" s="21"/>
      <c r="S239" s="21"/>
      <c r="X239" s="9"/>
      <c r="Y239" s="21"/>
      <c r="Z239" s="21"/>
      <c r="AA239" s="21"/>
      <c r="AB239" s="21"/>
      <c r="AC239" s="21"/>
      <c r="AF239" s="9"/>
      <c r="AG239" s="21"/>
      <c r="AH239" s="21"/>
      <c r="AI239" s="21"/>
      <c r="AJ239" s="21"/>
      <c r="AK239" s="21"/>
      <c r="AP239" s="9"/>
      <c r="AQ239" s="21"/>
      <c r="AR239" s="21"/>
      <c r="AS239" s="21"/>
      <c r="AT239" s="21"/>
      <c r="AU239" s="21"/>
      <c r="AX239" s="9"/>
      <c r="AY239" s="21"/>
      <c r="AZ239" s="21"/>
      <c r="BA239" s="21"/>
      <c r="BB239" s="21"/>
      <c r="BC239" s="21"/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/>
      <c r="H240" s="21"/>
      <c r="I240" s="21"/>
      <c r="J240" s="21"/>
      <c r="K240" s="21"/>
      <c r="N240" s="9"/>
      <c r="O240" s="21"/>
      <c r="P240" s="21"/>
      <c r="Q240" s="21"/>
      <c r="R240" s="21"/>
      <c r="S240" s="21"/>
      <c r="X240" s="9"/>
      <c r="Y240" s="21"/>
      <c r="Z240" s="21"/>
      <c r="AA240" s="21"/>
      <c r="AB240" s="21"/>
      <c r="AC240" s="21"/>
      <c r="AF240" s="9"/>
      <c r="AG240" s="21"/>
      <c r="AH240" s="21"/>
      <c r="AI240" s="21"/>
      <c r="AJ240" s="21"/>
      <c r="AK240" s="21"/>
      <c r="AP240" s="9"/>
      <c r="AQ240" s="21"/>
      <c r="AR240" s="21"/>
      <c r="AS240" s="21"/>
      <c r="AT240" s="21"/>
      <c r="AU240" s="21"/>
      <c r="AX240" s="9"/>
      <c r="AY240" s="21"/>
      <c r="AZ240" s="21"/>
      <c r="BA240" s="21"/>
      <c r="BB240" s="21"/>
      <c r="BC240" s="21"/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/>
      <c r="H241" s="21"/>
      <c r="I241" s="21"/>
      <c r="J241" s="21"/>
      <c r="K241" s="21"/>
      <c r="N241" s="9"/>
      <c r="O241" s="21"/>
      <c r="P241" s="21"/>
      <c r="Q241" s="21"/>
      <c r="R241" s="21"/>
      <c r="S241" s="21"/>
      <c r="X241" s="9"/>
      <c r="Y241" s="21"/>
      <c r="Z241" s="21"/>
      <c r="AA241" s="21"/>
      <c r="AB241" s="21"/>
      <c r="AC241" s="21"/>
      <c r="AF241" s="9"/>
      <c r="AG241" s="21"/>
      <c r="AH241" s="21"/>
      <c r="AI241" s="21"/>
      <c r="AJ241" s="21"/>
      <c r="AK241" s="21"/>
      <c r="AP241" s="9"/>
      <c r="AQ241" s="21"/>
      <c r="AR241" s="21"/>
      <c r="AS241" s="21"/>
      <c r="AT241" s="21"/>
      <c r="AU241" s="21"/>
      <c r="AX241" s="9"/>
      <c r="AY241" s="21"/>
      <c r="AZ241" s="21"/>
      <c r="BA241" s="21"/>
      <c r="BB241" s="21"/>
      <c r="BC241" s="21"/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/>
      <c r="H242" s="21"/>
      <c r="I242" s="21"/>
      <c r="J242" s="21"/>
      <c r="K242" s="21"/>
      <c r="N242" s="9"/>
      <c r="O242" s="21"/>
      <c r="P242" s="21"/>
      <c r="Q242" s="21"/>
      <c r="R242" s="21"/>
      <c r="S242" s="21"/>
      <c r="X242" s="9"/>
      <c r="Y242" s="21"/>
      <c r="Z242" s="21"/>
      <c r="AA242" s="21"/>
      <c r="AB242" s="21"/>
      <c r="AC242" s="21"/>
      <c r="AF242" s="9"/>
      <c r="AG242" s="21"/>
      <c r="AH242" s="21"/>
      <c r="AI242" s="21"/>
      <c r="AJ242" s="21"/>
      <c r="AK242" s="21"/>
      <c r="AP242" s="9"/>
      <c r="AQ242" s="21"/>
      <c r="AR242" s="21"/>
      <c r="AS242" s="21"/>
      <c r="AT242" s="21"/>
      <c r="AU242" s="21"/>
      <c r="AX242" s="9"/>
      <c r="AY242" s="21"/>
      <c r="AZ242" s="21"/>
      <c r="BA242" s="21"/>
      <c r="BB242" s="21"/>
      <c r="BC242" s="21"/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/>
      <c r="H243" s="21"/>
      <c r="I243" s="21"/>
      <c r="J243" s="21"/>
      <c r="K243" s="21"/>
      <c r="N243" s="9"/>
      <c r="O243" s="21"/>
      <c r="P243" s="21"/>
      <c r="Q243" s="21"/>
      <c r="R243" s="21"/>
      <c r="S243" s="21"/>
      <c r="X243" s="9"/>
      <c r="Y243" s="21"/>
      <c r="Z243" s="21"/>
      <c r="AA243" s="21"/>
      <c r="AB243" s="21"/>
      <c r="AC243" s="21"/>
      <c r="AF243" s="9"/>
      <c r="AG243" s="21"/>
      <c r="AH243" s="21"/>
      <c r="AI243" s="21"/>
      <c r="AJ243" s="21"/>
      <c r="AK243" s="21"/>
      <c r="AP243" s="9"/>
      <c r="AQ243" s="21"/>
      <c r="AR243" s="21"/>
      <c r="AS243" s="21"/>
      <c r="AT243" s="21"/>
      <c r="AU243" s="21"/>
      <c r="AX243" s="9"/>
      <c r="AY243" s="21"/>
      <c r="AZ243" s="21"/>
      <c r="BA243" s="21"/>
      <c r="BB243" s="21"/>
      <c r="BC243" s="21"/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/>
      <c r="H244" s="21"/>
      <c r="I244" s="21"/>
      <c r="J244" s="21"/>
      <c r="K244" s="21"/>
      <c r="N244" s="9"/>
      <c r="O244" s="21"/>
      <c r="P244" s="21"/>
      <c r="Q244" s="21"/>
      <c r="R244" s="21"/>
      <c r="S244" s="21"/>
      <c r="X244" s="9"/>
      <c r="Y244" s="21"/>
      <c r="Z244" s="21"/>
      <c r="AA244" s="21"/>
      <c r="AB244" s="21"/>
      <c r="AC244" s="21"/>
      <c r="AF244" s="9"/>
      <c r="AG244" s="21"/>
      <c r="AH244" s="21"/>
      <c r="AI244" s="21"/>
      <c r="AJ244" s="21"/>
      <c r="AK244" s="21"/>
      <c r="AP244" s="9"/>
      <c r="AQ244" s="21"/>
      <c r="AR244" s="21"/>
      <c r="AS244" s="21"/>
      <c r="AT244" s="21"/>
      <c r="AU244" s="21"/>
      <c r="AX244" s="9"/>
      <c r="AY244" s="21"/>
      <c r="AZ244" s="21"/>
      <c r="BA244" s="21"/>
      <c r="BB244" s="21"/>
      <c r="BC244" s="21"/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/>
      <c r="H245" s="21"/>
      <c r="I245" s="21"/>
      <c r="J245" s="21"/>
      <c r="K245" s="21"/>
      <c r="N245" s="9"/>
      <c r="O245" s="21"/>
      <c r="P245" s="21"/>
      <c r="Q245" s="21"/>
      <c r="R245" s="21"/>
      <c r="S245" s="21"/>
      <c r="X245" s="9"/>
      <c r="Y245" s="21"/>
      <c r="Z245" s="21"/>
      <c r="AA245" s="21"/>
      <c r="AB245" s="21"/>
      <c r="AC245" s="21"/>
      <c r="AF245" s="9"/>
      <c r="AG245" s="21"/>
      <c r="AH245" s="21"/>
      <c r="AI245" s="21"/>
      <c r="AJ245" s="21"/>
      <c r="AK245" s="21"/>
      <c r="AP245" s="9"/>
      <c r="AQ245" s="21"/>
      <c r="AR245" s="21"/>
      <c r="AS245" s="21"/>
      <c r="AT245" s="21"/>
      <c r="AU245" s="21"/>
      <c r="AX245" s="9"/>
      <c r="AY245" s="21"/>
      <c r="AZ245" s="21"/>
      <c r="BA245" s="21"/>
      <c r="BB245" s="21"/>
      <c r="BC245" s="21"/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/>
      <c r="H246" s="21"/>
      <c r="I246" s="21"/>
      <c r="J246" s="21"/>
      <c r="K246" s="21"/>
      <c r="N246" s="9"/>
      <c r="O246" s="21"/>
      <c r="P246" s="21"/>
      <c r="Q246" s="21"/>
      <c r="R246" s="21"/>
      <c r="S246" s="21"/>
      <c r="X246" s="9"/>
      <c r="Y246" s="21"/>
      <c r="Z246" s="21"/>
      <c r="AA246" s="21"/>
      <c r="AB246" s="21"/>
      <c r="AC246" s="21"/>
      <c r="AF246" s="9"/>
      <c r="AG246" s="21"/>
      <c r="AH246" s="21"/>
      <c r="AI246" s="21"/>
      <c r="AJ246" s="21"/>
      <c r="AK246" s="21"/>
      <c r="AP246" s="9"/>
      <c r="AQ246" s="21"/>
      <c r="AR246" s="21"/>
      <c r="AS246" s="21"/>
      <c r="AT246" s="21"/>
      <c r="AU246" s="21"/>
      <c r="AX246" s="9"/>
      <c r="AY246" s="21"/>
      <c r="AZ246" s="21"/>
      <c r="BA246" s="21"/>
      <c r="BB246" s="21"/>
      <c r="BC246" s="21"/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/>
      <c r="H247" s="21"/>
      <c r="I247" s="21"/>
      <c r="J247" s="21"/>
      <c r="K247" s="21"/>
      <c r="N247" s="9"/>
      <c r="O247" s="21"/>
      <c r="P247" s="21"/>
      <c r="Q247" s="21"/>
      <c r="R247" s="21"/>
      <c r="S247" s="21"/>
      <c r="X247" s="9"/>
      <c r="Y247" s="21"/>
      <c r="Z247" s="21"/>
      <c r="AA247" s="21"/>
      <c r="AB247" s="21"/>
      <c r="AC247" s="21"/>
      <c r="AF247" s="9"/>
      <c r="AG247" s="21"/>
      <c r="AH247" s="21"/>
      <c r="AI247" s="21"/>
      <c r="AJ247" s="21"/>
      <c r="AK247" s="21"/>
      <c r="AP247" s="9"/>
      <c r="AQ247" s="21"/>
      <c r="AR247" s="21"/>
      <c r="AS247" s="21"/>
      <c r="AT247" s="21"/>
      <c r="AU247" s="21"/>
      <c r="AX247" s="9"/>
      <c r="AY247" s="21"/>
      <c r="AZ247" s="21"/>
      <c r="BA247" s="21"/>
      <c r="BB247" s="21"/>
      <c r="BC247" s="21"/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/>
      <c r="H248" s="21"/>
      <c r="I248" s="21"/>
      <c r="J248" s="21"/>
      <c r="K248" s="21"/>
      <c r="N248" s="9"/>
      <c r="O248" s="21"/>
      <c r="P248" s="21"/>
      <c r="Q248" s="21"/>
      <c r="R248" s="21"/>
      <c r="S248" s="21"/>
      <c r="X248" s="9"/>
      <c r="Y248" s="21"/>
      <c r="Z248" s="21"/>
      <c r="AA248" s="21"/>
      <c r="AB248" s="21"/>
      <c r="AC248" s="21"/>
      <c r="AF248" s="9"/>
      <c r="AG248" s="21"/>
      <c r="AH248" s="21"/>
      <c r="AI248" s="21"/>
      <c r="AJ248" s="21"/>
      <c r="AK248" s="21"/>
      <c r="AP248" s="9"/>
      <c r="AQ248" s="21"/>
      <c r="AR248" s="21"/>
      <c r="AS248" s="21"/>
      <c r="AT248" s="21"/>
      <c r="AU248" s="21"/>
      <c r="AX248" s="9"/>
      <c r="AY248" s="21"/>
      <c r="AZ248" s="21"/>
      <c r="BA248" s="21"/>
      <c r="BB248" s="21"/>
      <c r="BC248" s="21"/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/>
      <c r="H249" s="21"/>
      <c r="I249" s="21"/>
      <c r="J249" s="21"/>
      <c r="K249" s="21"/>
      <c r="N249" s="9"/>
      <c r="O249" s="21"/>
      <c r="P249" s="21"/>
      <c r="Q249" s="21"/>
      <c r="R249" s="21"/>
      <c r="S249" s="21"/>
      <c r="X249" s="9"/>
      <c r="Y249" s="21"/>
      <c r="Z249" s="21"/>
      <c r="AA249" s="21"/>
      <c r="AB249" s="21"/>
      <c r="AC249" s="21"/>
      <c r="AF249" s="9"/>
      <c r="AG249" s="21"/>
      <c r="AH249" s="21"/>
      <c r="AI249" s="21"/>
      <c r="AJ249" s="21"/>
      <c r="AK249" s="21"/>
      <c r="AP249" s="9"/>
      <c r="AQ249" s="21"/>
      <c r="AR249" s="21"/>
      <c r="AS249" s="21"/>
      <c r="AT249" s="21"/>
      <c r="AU249" s="21"/>
      <c r="AX249" s="9"/>
      <c r="AY249" s="21"/>
      <c r="AZ249" s="21"/>
      <c r="BA249" s="21"/>
      <c r="BB249" s="21"/>
      <c r="BC249" s="21"/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/>
      <c r="H250" s="21"/>
      <c r="I250" s="21"/>
      <c r="J250" s="21"/>
      <c r="K250" s="21"/>
      <c r="N250" s="9"/>
      <c r="O250" s="21"/>
      <c r="P250" s="21"/>
      <c r="Q250" s="21"/>
      <c r="R250" s="21"/>
      <c r="S250" s="21"/>
      <c r="X250" s="9"/>
      <c r="Y250" s="21"/>
      <c r="Z250" s="21"/>
      <c r="AA250" s="21"/>
      <c r="AB250" s="21"/>
      <c r="AC250" s="21"/>
      <c r="AF250" s="9"/>
      <c r="AG250" s="21"/>
      <c r="AH250" s="21"/>
      <c r="AI250" s="21"/>
      <c r="AJ250" s="21"/>
      <c r="AK250" s="21"/>
      <c r="AP250" s="9"/>
      <c r="AQ250" s="21"/>
      <c r="AR250" s="21"/>
      <c r="AS250" s="21"/>
      <c r="AT250" s="21"/>
      <c r="AU250" s="21"/>
      <c r="AX250" s="9"/>
      <c r="AY250" s="21"/>
      <c r="AZ250" s="21"/>
      <c r="BA250" s="21"/>
      <c r="BB250" s="21"/>
      <c r="BC250" s="21"/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/>
      <c r="H251" s="21"/>
      <c r="I251" s="21"/>
      <c r="J251" s="21"/>
      <c r="K251" s="21"/>
      <c r="N251" s="9"/>
      <c r="O251" s="21"/>
      <c r="P251" s="21"/>
      <c r="Q251" s="21"/>
      <c r="R251" s="21"/>
      <c r="S251" s="21"/>
      <c r="X251" s="9"/>
      <c r="Y251" s="21"/>
      <c r="Z251" s="21"/>
      <c r="AA251" s="21"/>
      <c r="AB251" s="21"/>
      <c r="AC251" s="21"/>
      <c r="AF251" s="9"/>
      <c r="AG251" s="21"/>
      <c r="AH251" s="21"/>
      <c r="AI251" s="21"/>
      <c r="AJ251" s="21"/>
      <c r="AK251" s="21"/>
      <c r="AP251" s="9"/>
      <c r="AQ251" s="21"/>
      <c r="AR251" s="21"/>
      <c r="AS251" s="21"/>
      <c r="AT251" s="21"/>
      <c r="AU251" s="21"/>
      <c r="AX251" s="9"/>
      <c r="AY251" s="21"/>
      <c r="AZ251" s="21"/>
      <c r="BA251" s="21"/>
      <c r="BB251" s="21"/>
      <c r="BC251" s="21"/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/>
      <c r="H252" s="21"/>
      <c r="I252" s="21"/>
      <c r="J252" s="21"/>
      <c r="K252" s="21"/>
      <c r="N252" s="9"/>
      <c r="O252" s="21"/>
      <c r="P252" s="21"/>
      <c r="Q252" s="21"/>
      <c r="R252" s="21"/>
      <c r="S252" s="21"/>
      <c r="X252" s="9"/>
      <c r="Y252" s="21"/>
      <c r="Z252" s="21"/>
      <c r="AA252" s="21"/>
      <c r="AB252" s="21"/>
      <c r="AC252" s="21"/>
      <c r="AF252" s="9"/>
      <c r="AG252" s="21"/>
      <c r="AH252" s="21"/>
      <c r="AI252" s="21"/>
      <c r="AJ252" s="21"/>
      <c r="AK252" s="21"/>
      <c r="AP252" s="9"/>
      <c r="AQ252" s="21"/>
      <c r="AR252" s="21"/>
      <c r="AS252" s="21"/>
      <c r="AT252" s="21"/>
      <c r="AU252" s="21"/>
      <c r="AX252" s="9"/>
      <c r="AY252" s="21"/>
      <c r="AZ252" s="21"/>
      <c r="BA252" s="21"/>
      <c r="BB252" s="21"/>
      <c r="BC252" s="21"/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/>
      <c r="H253" s="21"/>
      <c r="I253" s="21"/>
      <c r="J253" s="21"/>
      <c r="K253" s="21"/>
      <c r="N253" s="9"/>
      <c r="O253" s="21"/>
      <c r="P253" s="21"/>
      <c r="Q253" s="21"/>
      <c r="R253" s="21"/>
      <c r="S253" s="21"/>
      <c r="X253" s="9"/>
      <c r="Y253" s="21"/>
      <c r="Z253" s="21"/>
      <c r="AA253" s="21"/>
      <c r="AB253" s="21"/>
      <c r="AC253" s="21"/>
      <c r="AF253" s="9"/>
      <c r="AG253" s="21"/>
      <c r="AH253" s="21"/>
      <c r="AI253" s="21"/>
      <c r="AJ253" s="21"/>
      <c r="AK253" s="21"/>
      <c r="AP253" s="9"/>
      <c r="AQ253" s="21"/>
      <c r="AR253" s="21"/>
      <c r="AS253" s="21"/>
      <c r="AT253" s="21"/>
      <c r="AU253" s="21"/>
      <c r="AX253" s="9"/>
      <c r="AY253" s="21"/>
      <c r="AZ253" s="21"/>
      <c r="BA253" s="21"/>
      <c r="BB253" s="21"/>
      <c r="BC253" s="21"/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/>
      <c r="H254" s="21"/>
      <c r="I254" s="21"/>
      <c r="J254" s="21"/>
      <c r="K254" s="21"/>
      <c r="N254" s="9"/>
      <c r="O254" s="21"/>
      <c r="P254" s="21"/>
      <c r="Q254" s="21"/>
      <c r="R254" s="21"/>
      <c r="S254" s="21"/>
      <c r="X254" s="9"/>
      <c r="Y254" s="21"/>
      <c r="Z254" s="21"/>
      <c r="AA254" s="21"/>
      <c r="AB254" s="21"/>
      <c r="AC254" s="21"/>
      <c r="AF254" s="9"/>
      <c r="AG254" s="21"/>
      <c r="AH254" s="21"/>
      <c r="AI254" s="21"/>
      <c r="AJ254" s="21"/>
      <c r="AK254" s="21"/>
      <c r="AP254" s="9"/>
      <c r="AQ254" s="21"/>
      <c r="AR254" s="21"/>
      <c r="AS254" s="21"/>
      <c r="AT254" s="21"/>
      <c r="AU254" s="21"/>
      <c r="AX254" s="9"/>
      <c r="AY254" s="21"/>
      <c r="AZ254" s="21"/>
      <c r="BA254" s="21"/>
      <c r="BB254" s="21"/>
      <c r="BC254" s="21"/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/>
      <c r="H255" s="21"/>
      <c r="I255" s="21"/>
      <c r="J255" s="21"/>
      <c r="K255" s="21"/>
      <c r="N255" s="9"/>
      <c r="O255" s="21"/>
      <c r="P255" s="21"/>
      <c r="Q255" s="21"/>
      <c r="R255" s="21"/>
      <c r="S255" s="21"/>
      <c r="X255" s="9"/>
      <c r="Y255" s="21"/>
      <c r="Z255" s="21"/>
      <c r="AA255" s="21"/>
      <c r="AB255" s="21"/>
      <c r="AC255" s="21"/>
      <c r="AF255" s="9"/>
      <c r="AG255" s="21"/>
      <c r="AH255" s="21"/>
      <c r="AI255" s="21"/>
      <c r="AJ255" s="21"/>
      <c r="AK255" s="21"/>
      <c r="AP255" s="9"/>
      <c r="AQ255" s="21"/>
      <c r="AR255" s="21"/>
      <c r="AS255" s="21"/>
      <c r="AT255" s="21"/>
      <c r="AU255" s="21"/>
      <c r="AX255" s="9"/>
      <c r="AY255" s="21"/>
      <c r="AZ255" s="21"/>
      <c r="BA255" s="21"/>
      <c r="BB255" s="21"/>
      <c r="BC255" s="21"/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/>
      <c r="H256" s="21"/>
      <c r="I256" s="21"/>
      <c r="J256" s="21"/>
      <c r="K256" s="21"/>
      <c r="N256" s="9"/>
      <c r="O256" s="21"/>
      <c r="P256" s="21"/>
      <c r="Q256" s="21"/>
      <c r="R256" s="21"/>
      <c r="S256" s="21"/>
      <c r="X256" s="9"/>
      <c r="Y256" s="21"/>
      <c r="Z256" s="21"/>
      <c r="AA256" s="21"/>
      <c r="AB256" s="21"/>
      <c r="AC256" s="21"/>
      <c r="AF256" s="9"/>
      <c r="AG256" s="21"/>
      <c r="AH256" s="21"/>
      <c r="AI256" s="21"/>
      <c r="AJ256" s="21"/>
      <c r="AK256" s="21"/>
      <c r="AP256" s="9"/>
      <c r="AQ256" s="21"/>
      <c r="AR256" s="21"/>
      <c r="AS256" s="21"/>
      <c r="AT256" s="21"/>
      <c r="AU256" s="21"/>
      <c r="AX256" s="9"/>
      <c r="AY256" s="21"/>
      <c r="AZ256" s="21"/>
      <c r="BA256" s="21"/>
      <c r="BB256" s="21"/>
      <c r="BC256" s="21"/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/>
      <c r="H257" s="21"/>
      <c r="I257" s="21"/>
      <c r="J257" s="21"/>
      <c r="K257" s="21"/>
      <c r="N257" s="9"/>
      <c r="O257" s="21"/>
      <c r="P257" s="21"/>
      <c r="Q257" s="24"/>
      <c r="R257" s="21"/>
      <c r="S257" s="21"/>
      <c r="X257" s="9"/>
      <c r="Y257" s="21"/>
      <c r="Z257" s="21"/>
      <c r="AA257" s="21"/>
      <c r="AB257" s="21"/>
      <c r="AC257" s="21"/>
      <c r="AF257" s="9"/>
      <c r="AG257" s="21"/>
      <c r="AH257" s="21"/>
      <c r="AI257" s="21"/>
      <c r="AJ257" s="21"/>
      <c r="AK257" s="21"/>
      <c r="AP257" s="9"/>
      <c r="AQ257" s="21"/>
      <c r="AR257" s="21"/>
      <c r="AS257" s="21"/>
      <c r="AT257" s="21"/>
      <c r="AU257" s="21"/>
      <c r="AX257" s="9"/>
      <c r="AY257" s="21"/>
      <c r="AZ257" s="21"/>
      <c r="BA257" s="21"/>
      <c r="BB257" s="21"/>
      <c r="BC257" s="21"/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/>
      <c r="H258" s="21"/>
      <c r="I258" s="21"/>
      <c r="J258" s="21"/>
      <c r="K258" s="21"/>
      <c r="N258" s="9"/>
      <c r="O258" s="21"/>
      <c r="P258" s="21"/>
      <c r="Q258" s="21"/>
      <c r="R258" s="21"/>
      <c r="S258" s="21"/>
      <c r="X258" s="9"/>
      <c r="Y258" s="21"/>
      <c r="Z258" s="21"/>
      <c r="AA258" s="21"/>
      <c r="AB258" s="21"/>
      <c r="AC258" s="21"/>
      <c r="AF258" s="9"/>
      <c r="AG258" s="21"/>
      <c r="AH258" s="21"/>
      <c r="AI258" s="24"/>
      <c r="AJ258" s="21"/>
      <c r="AK258" s="21"/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/>
      <c r="H259" s="21"/>
      <c r="I259" s="21"/>
      <c r="J259" s="21"/>
      <c r="K259" s="21"/>
      <c r="X259" s="9"/>
      <c r="Y259" s="21"/>
      <c r="Z259" s="21"/>
      <c r="AA259" s="21"/>
      <c r="AB259" s="21"/>
      <c r="AC259" s="21"/>
      <c r="AF259" s="9"/>
      <c r="AG259" s="21"/>
      <c r="AH259" s="21"/>
      <c r="AI259" s="21"/>
      <c r="AJ259" s="21"/>
      <c r="AK259" s="21"/>
      <c r="AP259" s="9"/>
      <c r="AQ259" s="21"/>
      <c r="AR259" s="21"/>
      <c r="AS259" s="21"/>
      <c r="AT259" s="21"/>
      <c r="AU259" s="21"/>
      <c r="AX259" s="9"/>
      <c r="AY259" s="21"/>
      <c r="AZ259" s="21"/>
      <c r="BA259" s="24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/>
      <c r="H260" s="21"/>
      <c r="I260" s="21"/>
      <c r="J260" s="21"/>
      <c r="K260" s="21"/>
      <c r="X260" s="9"/>
      <c r="Y260" s="21"/>
      <c r="Z260" s="21"/>
      <c r="AA260" s="21"/>
      <c r="AB260" s="21"/>
      <c r="AC260" s="21"/>
      <c r="AP260" s="9"/>
      <c r="AQ260" s="21"/>
      <c r="AR260" s="21"/>
      <c r="AS260" s="21"/>
      <c r="AT260" s="21"/>
      <c r="AU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/>
      <c r="H261" s="21"/>
      <c r="I261" s="21"/>
      <c r="J261" s="21"/>
      <c r="K261" s="21"/>
      <c r="X261" s="9"/>
      <c r="Y261" s="21"/>
      <c r="Z261" s="21"/>
      <c r="AA261" s="21"/>
      <c r="AB261" s="21"/>
      <c r="AC261" s="21"/>
      <c r="AP261" s="9"/>
      <c r="AQ261" s="21"/>
      <c r="AR261" s="21"/>
      <c r="AS261" s="21"/>
      <c r="AT261" s="21"/>
      <c r="AU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/>
      <c r="H262" s="21"/>
      <c r="I262" s="21"/>
      <c r="J262" s="21"/>
      <c r="K262" s="21"/>
      <c r="X262" s="9"/>
      <c r="Y262" s="21"/>
      <c r="Z262" s="21"/>
      <c r="AA262" s="21"/>
      <c r="AB262" s="21"/>
      <c r="AC262" s="21"/>
      <c r="AP262" s="9"/>
      <c r="AQ262" s="21"/>
      <c r="AR262" s="21"/>
      <c r="AS262" s="21"/>
      <c r="AT262" s="21"/>
      <c r="AU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/>
      <c r="H263" s="21"/>
      <c r="I263" s="21"/>
      <c r="J263" s="21"/>
      <c r="K263" s="21"/>
      <c r="X263" s="9"/>
      <c r="Y263" s="21"/>
      <c r="Z263" s="21"/>
      <c r="AA263" s="21"/>
      <c r="AB263" s="21"/>
      <c r="AC263" s="21"/>
      <c r="AP263" s="9"/>
      <c r="AQ263" s="21"/>
      <c r="AR263" s="21"/>
      <c r="AS263" s="21"/>
      <c r="AT263" s="21"/>
      <c r="AU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/>
      <c r="H264" s="21"/>
      <c r="I264" s="21"/>
      <c r="J264" s="21"/>
      <c r="K264" s="21"/>
      <c r="X264" s="9"/>
      <c r="Y264" s="21"/>
      <c r="Z264" s="21"/>
      <c r="AA264" s="21"/>
      <c r="AB264" s="21"/>
      <c r="AC264" s="21"/>
      <c r="AP264" s="9"/>
      <c r="AQ264" s="21"/>
      <c r="AR264" s="21"/>
      <c r="AS264" s="21"/>
      <c r="AT264" s="21"/>
      <c r="AU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/>
      <c r="H265" s="21"/>
      <c r="I265" s="21"/>
      <c r="J265" s="21"/>
      <c r="K265" s="21"/>
      <c r="X265" s="9"/>
      <c r="Y265" s="21"/>
      <c r="Z265" s="21"/>
      <c r="AA265" s="21"/>
      <c r="AB265" s="21"/>
      <c r="AC265" s="21"/>
      <c r="AP265" s="9"/>
      <c r="AQ265" s="21"/>
      <c r="AR265" s="21"/>
      <c r="AS265" s="21"/>
      <c r="AT265" s="21"/>
      <c r="AU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/>
      <c r="H266" s="21"/>
      <c r="I266" s="21"/>
      <c r="J266" s="21"/>
      <c r="K266" s="21"/>
      <c r="X266" s="9"/>
      <c r="Y266" s="21"/>
      <c r="Z266" s="21"/>
      <c r="AA266" s="21"/>
      <c r="AB266" s="21"/>
      <c r="AC266" s="21"/>
      <c r="AP266" s="9"/>
      <c r="AQ266" s="21"/>
      <c r="AR266" s="21"/>
      <c r="AS266" s="21"/>
      <c r="AT266" s="21"/>
      <c r="AU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/>
      <c r="H267" s="21"/>
      <c r="I267" s="21"/>
      <c r="J267" s="21"/>
      <c r="K267" s="21"/>
      <c r="X267" s="9"/>
      <c r="Y267" s="21"/>
      <c r="Z267" s="21"/>
      <c r="AA267" s="21"/>
      <c r="AB267" s="21"/>
      <c r="AC267" s="21"/>
      <c r="AP267" s="9"/>
      <c r="AQ267" s="21"/>
      <c r="AR267" s="21"/>
      <c r="AS267" s="21"/>
      <c r="AT267" s="21"/>
      <c r="AU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/>
      <c r="H268" s="21"/>
      <c r="I268" s="21"/>
      <c r="J268" s="21"/>
      <c r="K268" s="21"/>
      <c r="X268" s="9"/>
      <c r="Y268" s="21"/>
      <c r="Z268" s="21"/>
      <c r="AA268" s="21"/>
      <c r="AB268" s="21"/>
      <c r="AC268" s="21"/>
      <c r="AP268" s="9"/>
      <c r="AQ268" s="21"/>
      <c r="AR268" s="21"/>
      <c r="AS268" s="21"/>
      <c r="AT268" s="21"/>
      <c r="AU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/>
      <c r="H269" s="21"/>
      <c r="I269" s="21"/>
      <c r="J269" s="21"/>
      <c r="K269" s="21"/>
      <c r="X269" s="9"/>
      <c r="Y269" s="21"/>
      <c r="Z269" s="21"/>
      <c r="AA269" s="21"/>
      <c r="AB269" s="21"/>
      <c r="AC269" s="21"/>
      <c r="AP269" s="9"/>
      <c r="AQ269" s="21"/>
      <c r="AR269" s="21"/>
      <c r="AS269" s="21"/>
      <c r="AT269" s="21"/>
      <c r="AU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/>
      <c r="H270" s="21"/>
      <c r="I270" s="21"/>
      <c r="J270" s="21"/>
      <c r="K270" s="21"/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/>
      <c r="H271" s="21"/>
      <c r="I271" s="21"/>
      <c r="J271" s="21"/>
      <c r="K271" s="21"/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H398"/>
  <sheetViews>
    <sheetView workbookViewId="0">
      <selection activeCell="BD11" sqref="BD11:BE382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11559.721304348028</v>
      </c>
      <c r="H2" s="2"/>
      <c r="I2" s="6" t="s">
        <v>12</v>
      </c>
      <c r="J2" s="2"/>
      <c r="K2" s="7" t="s">
        <v>13</v>
      </c>
      <c r="L2" s="3">
        <f>L4*I6*L9/100*100</f>
        <v>23.485356276543211</v>
      </c>
      <c r="M2" s="8" t="s">
        <v>14</v>
      </c>
      <c r="N2" s="9"/>
      <c r="O2" s="2">
        <f>ABS(S7-S6)/ABS(T7-T6)*1000</f>
        <v>12294.530999990217</v>
      </c>
      <c r="P2" s="2"/>
      <c r="Q2" s="6" t="s">
        <v>15</v>
      </c>
      <c r="R2" s="2"/>
      <c r="S2" s="7" t="s">
        <v>13</v>
      </c>
      <c r="T2" s="3">
        <f>T4*Q6*T9/100*100</f>
        <v>23.484136309876543</v>
      </c>
      <c r="U2" s="8" t="s">
        <v>14</v>
      </c>
      <c r="X2" s="9"/>
      <c r="Y2" s="2">
        <f>ABS(AC7-AC6)/ABS(AD7-AD6)*1000</f>
        <v>2680.2103278702602</v>
      </c>
      <c r="Z2" s="2"/>
      <c r="AA2" s="6" t="s">
        <v>12</v>
      </c>
      <c r="AB2" s="2"/>
      <c r="AC2" s="7" t="s">
        <v>13</v>
      </c>
      <c r="AD2" s="3">
        <f>AD4*AA6*AD9/100*100</f>
        <v>23.428914237037041</v>
      </c>
      <c r="AE2" s="8" t="s">
        <v>14</v>
      </c>
      <c r="AF2" s="9"/>
      <c r="AG2" s="2">
        <f>ABS(AK7-AK6)/ABS(AL7-AL6)*1000</f>
        <v>10898.725500001781</v>
      </c>
      <c r="AH2" s="2"/>
      <c r="AI2" s="6" t="s">
        <v>15</v>
      </c>
      <c r="AJ2" s="2"/>
      <c r="AK2" s="7" t="s">
        <v>13</v>
      </c>
      <c r="AL2" s="3">
        <f>AL4*AI6*AL9/100*100</f>
        <v>23.527196856790127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 t="e">
        <f>AV4*AS6*AV9/100*100</f>
        <v>#DIV/0!</v>
      </c>
      <c r="AW2" s="8" t="s">
        <v>14</v>
      </c>
      <c r="AX2" s="9"/>
      <c r="AY2" s="2">
        <f>ABS(BC7-BC6)/ABS(BD7-BD6)*1000</f>
        <v>2691.1537598362092</v>
      </c>
      <c r="AZ2" s="2"/>
      <c r="BA2" s="6" t="s">
        <v>15</v>
      </c>
      <c r="BB2" s="2"/>
      <c r="BC2" s="7" t="s">
        <v>13</v>
      </c>
      <c r="BD2" s="3">
        <f>BD4*BA6*BD9/100*100</f>
        <v>23.530765037037035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1.7440800000000001</v>
      </c>
      <c r="J3" s="2"/>
      <c r="K3" s="10">
        <f>INDEX(L11:L1056,MATCH(I3,K11:K1056,0))</f>
        <v>-1.3917530864197529</v>
      </c>
      <c r="L3" s="26" t="s">
        <v>16</v>
      </c>
      <c r="M3" s="11">
        <f>M9</f>
        <v>23.485356276543207</v>
      </c>
      <c r="N3" s="9"/>
      <c r="O3" s="2" t="s">
        <v>44</v>
      </c>
      <c r="P3" s="2"/>
      <c r="Q3" s="2">
        <f>INDEX(S11:S1056,MATCH(0,T11:T1056,-1))</f>
        <v>1.74194</v>
      </c>
      <c r="R3" s="2"/>
      <c r="S3" s="10">
        <f>INDEX(T11:T1056,MATCH(Q3,S11:S1056,0))</f>
        <v>0.81606296296296288</v>
      </c>
      <c r="T3" s="26" t="s">
        <v>16</v>
      </c>
      <c r="U3" s="11">
        <f>U9</f>
        <v>23.484136309876543</v>
      </c>
      <c r="X3" s="9"/>
      <c r="Y3" s="2" t="s">
        <v>44</v>
      </c>
      <c r="Z3" s="2"/>
      <c r="AA3" s="2">
        <f>INDEX(AC11:AC856,MATCH(0,AD11:AD856,1))</f>
        <v>1.74438</v>
      </c>
      <c r="AB3" s="2"/>
      <c r="AC3" s="10">
        <f>INDEX(AD11:AD1056,MATCH(AA3,AC11:AC1056,0))</f>
        <v>-1.6351358024691356</v>
      </c>
      <c r="AD3" s="26" t="s">
        <v>16</v>
      </c>
      <c r="AE3" s="11">
        <f>AE9</f>
        <v>23.428914237037041</v>
      </c>
      <c r="AF3" s="9"/>
      <c r="AG3" s="2" t="s">
        <v>44</v>
      </c>
      <c r="AH3" s="2"/>
      <c r="AI3" s="2">
        <f>INDEX(AK11:AK1056,MATCH(0,AL11:AL1056,-1))</f>
        <v>1.7422500000000001</v>
      </c>
      <c r="AJ3" s="2"/>
      <c r="AK3" s="10">
        <f>INDEX(AL11:AL1056,MATCH(AI3,AK11:AK1056,0))</f>
        <v>1.373296296296296</v>
      </c>
      <c r="AL3" s="26" t="s">
        <v>16</v>
      </c>
      <c r="AM3" s="11">
        <f>AM9</f>
        <v>23.527196856790123</v>
      </c>
      <c r="AP3" s="9"/>
      <c r="AQ3" s="2" t="s">
        <v>44</v>
      </c>
      <c r="AR3" s="2"/>
      <c r="AS3" s="2">
        <f>INDEX(AU11:AU856,MATCH(0,AV11:AV856,1))</f>
        <v>1.7440800000000001</v>
      </c>
      <c r="AT3" s="2"/>
      <c r="AU3" s="10">
        <f>INDEX(AV11:AV1056,MATCH(AS3,AU11:AU1056,0))</f>
        <v>-1.524</v>
      </c>
      <c r="AV3" s="26" t="s">
        <v>16</v>
      </c>
      <c r="AW3" s="11">
        <f>AW9</f>
        <v>23.564900396296295</v>
      </c>
      <c r="AX3" s="9"/>
      <c r="AY3" s="2" t="s">
        <v>44</v>
      </c>
      <c r="AZ3" s="2"/>
      <c r="BA3" s="2">
        <f>INDEX(BC11:BC1056,MATCH(0,BD11:BD1056,-1))</f>
        <v>1.74194</v>
      </c>
      <c r="BB3" s="2"/>
      <c r="BC3" s="10">
        <f>INDEX(BD11:BD1056,MATCH(BA3,BC11:BC1056,0))</f>
        <v>1.2651604938271606</v>
      </c>
      <c r="BD3" s="26" t="s">
        <v>16</v>
      </c>
      <c r="BE3" s="11">
        <f>BE9</f>
        <v>23.530765037037032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2.5157376805036038</v>
      </c>
      <c r="H4" s="2"/>
      <c r="I4" s="2">
        <f>INDEX(K11:K1000,1+MATCH(0,L11:L856,1))</f>
        <v>1.7392000000000001</v>
      </c>
      <c r="J4" s="2"/>
      <c r="K4" s="10">
        <f>INDEX(L11:L1056,MATCH(I4,K11:K1056,0))</f>
        <v>0.54803580246913575</v>
      </c>
      <c r="L4" s="25">
        <f>M3/(I6*L9)</f>
        <v>0.72589213890304927</v>
      </c>
      <c r="M4" s="8" t="s">
        <v>17</v>
      </c>
      <c r="N4" s="9"/>
      <c r="O4" s="2">
        <f>ABS(Q3-Q4)/ABS(S3-S4)*1000</f>
        <v>3.4065942034240129</v>
      </c>
      <c r="P4" s="2"/>
      <c r="Q4" s="2">
        <f>INDEX(S11:S856,1+MATCH(0,T11:T856,-1))</f>
        <v>1.7477400000000001</v>
      </c>
      <c r="R4" s="2"/>
      <c r="S4" s="10">
        <f>INDEX(T11:T856,MATCH(Q4,S11:S856,0))</f>
        <v>-0.88651728395061735</v>
      </c>
      <c r="T4" s="25">
        <f>U3/(Q6*T9)</f>
        <v>0.72323538680777777</v>
      </c>
      <c r="U4" s="8" t="s">
        <v>17</v>
      </c>
      <c r="X4" s="9"/>
      <c r="Y4" s="2">
        <f>ABS(AA3-AA4)/ABS(AC3-AC4)*1000</f>
        <v>2.6426324292151842</v>
      </c>
      <c r="Z4" s="2"/>
      <c r="AA4" s="2">
        <f>INDEX(AC11:AC1000,1+MATCH(0,AD11:AD856,1))</f>
        <v>1.7392000000000001</v>
      </c>
      <c r="AB4" s="2"/>
      <c r="AC4" s="10">
        <f>INDEX(AD11:AD1056,MATCH(AA4,AC11:AC1056,0))</f>
        <v>0.32503086419753086</v>
      </c>
      <c r="AD4" s="25">
        <f>AE3/(AA6*AD9)</f>
        <v>0.72441845179295627</v>
      </c>
      <c r="AE4" s="8" t="s">
        <v>17</v>
      </c>
      <c r="AF4" s="9"/>
      <c r="AG4" s="2">
        <f>ABS(AI3-AI4)/ABS(AK3-AK4)*1000</f>
        <v>3.4495620862434748</v>
      </c>
      <c r="AH4" s="2"/>
      <c r="AI4" s="2">
        <f>INDEX(AK11:AK856,1+MATCH(0,AL11:AL856,-1))</f>
        <v>1.7480500000000001</v>
      </c>
      <c r="AJ4" s="2"/>
      <c r="AK4" s="10">
        <f>INDEX(AL11:AL856,MATCH(AI4,AK11:AK856,0))</f>
        <v>-0.30807654320987649</v>
      </c>
      <c r="AL4" s="25">
        <f>AM3/(AI6*AL9)</f>
        <v>0.72418453179682241</v>
      </c>
      <c r="AM4" s="8" t="s">
        <v>17</v>
      </c>
      <c r="AP4" s="9"/>
      <c r="AQ4" s="2">
        <f>ABS(AS3-AS4)/ABS(AU3-AU4)*1000</f>
        <v>2.8077320124636533</v>
      </c>
      <c r="AR4" s="2"/>
      <c r="AS4" s="2">
        <f>INDEX(AU11:AU1000,1+MATCH(0,AV11:AV856,1))</f>
        <v>1.7385900000000001</v>
      </c>
      <c r="AT4" s="2"/>
      <c r="AU4" s="10">
        <f>INDEX(AV11:AV1056,MATCH(AS4,AU11:AU1056,0))</f>
        <v>0.43131481481481482</v>
      </c>
      <c r="AV4" s="25" t="e">
        <f>AW3/(AS6*AV9)</f>
        <v>#DIV/0!</v>
      </c>
      <c r="AW4" s="8" t="s">
        <v>17</v>
      </c>
      <c r="AX4" s="9"/>
      <c r="AY4" s="2">
        <f>ABS(BA3-BA4)/ABS(BC3-BC4)*1000</f>
        <v>3.1735787282604861</v>
      </c>
      <c r="AZ4" s="2"/>
      <c r="BA4" s="2">
        <f>INDEX(BC11:BC856,1+MATCH(0,BD11:BD856,-1))</f>
        <v>1.7474400000000001</v>
      </c>
      <c r="BB4" s="2"/>
      <c r="BC4" s="10">
        <f>INDEX(BD11:BD856,MATCH(BA4,BC11:BC856,0))</f>
        <v>-0.46789876543209874</v>
      </c>
      <c r="BD4" s="25">
        <f>BE3/(BA6*BD9)</f>
        <v>0.72396767777484383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15.624197530864196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15.801358024691359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15.744814814814816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15.884197530864196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15.729753086419752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15.940740740740738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1.7405787143185367</v>
      </c>
      <c r="J6" s="25"/>
      <c r="K6" s="2">
        <f>INDEX(K11:K1056,MATCH(L6,L11:L1056,0))</f>
        <v>2.7627599999999999E-2</v>
      </c>
      <c r="L6" s="10">
        <f>INDEX(L11:L1056,MATCH(0,K11:K1056,-1))</f>
        <v>18.585555555555555</v>
      </c>
      <c r="M6" s="8" t="s">
        <v>22</v>
      </c>
      <c r="N6" s="9"/>
      <c r="O6" s="2"/>
      <c r="P6" s="2"/>
      <c r="Q6" s="27">
        <f>(Q3-Q4)/(S3-S4)*(-S4)+Q4</f>
        <v>1.7447199953592587</v>
      </c>
      <c r="R6" s="27"/>
      <c r="S6" s="2">
        <f>INDEX(S11:S1056,MATCH(T6,T11:T1056,0))</f>
        <v>-8.0322299999999999E-2</v>
      </c>
      <c r="T6" s="10">
        <f>INDEX(T11:T1056,MATCH(0,S11:S1056,1))</f>
        <v>18.604444444444443</v>
      </c>
      <c r="U6" s="8" t="s">
        <v>22</v>
      </c>
      <c r="X6" s="9"/>
      <c r="Y6" s="2"/>
      <c r="Z6" s="2"/>
      <c r="AA6" s="25">
        <f>(AA3-AA4)/(AC3-AC4)*(-AC4)+AA4</f>
        <v>1.7400589371022244</v>
      </c>
      <c r="AB6" s="25"/>
      <c r="AC6" s="2">
        <f>INDEX(AC11:AC1056,MATCH(AD6,AD11:AD1056,0))</f>
        <v>1.2582400000000001E-2</v>
      </c>
      <c r="AD6" s="10">
        <f>INDEX(AD11:AD1056,MATCH(0,AC11:AC1056,-1))</f>
        <v>18.581851851851848</v>
      </c>
      <c r="AE6" s="8" t="s">
        <v>22</v>
      </c>
      <c r="AF6" s="9"/>
      <c r="AG6" s="2"/>
      <c r="AH6" s="2"/>
      <c r="AI6" s="27">
        <f>(AI3-AI4)/(AK3-AK4)*(-AK4)+AI4</f>
        <v>1.7469872708368823</v>
      </c>
      <c r="AJ6" s="27"/>
      <c r="AK6" s="2">
        <f>INDEX(AK11:AK1056,MATCH(AL6,AL11:AL1056,0))</f>
        <v>-4.5135499999999999E-3</v>
      </c>
      <c r="AL6" s="10">
        <f>INDEX(AL11:AL1056,MATCH(0,AK11:AK1056,1))</f>
        <v>18.596913580246913</v>
      </c>
      <c r="AM6" s="8" t="s">
        <v>22</v>
      </c>
      <c r="AP6" s="9"/>
      <c r="AQ6" s="2"/>
      <c r="AR6" s="2"/>
      <c r="AS6" s="25">
        <f>(AS3-AS4)/(AU3-AU4)*(-AU4)+AS4</f>
        <v>1.7398010164130056</v>
      </c>
      <c r="AT6" s="25"/>
      <c r="AU6" s="2">
        <f>INDEX(AU11:AU1056,MATCH(AV6,AV11:AV1056,0))</f>
        <v>3.26141E-2</v>
      </c>
      <c r="AV6" s="10">
        <f>INDEX(AV11:AV1056,MATCH(0,AU11:AU1056,-1))</f>
        <v>18.61567901234568</v>
      </c>
      <c r="AW6" s="8" t="s">
        <v>22</v>
      </c>
      <c r="AX6" s="9"/>
      <c r="AY6" s="2"/>
      <c r="AZ6" s="2"/>
      <c r="BA6" s="27">
        <f>(BA3-BA4)/(BC3-BC4)*(-BC4)+BA4</f>
        <v>1.7459550864310454</v>
      </c>
      <c r="BB6" s="27"/>
      <c r="BC6" s="2">
        <f>INDEX(BC11:BC1056,MATCH(BD6,BD11:BD1056,0))</f>
        <v>-3.9965800000000003E-2</v>
      </c>
      <c r="BD6" s="10">
        <f>INDEX(BD11:BD1056,MATCH(0,BC11:BC1056,1))</f>
        <v>18.630740740740741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-0.103668</v>
      </c>
      <c r="L7" s="10">
        <f>INDEX(L11:L856,1+MATCH(0,K11:K856,-1))</f>
        <v>18.596913580246913</v>
      </c>
      <c r="M7" s="12">
        <f>INDEX(K11:K1056,MATCH(M9,M11:M1056,0))</f>
        <v>1.50238</v>
      </c>
      <c r="N7" s="9"/>
      <c r="O7" s="2"/>
      <c r="P7" s="2"/>
      <c r="Q7" s="2"/>
      <c r="R7" s="2"/>
      <c r="S7" s="2">
        <f>INDEX(S11:S1056,MATCH(T7,T11:T1056,0))</f>
        <v>-3.4786999999999998E-2</v>
      </c>
      <c r="T7" s="10">
        <f>INDEX(T11:T1056,1+MATCH(0,S11:S1056,1))</f>
        <v>18.60814814814815</v>
      </c>
      <c r="U7" s="12">
        <f>INDEX(S11:S1056,MATCH(U9,U11:U1056,0))</f>
        <v>1.4856</v>
      </c>
      <c r="X7" s="9"/>
      <c r="Y7" s="2"/>
      <c r="Z7" s="2"/>
      <c r="AA7" s="2"/>
      <c r="AB7" s="2"/>
      <c r="AC7" s="2">
        <f>INDEX(AC11:AC856,MATCH(AD7,AD11:AD856,1))</f>
        <v>3.2766700000000003E-2</v>
      </c>
      <c r="AD7" s="10">
        <f>INDEX(AD11:AD856,1+MATCH(0,AC11:AC856,-1))</f>
        <v>18.574320987654321</v>
      </c>
      <c r="AE7" s="12">
        <f>INDEX(AC11:AC1056,MATCH(AE9,AE11:AE1056,0))</f>
        <v>1.48712</v>
      </c>
      <c r="AF7" s="9"/>
      <c r="AG7" s="2"/>
      <c r="AH7" s="2"/>
      <c r="AI7" s="2"/>
      <c r="AJ7" s="2"/>
      <c r="AK7" s="2">
        <f>INDEX(AK11:AK1056,MATCH(AL7,AL11:AL1056,0))</f>
        <v>-4.4879200000000001E-2</v>
      </c>
      <c r="AL7" s="10">
        <f>INDEX(AL11:AL1056,1+MATCH(0,AK11:AK1056,1))</f>
        <v>18.600617283950616</v>
      </c>
      <c r="AM7" s="12">
        <f>INDEX(AK11:AK1056,MATCH(AM9,AM11:AM1056,0))</f>
        <v>1.48071</v>
      </c>
      <c r="AP7" s="9"/>
      <c r="AQ7" s="2"/>
      <c r="AR7" s="2"/>
      <c r="AS7" s="2"/>
      <c r="AT7" s="2"/>
      <c r="AU7" s="2">
        <f>INDEX(AU11:AU856,MATCH(AV7,AV11:AV856,1))</f>
        <v>3.26141E-2</v>
      </c>
      <c r="AV7" s="10">
        <f>INDEX(AV11:AV856,1+MATCH(0,AU11:AU856,-1))</f>
        <v>18.61567901234568</v>
      </c>
      <c r="AW7" s="12">
        <f>INDEX(AU11:AU1056,MATCH(AW9,AW11:AW1056,0))</f>
        <v>1.49719</v>
      </c>
      <c r="AX7" s="9"/>
      <c r="AY7" s="2"/>
      <c r="AZ7" s="2"/>
      <c r="BA7" s="2"/>
      <c r="BB7" s="2"/>
      <c r="BC7" s="2">
        <f>INDEX(BC11:BC1056,MATCH(BD7,BD11:BD1056,0))</f>
        <v>5.6762700000000002E-4</v>
      </c>
      <c r="BD7" s="10">
        <f>INDEX(BD11:BD1056,1+MATCH(0,BC11:BC1056,1))</f>
        <v>18.61567901234568</v>
      </c>
      <c r="BE7" s="12">
        <f>INDEX(BC11:BC1056,MATCH(BE9,BE11:BE1056,0))</f>
        <v>1.47522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5.1945844563829032E-3</v>
      </c>
      <c r="J9" s="2"/>
      <c r="K9" s="2"/>
      <c r="L9" s="3">
        <f>(L6-L7)/(K6-K7)*(-K7)+L7</f>
        <v>18.587945543970726</v>
      </c>
      <c r="M9" s="15">
        <f>MAX(M11:M1056)</f>
        <v>23.485356276543207</v>
      </c>
      <c r="N9" s="9"/>
      <c r="O9" s="2"/>
      <c r="P9" s="2"/>
      <c r="Q9" s="2"/>
      <c r="R9" s="2"/>
      <c r="S9" s="2"/>
      <c r="T9" s="3">
        <f>(T6-T7)/(S6-S7)*(-S7)+T7</f>
        <v>18.610977617609006</v>
      </c>
      <c r="U9" s="15">
        <f>MAX(U11:U1056)</f>
        <v>23.484136309876543</v>
      </c>
      <c r="X9" s="9"/>
      <c r="Y9" s="2"/>
      <c r="Z9" s="2"/>
      <c r="AA9" s="14">
        <f>(MAX(AD2,AL2)-MIN(AD2,AL2))/MAX(AD2,AL2)%</f>
        <v>0.41774045735805704</v>
      </c>
      <c r="AB9" s="2"/>
      <c r="AC9" s="2"/>
      <c r="AD9" s="3">
        <f>(AD6-AD7)/(AC6-AC7)*(-AC7)+AD7</f>
        <v>18.586546408793577</v>
      </c>
      <c r="AE9" s="15">
        <f>MAX(AE11:AE1056)</f>
        <v>23.428914237037041</v>
      </c>
      <c r="AF9" s="9"/>
      <c r="AG9" s="2"/>
      <c r="AH9" s="2"/>
      <c r="AI9" s="2"/>
      <c r="AJ9" s="2"/>
      <c r="AK9" s="2"/>
      <c r="AL9" s="3">
        <f>(AL6-AL7)/(AK6-AK7)*(-AK7)+AL7</f>
        <v>18.596499444667483</v>
      </c>
      <c r="AM9" s="15">
        <f>MAX(AM11:AM1056)</f>
        <v>23.527196856790123</v>
      </c>
      <c r="AP9" s="9"/>
      <c r="AQ9" s="2"/>
      <c r="AR9" s="2"/>
      <c r="AS9" s="14" t="e">
        <f>(MAX(AV2,BD2)-MIN(AV2,BD2))/MAX(AV2,BD2)%</f>
        <v>#DIV/0!</v>
      </c>
      <c r="AT9" s="2"/>
      <c r="AU9" s="2"/>
      <c r="AV9" s="3" t="e">
        <f>(AV6-AV7)/(AU6-AU7)*(-AU7)+AV7</f>
        <v>#DIV/0!</v>
      </c>
      <c r="AW9" s="15">
        <f>MAX(AW11:AW1056)</f>
        <v>23.564900396296295</v>
      </c>
      <c r="AX9" s="9"/>
      <c r="AY9" s="2"/>
      <c r="AZ9" s="2"/>
      <c r="BA9" s="2"/>
      <c r="BB9" s="2"/>
      <c r="BC9" s="2"/>
      <c r="BD9" s="3">
        <f>(BD6-BD7)/(BC6-BC7)*(-BC7)+BD7</f>
        <v>18.615889935633852</v>
      </c>
      <c r="BE9" s="15">
        <f>MAX(BE11:BE1056)</f>
        <v>23.530765037037032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1.7405787143185367</v>
      </c>
      <c r="B11" s="18">
        <f>IFERROR(L9,0)</f>
        <v>18.587945543970726</v>
      </c>
      <c r="C11" s="19">
        <f>IFERROR(L4,0)</f>
        <v>0.72589213890304927</v>
      </c>
      <c r="D11" s="20">
        <f>IFERROR(L2,0)</f>
        <v>23.485356276543211</v>
      </c>
      <c r="E11" s="20">
        <f>IFERROR(I9,0)</f>
        <v>5.1945844563829032E-3</v>
      </c>
      <c r="F11" s="9"/>
      <c r="G11" s="21">
        <v>1.76498</v>
      </c>
      <c r="H11" s="21">
        <v>5.20939</v>
      </c>
      <c r="I11" s="21">
        <v>1.1450200000000001E-2</v>
      </c>
      <c r="J11" s="21">
        <v>1</v>
      </c>
      <c r="K11" s="21">
        <v>1.7642199999999999</v>
      </c>
      <c r="L11">
        <f>-I11/$F$2*1000</f>
        <v>-14.136049382716049</v>
      </c>
      <c r="M11">
        <f>L11*G11</f>
        <v>-24.949844439506172</v>
      </c>
      <c r="N11" s="9"/>
      <c r="O11" s="21">
        <v>-9.49097E-2</v>
      </c>
      <c r="P11" s="21">
        <v>8.9681599999999992</v>
      </c>
      <c r="Q11" s="21">
        <v>-1.50604E-2</v>
      </c>
      <c r="R11" s="21">
        <v>1</v>
      </c>
      <c r="S11" s="21">
        <v>-9.5397899999999994E-2</v>
      </c>
      <c r="T11">
        <f>-Q11/$F$2*1000</f>
        <v>18.593086419753085</v>
      </c>
      <c r="U11">
        <f>T11*O11</f>
        <v>-1.7646642541728395</v>
      </c>
      <c r="V11" s="22"/>
      <c r="W11" s="23"/>
      <c r="X11" s="9"/>
      <c r="Y11" s="21">
        <v>1.76498</v>
      </c>
      <c r="Z11" s="21">
        <v>14.435600000000001</v>
      </c>
      <c r="AA11" s="21">
        <v>1.1361700000000001E-2</v>
      </c>
      <c r="AB11" s="21">
        <v>1</v>
      </c>
      <c r="AC11" s="21">
        <v>1.7639199999999999</v>
      </c>
      <c r="AD11">
        <f>-AA11/$F$2*1000</f>
        <v>-14.026790123456792</v>
      </c>
      <c r="AE11">
        <f>AD11*Y11</f>
        <v>-24.757004032098767</v>
      </c>
      <c r="AF11" s="9"/>
      <c r="AG11" s="21">
        <v>-9.49097E-2</v>
      </c>
      <c r="AH11" s="21">
        <v>18.194400000000002</v>
      </c>
      <c r="AI11" s="21">
        <v>-1.5075699999999999E-2</v>
      </c>
      <c r="AJ11" s="21">
        <v>1</v>
      </c>
      <c r="AK11" s="21">
        <v>-9.5489500000000005E-2</v>
      </c>
      <c r="AL11">
        <f>-AI11/$F$2*1000</f>
        <v>18.611975308641973</v>
      </c>
      <c r="AM11">
        <f>AL11*AG11</f>
        <v>-1.7664569929506171</v>
      </c>
      <c r="AP11" s="9"/>
      <c r="AQ11" s="21">
        <v>1.76498</v>
      </c>
      <c r="AR11" s="21">
        <v>23.636800000000001</v>
      </c>
      <c r="AS11" s="21">
        <v>1.1340299999999999E-2</v>
      </c>
      <c r="AT11" s="21">
        <v>1</v>
      </c>
      <c r="AU11" s="21">
        <v>1.7648299999999999</v>
      </c>
      <c r="AV11">
        <f>-AS11/$F$2*1000</f>
        <v>-14.000370370370367</v>
      </c>
      <c r="AW11">
        <f>AV11*AQ11</f>
        <v>-24.710373696296291</v>
      </c>
      <c r="AX11" s="9"/>
      <c r="AY11" s="21">
        <v>-9.49097E-2</v>
      </c>
      <c r="AZ11" s="21">
        <v>27.395600000000002</v>
      </c>
      <c r="BA11" s="21">
        <v>-1.51276E-2</v>
      </c>
      <c r="BB11" s="21">
        <v>1</v>
      </c>
      <c r="BC11" s="21">
        <v>-9.5367400000000005E-2</v>
      </c>
      <c r="BD11">
        <f>-BA11/$F$2*1000</f>
        <v>18.676049382716048</v>
      </c>
      <c r="BE11">
        <f>BD11*AY11</f>
        <v>-1.7725382440987654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1.7447199953592587</v>
      </c>
      <c r="B12" s="18">
        <f>IFERROR(T9,0)</f>
        <v>18.610977617609006</v>
      </c>
      <c r="C12" s="19">
        <f>IFERROR(T4,0)</f>
        <v>0.72323538680777777</v>
      </c>
      <c r="D12" s="20">
        <f>IFERROR(T2,0)</f>
        <v>23.484136309876543</v>
      </c>
      <c r="E12" s="20"/>
      <c r="F12" s="9"/>
      <c r="G12" s="21">
        <v>1.7599499999999999</v>
      </c>
      <c r="H12" s="21">
        <v>5.2194599999999998</v>
      </c>
      <c r="I12" s="21">
        <v>8.1298800000000008E-3</v>
      </c>
      <c r="J12" s="21">
        <v>2</v>
      </c>
      <c r="K12" s="21">
        <v>1.7590300000000001</v>
      </c>
      <c r="L12">
        <f t="shared" ref="L12:L75" si="0">-I12/$F$2*1000</f>
        <v>-10.036888888888889</v>
      </c>
      <c r="M12">
        <f t="shared" ref="M12:M75" si="1">L12*G12</f>
        <v>-17.664422599999998</v>
      </c>
      <c r="N12" s="9"/>
      <c r="O12" s="21">
        <v>-8.9874300000000004E-2</v>
      </c>
      <c r="P12" s="21">
        <v>8.9782299999999999</v>
      </c>
      <c r="Q12" s="21">
        <v>-1.5063500000000001E-2</v>
      </c>
      <c r="R12" s="21">
        <v>2</v>
      </c>
      <c r="S12" s="21">
        <v>-9.0515100000000001E-2</v>
      </c>
      <c r="T12">
        <f t="shared" ref="T12:T75" si="2">-Q12/$F$2*1000</f>
        <v>18.596913580246913</v>
      </c>
      <c r="U12">
        <f t="shared" ref="U12:U75" si="3">T12*O12</f>
        <v>-1.6713845901851851</v>
      </c>
      <c r="V12" s="22"/>
      <c r="W12" s="23"/>
      <c r="X12" s="9"/>
      <c r="Y12" s="21">
        <v>1.7599499999999999</v>
      </c>
      <c r="Z12" s="21">
        <v>14.4457</v>
      </c>
      <c r="AA12" s="21">
        <v>8.1268299999999998E-3</v>
      </c>
      <c r="AB12" s="21">
        <v>2</v>
      </c>
      <c r="AC12" s="21">
        <v>1.7584200000000001</v>
      </c>
      <c r="AD12">
        <f t="shared" ref="AD12:AD75" si="4">-AA12/$F$2*1000</f>
        <v>-10.033123456790122</v>
      </c>
      <c r="AE12">
        <f t="shared" ref="AE12:AE75" si="5">AD12*Y12</f>
        <v>-17.657795627777773</v>
      </c>
      <c r="AF12" s="9"/>
      <c r="AG12" s="21">
        <v>-8.9874300000000004E-2</v>
      </c>
      <c r="AH12" s="21">
        <v>18.2044</v>
      </c>
      <c r="AI12" s="21">
        <v>-1.50787E-2</v>
      </c>
      <c r="AJ12" s="21">
        <v>2</v>
      </c>
      <c r="AK12" s="21">
        <v>-9.0393100000000004E-2</v>
      </c>
      <c r="AL12">
        <f t="shared" ref="AL12:AL75" si="6">-AI12/$F$2*1000</f>
        <v>18.61567901234568</v>
      </c>
      <c r="AM12">
        <f t="shared" ref="AM12:AM75" si="7">AL12*AG12</f>
        <v>-1.6730711202592594</v>
      </c>
      <c r="AP12" s="9"/>
      <c r="AQ12" s="21">
        <v>1.7599499999999999</v>
      </c>
      <c r="AR12" s="21">
        <v>23.646899999999999</v>
      </c>
      <c r="AS12" s="21">
        <v>8.1420899999999994E-3</v>
      </c>
      <c r="AT12" s="21">
        <v>2</v>
      </c>
      <c r="AU12" s="21">
        <v>1.7593399999999999</v>
      </c>
      <c r="AV12">
        <f t="shared" ref="AV12:AV75" si="8">-AS12/$F$2*1000</f>
        <v>-10.051962962962962</v>
      </c>
      <c r="AW12">
        <f t="shared" ref="AW12:AW75" si="9">AV12*AQ12</f>
        <v>-17.690952216666666</v>
      </c>
      <c r="AX12" s="9"/>
      <c r="AY12" s="21">
        <v>-8.9874300000000004E-2</v>
      </c>
      <c r="AZ12" s="21">
        <v>27.4057</v>
      </c>
      <c r="BA12" s="21">
        <v>-1.5124500000000001E-2</v>
      </c>
      <c r="BB12" s="21">
        <v>2</v>
      </c>
      <c r="BC12" s="21">
        <v>-9.0454099999999996E-2</v>
      </c>
      <c r="BD12">
        <f t="shared" ref="BD12:BD75" si="10">-BA12/$F$2*1000</f>
        <v>18.672222222222221</v>
      </c>
      <c r="BE12">
        <f t="shared" ref="BE12:BE75" si="11">BD12*AY12</f>
        <v>-1.6781529016666665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1.7400589371022244</v>
      </c>
      <c r="B13" s="18">
        <f>IFERROR(AD9,0)</f>
        <v>18.586546408793577</v>
      </c>
      <c r="C13" s="19">
        <f>IFERROR(AD4,0)</f>
        <v>0.72441845179295627</v>
      </c>
      <c r="D13" s="20">
        <f>IFERROR(AD2,0)</f>
        <v>23.428914237037041</v>
      </c>
      <c r="E13" s="20">
        <f>IFERROR(AA9,0)</f>
        <v>0.41774045735805704</v>
      </c>
      <c r="F13" s="9"/>
      <c r="G13" s="21">
        <v>1.75491</v>
      </c>
      <c r="H13" s="21">
        <v>5.2295400000000001</v>
      </c>
      <c r="I13" s="21">
        <v>5.33447E-3</v>
      </c>
      <c r="J13" s="21">
        <v>3</v>
      </c>
      <c r="K13" s="21">
        <v>1.7541500000000001</v>
      </c>
      <c r="L13">
        <f t="shared" si="0"/>
        <v>-6.5857654320987651</v>
      </c>
      <c r="M13">
        <f t="shared" si="1"/>
        <v>-11.557425614444444</v>
      </c>
      <c r="N13" s="9"/>
      <c r="O13" s="21">
        <v>-8.4838899999999995E-2</v>
      </c>
      <c r="P13" s="21">
        <v>8.9883000000000006</v>
      </c>
      <c r="Q13" s="21">
        <v>-1.50665E-2</v>
      </c>
      <c r="R13" s="21">
        <v>3</v>
      </c>
      <c r="S13" s="21">
        <v>-8.5449200000000003E-2</v>
      </c>
      <c r="T13">
        <f t="shared" si="2"/>
        <v>18.600617283950616</v>
      </c>
      <c r="U13">
        <f t="shared" si="3"/>
        <v>-1.5780559096913578</v>
      </c>
      <c r="V13" s="22"/>
      <c r="W13" s="23"/>
      <c r="X13" s="9"/>
      <c r="Y13" s="21">
        <v>1.75491</v>
      </c>
      <c r="Z13" s="21">
        <v>14.4557</v>
      </c>
      <c r="AA13" s="21">
        <v>5.4626500000000003E-3</v>
      </c>
      <c r="AB13" s="21">
        <v>3</v>
      </c>
      <c r="AC13" s="21">
        <v>1.7541500000000001</v>
      </c>
      <c r="AD13">
        <f t="shared" si="4"/>
        <v>-6.7440123456790122</v>
      </c>
      <c r="AE13">
        <f t="shared" si="5"/>
        <v>-11.835134705555555</v>
      </c>
      <c r="AF13" s="9"/>
      <c r="AG13" s="21">
        <v>-8.4838899999999995E-2</v>
      </c>
      <c r="AH13" s="21">
        <v>18.214500000000001</v>
      </c>
      <c r="AI13" s="21">
        <v>-1.5081799999999999E-2</v>
      </c>
      <c r="AJ13" s="21">
        <v>3</v>
      </c>
      <c r="AK13" s="21">
        <v>-8.5388199999999997E-2</v>
      </c>
      <c r="AL13">
        <f t="shared" si="6"/>
        <v>18.619506172839504</v>
      </c>
      <c r="AM13">
        <f t="shared" si="7"/>
        <v>-1.5796584222469132</v>
      </c>
      <c r="AP13" s="9"/>
      <c r="AQ13" s="21">
        <v>1.75491</v>
      </c>
      <c r="AR13" s="21">
        <v>23.657</v>
      </c>
      <c r="AS13" s="21">
        <v>5.4016100000000003E-3</v>
      </c>
      <c r="AT13" s="21">
        <v>3</v>
      </c>
      <c r="AU13" s="21">
        <v>1.7544599999999999</v>
      </c>
      <c r="AV13">
        <f t="shared" si="8"/>
        <v>-6.6686543209876543</v>
      </c>
      <c r="AW13">
        <f t="shared" si="9"/>
        <v>-11.702888154444445</v>
      </c>
      <c r="AX13" s="9"/>
      <c r="AY13" s="21">
        <v>-8.4838899999999995E-2</v>
      </c>
      <c r="AZ13" s="21">
        <v>27.415700000000001</v>
      </c>
      <c r="BA13" s="21">
        <v>-1.51215E-2</v>
      </c>
      <c r="BB13" s="21">
        <v>3</v>
      </c>
      <c r="BC13" s="21">
        <v>-8.5266099999999997E-2</v>
      </c>
      <c r="BD13">
        <f t="shared" si="10"/>
        <v>18.668518518518518</v>
      </c>
      <c r="BE13">
        <f t="shared" si="11"/>
        <v>-1.5838165757407405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1.7469872708368823</v>
      </c>
      <c r="B14" s="18">
        <f>IFERROR(AL9,0)</f>
        <v>18.596499444667483</v>
      </c>
      <c r="C14" s="19">
        <f>IFERROR(AL4,0)</f>
        <v>0.72418453179682241</v>
      </c>
      <c r="D14" s="20">
        <f>IFERROR(AL2,0)</f>
        <v>23.527196856790127</v>
      </c>
      <c r="E14" s="20"/>
      <c r="F14" s="9"/>
      <c r="G14" s="21">
        <v>1.7498800000000001</v>
      </c>
      <c r="H14" s="21">
        <v>5.2396099999999999</v>
      </c>
      <c r="I14" s="21">
        <v>3.0398600000000001E-3</v>
      </c>
      <c r="J14" s="21">
        <v>4</v>
      </c>
      <c r="K14" s="21">
        <v>1.7492700000000001</v>
      </c>
      <c r="L14">
        <f t="shared" si="0"/>
        <v>-3.7529135802469136</v>
      </c>
      <c r="M14">
        <f t="shared" si="1"/>
        <v>-6.5671484158024693</v>
      </c>
      <c r="N14" s="9"/>
      <c r="O14" s="21">
        <v>-7.9803499999999999E-2</v>
      </c>
      <c r="P14" s="21">
        <v>8.9983699999999995</v>
      </c>
      <c r="Q14" s="21">
        <v>-1.5069600000000001E-2</v>
      </c>
      <c r="R14" s="21">
        <v>4</v>
      </c>
      <c r="S14" s="21">
        <v>-8.0322299999999999E-2</v>
      </c>
      <c r="T14">
        <f t="shared" si="2"/>
        <v>18.604444444444443</v>
      </c>
      <c r="U14">
        <f t="shared" si="3"/>
        <v>-1.4846997822222221</v>
      </c>
      <c r="V14" s="22"/>
      <c r="W14" s="23"/>
      <c r="X14" s="9"/>
      <c r="Y14" s="21">
        <v>1.7498800000000001</v>
      </c>
      <c r="Z14" s="21">
        <v>14.4658</v>
      </c>
      <c r="AA14" s="21">
        <v>3.21777E-3</v>
      </c>
      <c r="AB14" s="21">
        <v>4</v>
      </c>
      <c r="AC14" s="21">
        <v>1.7489600000000001</v>
      </c>
      <c r="AD14">
        <f t="shared" si="4"/>
        <v>-3.9725555555555556</v>
      </c>
      <c r="AE14">
        <f t="shared" si="5"/>
        <v>-6.951495515555556</v>
      </c>
      <c r="AF14" s="9"/>
      <c r="AG14" s="21">
        <v>-7.9803499999999999E-2</v>
      </c>
      <c r="AH14" s="21">
        <v>18.224599999999999</v>
      </c>
      <c r="AI14" s="21">
        <v>-1.5081799999999999E-2</v>
      </c>
      <c r="AJ14" s="21">
        <v>4</v>
      </c>
      <c r="AK14" s="21">
        <v>-8.0383300000000005E-2</v>
      </c>
      <c r="AL14">
        <f t="shared" si="6"/>
        <v>18.619506172839504</v>
      </c>
      <c r="AM14">
        <f t="shared" si="7"/>
        <v>-1.4859017608641973</v>
      </c>
      <c r="AP14" s="9"/>
      <c r="AQ14" s="21">
        <v>1.7498800000000001</v>
      </c>
      <c r="AR14" s="21">
        <v>23.667100000000001</v>
      </c>
      <c r="AS14" s="21">
        <v>3.14453E-3</v>
      </c>
      <c r="AT14" s="21">
        <v>4</v>
      </c>
      <c r="AU14" s="21">
        <v>1.7495700000000001</v>
      </c>
      <c r="AV14">
        <f t="shared" si="8"/>
        <v>-3.8821358024691355</v>
      </c>
      <c r="AW14">
        <f t="shared" si="9"/>
        <v>-6.7932717980246915</v>
      </c>
      <c r="AX14" s="9"/>
      <c r="AY14" s="21">
        <v>-7.9803499999999999E-2</v>
      </c>
      <c r="AZ14" s="21">
        <v>27.425799999999999</v>
      </c>
      <c r="BA14" s="21">
        <v>-1.5115399999999999E-2</v>
      </c>
      <c r="BB14" s="21">
        <v>4</v>
      </c>
      <c r="BC14" s="21">
        <v>-8.0322299999999999E-2</v>
      </c>
      <c r="BD14">
        <f t="shared" si="10"/>
        <v>18.660987654320987</v>
      </c>
      <c r="BE14">
        <f t="shared" si="11"/>
        <v>-1.4892121282716049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1.7398010164130056</v>
      </c>
      <c r="B15" s="18">
        <f>IFERROR(AV9,0)</f>
        <v>0</v>
      </c>
      <c r="C15" s="19">
        <f>IFERROR(AV4,0)</f>
        <v>0</v>
      </c>
      <c r="D15" s="20">
        <f>IFERROR(AV2,0)</f>
        <v>0</v>
      </c>
      <c r="E15" s="20">
        <f>IFERROR(AS9,0)</f>
        <v>0</v>
      </c>
      <c r="F15" s="9"/>
      <c r="G15" s="21">
        <v>1.7448399999999999</v>
      </c>
      <c r="H15" s="21">
        <v>5.2496799999999997</v>
      </c>
      <c r="I15" s="21">
        <v>1.12732E-3</v>
      </c>
      <c r="J15" s="21">
        <v>5</v>
      </c>
      <c r="K15" s="21">
        <v>1.7440800000000001</v>
      </c>
      <c r="L15">
        <f t="shared" si="0"/>
        <v>-1.3917530864197529</v>
      </c>
      <c r="M15">
        <f t="shared" si="1"/>
        <v>-2.4283864553086416</v>
      </c>
      <c r="N15" s="9"/>
      <c r="O15" s="21">
        <v>-7.4768100000000004E-2</v>
      </c>
      <c r="P15" s="21">
        <v>9.0084400000000002</v>
      </c>
      <c r="Q15" s="21">
        <v>-1.50574E-2</v>
      </c>
      <c r="R15" s="21">
        <v>5</v>
      </c>
      <c r="S15" s="21">
        <v>-7.5225799999999995E-2</v>
      </c>
      <c r="T15">
        <f t="shared" si="2"/>
        <v>18.589382716049382</v>
      </c>
      <c r="U15">
        <f t="shared" si="3"/>
        <v>-1.3898928258518519</v>
      </c>
      <c r="V15" s="22"/>
      <c r="W15" s="23"/>
      <c r="X15" s="9"/>
      <c r="Y15" s="21">
        <v>1.7448399999999999</v>
      </c>
      <c r="Z15" s="21">
        <v>14.475899999999999</v>
      </c>
      <c r="AA15" s="21">
        <v>1.32446E-3</v>
      </c>
      <c r="AB15" s="21">
        <v>5</v>
      </c>
      <c r="AC15" s="21">
        <v>1.74438</v>
      </c>
      <c r="AD15">
        <f t="shared" si="4"/>
        <v>-1.6351358024691356</v>
      </c>
      <c r="AE15">
        <f t="shared" si="5"/>
        <v>-2.8530503535802465</v>
      </c>
      <c r="AF15" s="9"/>
      <c r="AG15" s="21">
        <v>-7.4768100000000004E-2</v>
      </c>
      <c r="AH15" s="21">
        <v>18.2347</v>
      </c>
      <c r="AI15" s="21">
        <v>-1.5084800000000001E-2</v>
      </c>
      <c r="AJ15" s="21">
        <v>5</v>
      </c>
      <c r="AK15" s="21">
        <v>-7.5103799999999998E-2</v>
      </c>
      <c r="AL15">
        <f t="shared" si="6"/>
        <v>18.623209876543207</v>
      </c>
      <c r="AM15">
        <f t="shared" si="7"/>
        <v>-1.3924220183703702</v>
      </c>
      <c r="AP15" s="9"/>
      <c r="AQ15" s="21">
        <v>1.7448399999999999</v>
      </c>
      <c r="AR15" s="21">
        <v>23.677099999999999</v>
      </c>
      <c r="AS15" s="21">
        <v>1.2344400000000001E-3</v>
      </c>
      <c r="AT15" s="21">
        <v>5</v>
      </c>
      <c r="AU15" s="21">
        <v>1.7440800000000001</v>
      </c>
      <c r="AV15">
        <f t="shared" si="8"/>
        <v>-1.524</v>
      </c>
      <c r="AW15">
        <f t="shared" si="9"/>
        <v>-2.6591361600000001</v>
      </c>
      <c r="AX15" s="9"/>
      <c r="AY15" s="21">
        <v>-7.4768100000000004E-2</v>
      </c>
      <c r="AZ15" s="21">
        <v>27.4359</v>
      </c>
      <c r="BA15" s="21">
        <v>-1.5118400000000001E-2</v>
      </c>
      <c r="BB15" s="21">
        <v>5</v>
      </c>
      <c r="BC15" s="21">
        <v>-7.5317400000000007E-2</v>
      </c>
      <c r="BD15">
        <f t="shared" si="10"/>
        <v>18.66469135802469</v>
      </c>
      <c r="BE15">
        <f t="shared" si="11"/>
        <v>-1.395523509925926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1.7459550864310454</v>
      </c>
      <c r="B16" s="18">
        <f>IFERROR(BD9,0)</f>
        <v>18.615889935633852</v>
      </c>
      <c r="C16" s="19">
        <f>IFERROR(BD4,0)</f>
        <v>0.72396767777484383</v>
      </c>
      <c r="D16" s="20">
        <f>IFERROR(BD2,0)</f>
        <v>23.530765037037035</v>
      </c>
      <c r="E16" s="20"/>
      <c r="F16" s="9"/>
      <c r="G16" s="21">
        <v>1.7398100000000001</v>
      </c>
      <c r="H16" s="21">
        <v>5.2597500000000004</v>
      </c>
      <c r="I16" s="21">
        <v>-4.4390899999999998E-4</v>
      </c>
      <c r="J16" s="21">
        <v>6</v>
      </c>
      <c r="K16" s="21">
        <v>1.7392000000000001</v>
      </c>
      <c r="L16">
        <f t="shared" si="0"/>
        <v>0.54803580246913575</v>
      </c>
      <c r="M16">
        <f t="shared" si="1"/>
        <v>0.95347816949382713</v>
      </c>
      <c r="N16" s="9"/>
      <c r="O16" s="21">
        <v>-6.9732699999999995E-2</v>
      </c>
      <c r="P16" s="21">
        <v>9.0185200000000005</v>
      </c>
      <c r="Q16" s="21">
        <v>-1.5048199999999999E-2</v>
      </c>
      <c r="R16" s="21">
        <v>6</v>
      </c>
      <c r="S16" s="21">
        <v>-7.01904E-2</v>
      </c>
      <c r="T16">
        <f t="shared" si="2"/>
        <v>18.578024691358021</v>
      </c>
      <c r="U16">
        <f t="shared" si="3"/>
        <v>-1.2954958223950614</v>
      </c>
      <c r="V16" s="22"/>
      <c r="W16" s="23"/>
      <c r="X16" s="9"/>
      <c r="Y16" s="21">
        <v>1.7398100000000001</v>
      </c>
      <c r="Z16" s="21">
        <v>14.486000000000001</v>
      </c>
      <c r="AA16" s="21">
        <v>-2.6327499999999999E-4</v>
      </c>
      <c r="AB16" s="21">
        <v>6</v>
      </c>
      <c r="AC16" s="21">
        <v>1.7392000000000001</v>
      </c>
      <c r="AD16">
        <f t="shared" si="4"/>
        <v>0.32503086419753086</v>
      </c>
      <c r="AE16">
        <f t="shared" si="5"/>
        <v>0.56549194783950618</v>
      </c>
      <c r="AF16" s="9"/>
      <c r="AG16" s="21">
        <v>-6.9732699999999995E-2</v>
      </c>
      <c r="AH16" s="21">
        <v>18.244700000000002</v>
      </c>
      <c r="AI16" s="21">
        <v>-1.50787E-2</v>
      </c>
      <c r="AJ16" s="21">
        <v>6</v>
      </c>
      <c r="AK16" s="21">
        <v>-7.0159899999999997E-2</v>
      </c>
      <c r="AL16">
        <f t="shared" si="6"/>
        <v>18.61567901234568</v>
      </c>
      <c r="AM16">
        <f t="shared" si="7"/>
        <v>-1.2981215598641975</v>
      </c>
      <c r="AP16" s="9"/>
      <c r="AQ16" s="21">
        <v>1.7398100000000001</v>
      </c>
      <c r="AR16" s="21">
        <v>23.687200000000001</v>
      </c>
      <c r="AS16" s="21">
        <v>-3.4936500000000003E-4</v>
      </c>
      <c r="AT16" s="21">
        <v>6</v>
      </c>
      <c r="AU16" s="21">
        <v>1.7385900000000001</v>
      </c>
      <c r="AV16">
        <f t="shared" si="8"/>
        <v>0.43131481481481482</v>
      </c>
      <c r="AW16">
        <f t="shared" si="9"/>
        <v>0.75040582796296296</v>
      </c>
      <c r="AX16" s="9"/>
      <c r="AY16" s="21">
        <v>-6.9732699999999995E-2</v>
      </c>
      <c r="AZ16" s="21">
        <v>27.446000000000002</v>
      </c>
      <c r="BA16" s="21">
        <v>-1.5124500000000001E-2</v>
      </c>
      <c r="BB16" s="21">
        <v>6</v>
      </c>
      <c r="BC16" s="21">
        <v>-7.0251499999999995E-2</v>
      </c>
      <c r="BD16">
        <f t="shared" si="10"/>
        <v>18.672222222222221</v>
      </c>
      <c r="BE16">
        <f t="shared" si="11"/>
        <v>-1.3020644705555553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1.7347699999999999</v>
      </c>
      <c r="H17" s="21">
        <v>5.2698200000000002</v>
      </c>
      <c r="I17" s="21">
        <v>-1.7538499999999999E-3</v>
      </c>
      <c r="J17" s="21">
        <v>7</v>
      </c>
      <c r="K17" s="21">
        <v>1.73431</v>
      </c>
      <c r="L17">
        <f t="shared" si="0"/>
        <v>2.1652469135802468</v>
      </c>
      <c r="M17">
        <f t="shared" si="1"/>
        <v>3.7562053882716047</v>
      </c>
      <c r="N17" s="9"/>
      <c r="O17" s="21">
        <v>-6.4697299999999999E-2</v>
      </c>
      <c r="P17" s="21">
        <v>9.0285899999999994</v>
      </c>
      <c r="Q17" s="21">
        <v>-1.50513E-2</v>
      </c>
      <c r="R17" s="21">
        <v>7</v>
      </c>
      <c r="S17" s="21">
        <v>-6.5124500000000002E-2</v>
      </c>
      <c r="T17">
        <f t="shared" si="2"/>
        <v>18.581851851851848</v>
      </c>
      <c r="U17">
        <f t="shared" si="3"/>
        <v>-1.2021956438148145</v>
      </c>
      <c r="V17" s="22"/>
      <c r="W17" s="23"/>
      <c r="X17" s="9"/>
      <c r="Y17" s="21">
        <v>1.7347699999999999</v>
      </c>
      <c r="Z17" s="21">
        <v>14.496</v>
      </c>
      <c r="AA17" s="21">
        <v>-1.55762E-3</v>
      </c>
      <c r="AB17" s="21">
        <v>7</v>
      </c>
      <c r="AC17" s="21">
        <v>1.73492</v>
      </c>
      <c r="AD17">
        <f t="shared" si="4"/>
        <v>1.9229876543209874</v>
      </c>
      <c r="AE17">
        <f t="shared" si="5"/>
        <v>3.3359412930864192</v>
      </c>
      <c r="AF17" s="9"/>
      <c r="AG17" s="21">
        <v>-6.4697299999999999E-2</v>
      </c>
      <c r="AH17" s="21">
        <v>18.254799999999999</v>
      </c>
      <c r="AI17" s="21">
        <v>-1.5084800000000001E-2</v>
      </c>
      <c r="AJ17" s="21">
        <v>7</v>
      </c>
      <c r="AK17" s="21">
        <v>-6.5185499999999993E-2</v>
      </c>
      <c r="AL17">
        <f t="shared" si="6"/>
        <v>18.623209876543207</v>
      </c>
      <c r="AM17">
        <f t="shared" si="7"/>
        <v>-1.2048713963456787</v>
      </c>
      <c r="AP17" s="9"/>
      <c r="AQ17" s="21">
        <v>1.7347699999999999</v>
      </c>
      <c r="AR17" s="21">
        <v>23.697299999999998</v>
      </c>
      <c r="AS17" s="21">
        <v>-1.6570999999999999E-3</v>
      </c>
      <c r="AT17" s="21">
        <v>7</v>
      </c>
      <c r="AU17" s="21">
        <v>1.7340100000000001</v>
      </c>
      <c r="AV17">
        <f t="shared" si="8"/>
        <v>2.0458024691358019</v>
      </c>
      <c r="AW17">
        <f t="shared" si="9"/>
        <v>3.5489967493827148</v>
      </c>
      <c r="AX17" s="9"/>
      <c r="AY17" s="21">
        <v>-6.4697299999999999E-2</v>
      </c>
      <c r="AZ17" s="21">
        <v>27.456</v>
      </c>
      <c r="BA17" s="21">
        <v>-1.5124500000000001E-2</v>
      </c>
      <c r="BB17" s="21">
        <v>7</v>
      </c>
      <c r="BC17" s="21">
        <v>-6.5185499999999993E-2</v>
      </c>
      <c r="BD17">
        <f t="shared" si="10"/>
        <v>18.672222222222221</v>
      </c>
      <c r="BE17">
        <f t="shared" si="11"/>
        <v>-1.2080423627777777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1.7297400000000001</v>
      </c>
      <c r="H18" s="21">
        <v>5.27989</v>
      </c>
      <c r="I18" s="21">
        <v>-2.8381299999999999E-3</v>
      </c>
      <c r="J18" s="21">
        <v>8</v>
      </c>
      <c r="K18" s="21">
        <v>1.7285200000000001</v>
      </c>
      <c r="L18">
        <f t="shared" si="0"/>
        <v>3.5038641975308638</v>
      </c>
      <c r="M18">
        <f t="shared" si="1"/>
        <v>6.0607740570370368</v>
      </c>
      <c r="N18" s="9"/>
      <c r="O18" s="21">
        <v>-5.9661899999999997E-2</v>
      </c>
      <c r="P18" s="21">
        <v>9.0386600000000001</v>
      </c>
      <c r="Q18" s="21">
        <v>-1.50452E-2</v>
      </c>
      <c r="R18" s="21">
        <v>8</v>
      </c>
      <c r="S18" s="21">
        <v>-6.0180699999999997E-2</v>
      </c>
      <c r="T18">
        <f t="shared" si="2"/>
        <v>18.574320987654321</v>
      </c>
      <c r="U18">
        <f t="shared" si="3"/>
        <v>-1.1081792813333333</v>
      </c>
      <c r="V18" s="22"/>
      <c r="W18" s="23"/>
      <c r="X18" s="9"/>
      <c r="Y18" s="21">
        <v>1.7297400000000001</v>
      </c>
      <c r="Z18" s="21">
        <v>14.5061</v>
      </c>
      <c r="AA18" s="21">
        <v>-2.6461800000000001E-3</v>
      </c>
      <c r="AB18" s="21">
        <v>8</v>
      </c>
      <c r="AC18" s="21">
        <v>1.7291300000000001</v>
      </c>
      <c r="AD18">
        <f t="shared" si="4"/>
        <v>3.266888888888889</v>
      </c>
      <c r="AE18">
        <f t="shared" si="5"/>
        <v>5.6508683866666667</v>
      </c>
      <c r="AF18" s="9"/>
      <c r="AG18" s="21">
        <v>-5.9661899999999997E-2</v>
      </c>
      <c r="AH18" s="21">
        <v>18.264900000000001</v>
      </c>
      <c r="AI18" s="21">
        <v>-1.5090900000000001E-2</v>
      </c>
      <c r="AJ18" s="21">
        <v>8</v>
      </c>
      <c r="AK18" s="21">
        <v>-5.9997599999999998E-2</v>
      </c>
      <c r="AL18">
        <f t="shared" si="6"/>
        <v>18.630740740740741</v>
      </c>
      <c r="AM18">
        <f t="shared" si="7"/>
        <v>-1.1115453909999999</v>
      </c>
      <c r="AP18" s="9"/>
      <c r="AQ18" s="21">
        <v>1.7297400000000001</v>
      </c>
      <c r="AR18" s="21">
        <v>23.7073</v>
      </c>
      <c r="AS18" s="21">
        <v>-2.73865E-3</v>
      </c>
      <c r="AT18" s="21">
        <v>8</v>
      </c>
      <c r="AU18" s="21">
        <v>1.72943</v>
      </c>
      <c r="AV18">
        <f t="shared" si="8"/>
        <v>3.381049382716049</v>
      </c>
      <c r="AW18">
        <f t="shared" si="9"/>
        <v>5.8483363592592585</v>
      </c>
      <c r="AX18" s="9"/>
      <c r="AY18" s="21">
        <v>-5.9661899999999997E-2</v>
      </c>
      <c r="AZ18" s="21">
        <v>27.466100000000001</v>
      </c>
      <c r="BA18" s="21">
        <v>-1.51215E-2</v>
      </c>
      <c r="BB18" s="21">
        <v>8</v>
      </c>
      <c r="BC18" s="21">
        <v>-6.0150099999999998E-2</v>
      </c>
      <c r="BD18">
        <f t="shared" si="10"/>
        <v>18.668518518518518</v>
      </c>
      <c r="BE18">
        <f t="shared" si="11"/>
        <v>-1.1137992849999998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1.7246999999999999</v>
      </c>
      <c r="H19" s="21">
        <v>5.2899599999999998</v>
      </c>
      <c r="I19" s="21">
        <v>-3.76648E-3</v>
      </c>
      <c r="J19" s="21">
        <v>9</v>
      </c>
      <c r="K19" s="21">
        <v>1.72363</v>
      </c>
      <c r="L19">
        <f t="shared" si="0"/>
        <v>4.6499753086419746</v>
      </c>
      <c r="M19">
        <f t="shared" si="1"/>
        <v>8.0198124148148136</v>
      </c>
      <c r="N19" s="9"/>
      <c r="O19" s="21">
        <v>-5.4626500000000001E-2</v>
      </c>
      <c r="P19" s="21">
        <v>9.0487300000000008</v>
      </c>
      <c r="Q19" s="21">
        <v>-1.50513E-2</v>
      </c>
      <c r="R19" s="21">
        <v>9</v>
      </c>
      <c r="S19" s="21">
        <v>-5.5114700000000003E-2</v>
      </c>
      <c r="T19">
        <f t="shared" si="2"/>
        <v>18.581851851851848</v>
      </c>
      <c r="U19">
        <f t="shared" si="3"/>
        <v>-1.0150615301851851</v>
      </c>
      <c r="V19" s="22"/>
      <c r="W19" s="23"/>
      <c r="X19" s="9"/>
      <c r="Y19" s="21">
        <v>1.7246999999999999</v>
      </c>
      <c r="Z19" s="21">
        <v>14.5162</v>
      </c>
      <c r="AA19" s="21">
        <v>-3.57056E-3</v>
      </c>
      <c r="AB19" s="21">
        <v>9</v>
      </c>
      <c r="AC19" s="21">
        <v>1.72424</v>
      </c>
      <c r="AD19">
        <f t="shared" si="4"/>
        <v>4.4080987654320989</v>
      </c>
      <c r="AE19">
        <f t="shared" si="5"/>
        <v>7.6026479407407406</v>
      </c>
      <c r="AF19" s="9"/>
      <c r="AG19" s="21">
        <v>-5.4626500000000001E-2</v>
      </c>
      <c r="AH19" s="21">
        <v>18.274899999999999</v>
      </c>
      <c r="AI19" s="21">
        <v>-1.50879E-2</v>
      </c>
      <c r="AJ19" s="21">
        <v>9</v>
      </c>
      <c r="AK19" s="21">
        <v>-5.5114700000000003E-2</v>
      </c>
      <c r="AL19">
        <f t="shared" si="6"/>
        <v>18.627037037037034</v>
      </c>
      <c r="AM19">
        <f t="shared" si="7"/>
        <v>-1.0175298387037035</v>
      </c>
      <c r="AP19" s="9"/>
      <c r="AQ19" s="21">
        <v>1.7246999999999999</v>
      </c>
      <c r="AR19" s="21">
        <v>23.717400000000001</v>
      </c>
      <c r="AS19" s="21">
        <v>-3.6450200000000001E-3</v>
      </c>
      <c r="AT19" s="21">
        <v>9</v>
      </c>
      <c r="AU19" s="21">
        <v>1.72394</v>
      </c>
      <c r="AV19">
        <f t="shared" si="8"/>
        <v>4.5000246913580249</v>
      </c>
      <c r="AW19">
        <f t="shared" si="9"/>
        <v>7.7611925851851851</v>
      </c>
      <c r="AX19" s="9"/>
      <c r="AY19" s="21">
        <v>-5.4626500000000001E-2</v>
      </c>
      <c r="AZ19" s="21">
        <v>27.476199999999999</v>
      </c>
      <c r="BA19" s="21">
        <v>-1.51062E-2</v>
      </c>
      <c r="BB19" s="21">
        <v>9</v>
      </c>
      <c r="BC19" s="21">
        <v>-5.5267299999999998E-2</v>
      </c>
      <c r="BD19">
        <f t="shared" si="10"/>
        <v>18.649629629629626</v>
      </c>
      <c r="BE19">
        <f t="shared" si="11"/>
        <v>-1.0187639929629628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1.71967</v>
      </c>
      <c r="H20" s="21">
        <v>5.3000299999999996</v>
      </c>
      <c r="I20" s="21">
        <v>-4.54376E-3</v>
      </c>
      <c r="J20" s="21">
        <v>10</v>
      </c>
      <c r="K20" s="21">
        <v>1.71906</v>
      </c>
      <c r="L20">
        <f t="shared" si="0"/>
        <v>5.6095802469135805</v>
      </c>
      <c r="M20">
        <f t="shared" si="1"/>
        <v>9.6466268632098764</v>
      </c>
      <c r="N20" s="9"/>
      <c r="O20" s="21">
        <v>-4.9591099999999999E-2</v>
      </c>
      <c r="P20" s="21">
        <v>9.0587999999999997</v>
      </c>
      <c r="Q20" s="21">
        <v>-1.50574E-2</v>
      </c>
      <c r="R20" s="21">
        <v>10</v>
      </c>
      <c r="S20" s="21">
        <v>-5.0109899999999999E-2</v>
      </c>
      <c r="T20">
        <f t="shared" si="2"/>
        <v>18.589382716049382</v>
      </c>
      <c r="U20">
        <f t="shared" si="3"/>
        <v>-0.92186793720987648</v>
      </c>
      <c r="V20" s="22"/>
      <c r="W20" s="23"/>
      <c r="X20" s="9"/>
      <c r="Y20" s="21">
        <v>1.71967</v>
      </c>
      <c r="Z20" s="21">
        <v>14.526199999999999</v>
      </c>
      <c r="AA20" s="21">
        <v>-4.3542499999999996E-3</v>
      </c>
      <c r="AB20" s="21">
        <v>10</v>
      </c>
      <c r="AC20" s="21">
        <v>1.71906</v>
      </c>
      <c r="AD20">
        <f t="shared" si="4"/>
        <v>5.3756172839506169</v>
      </c>
      <c r="AE20">
        <f t="shared" si="5"/>
        <v>9.2442877746913581</v>
      </c>
      <c r="AF20" s="9"/>
      <c r="AG20" s="21">
        <v>-4.9591099999999999E-2</v>
      </c>
      <c r="AH20" s="21">
        <v>18.285</v>
      </c>
      <c r="AI20" s="21">
        <v>-1.50879E-2</v>
      </c>
      <c r="AJ20" s="21">
        <v>10</v>
      </c>
      <c r="AK20" s="21">
        <v>-5.02014E-2</v>
      </c>
      <c r="AL20">
        <f t="shared" si="6"/>
        <v>18.627037037037034</v>
      </c>
      <c r="AM20">
        <f t="shared" si="7"/>
        <v>-0.92373525640740728</v>
      </c>
      <c r="AP20" s="9"/>
      <c r="AQ20" s="21">
        <v>1.71967</v>
      </c>
      <c r="AR20" s="21">
        <v>23.727499999999999</v>
      </c>
      <c r="AS20" s="21">
        <v>-4.4204700000000001E-3</v>
      </c>
      <c r="AT20" s="21">
        <v>10</v>
      </c>
      <c r="AU20" s="21">
        <v>1.71875</v>
      </c>
      <c r="AV20">
        <f t="shared" si="8"/>
        <v>5.45737037037037</v>
      </c>
      <c r="AW20">
        <f t="shared" si="9"/>
        <v>9.3848761048148148</v>
      </c>
      <c r="AX20" s="9"/>
      <c r="AY20" s="21">
        <v>-4.9591099999999999E-2</v>
      </c>
      <c r="AZ20" s="21">
        <v>27.4862</v>
      </c>
      <c r="BA20" s="21">
        <v>-1.5094E-2</v>
      </c>
      <c r="BB20" s="21">
        <v>10</v>
      </c>
      <c r="BC20" s="21">
        <v>-5.0109899999999999E-2</v>
      </c>
      <c r="BD20">
        <f t="shared" si="10"/>
        <v>18.634567901234568</v>
      </c>
      <c r="BE20">
        <f t="shared" si="11"/>
        <v>-0.9241087202469136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1.7146300000000001</v>
      </c>
      <c r="H21" s="21">
        <v>5.3101000000000003</v>
      </c>
      <c r="I21" s="21">
        <v>-5.2276600000000003E-3</v>
      </c>
      <c r="J21" s="21">
        <v>11</v>
      </c>
      <c r="K21" s="21">
        <v>1.71417</v>
      </c>
      <c r="L21">
        <f t="shared" si="0"/>
        <v>6.4539012345679012</v>
      </c>
      <c r="M21">
        <f t="shared" si="1"/>
        <v>11.06605267382716</v>
      </c>
      <c r="N21" s="9"/>
      <c r="O21" s="21">
        <v>-4.4555699999999997E-2</v>
      </c>
      <c r="P21" s="21">
        <v>9.0688700000000004</v>
      </c>
      <c r="Q21" s="21">
        <v>-1.50665E-2</v>
      </c>
      <c r="R21" s="21">
        <v>11</v>
      </c>
      <c r="S21" s="21">
        <v>-4.4967699999999999E-2</v>
      </c>
      <c r="T21">
        <f t="shared" si="2"/>
        <v>18.600617283950616</v>
      </c>
      <c r="U21">
        <f t="shared" si="3"/>
        <v>-0.82876352351851834</v>
      </c>
      <c r="V21" s="22"/>
      <c r="W21" s="23"/>
      <c r="X21" s="9"/>
      <c r="Y21" s="21">
        <v>1.7146300000000001</v>
      </c>
      <c r="Z21" s="21">
        <v>14.536300000000001</v>
      </c>
      <c r="AA21" s="21">
        <v>-5.0506600000000002E-3</v>
      </c>
      <c r="AB21" s="21">
        <v>11</v>
      </c>
      <c r="AC21" s="21">
        <v>1.71356</v>
      </c>
      <c r="AD21">
        <f t="shared" si="4"/>
        <v>6.235382716049382</v>
      </c>
      <c r="AE21">
        <f t="shared" si="5"/>
        <v>10.691374266419752</v>
      </c>
      <c r="AF21" s="9"/>
      <c r="AG21" s="21">
        <v>-4.4555699999999997E-2</v>
      </c>
      <c r="AH21" s="21">
        <v>18.295100000000001</v>
      </c>
      <c r="AI21" s="21">
        <v>-1.50665E-2</v>
      </c>
      <c r="AJ21" s="21">
        <v>11</v>
      </c>
      <c r="AK21" s="21">
        <v>-4.4879200000000001E-2</v>
      </c>
      <c r="AL21">
        <f t="shared" si="6"/>
        <v>18.600617283950616</v>
      </c>
      <c r="AM21">
        <f t="shared" si="7"/>
        <v>-0.82876352351851834</v>
      </c>
      <c r="AP21" s="9"/>
      <c r="AQ21" s="21">
        <v>1.7146300000000001</v>
      </c>
      <c r="AR21" s="21">
        <v>23.737500000000001</v>
      </c>
      <c r="AS21" s="21">
        <v>-5.0872799999999996E-3</v>
      </c>
      <c r="AT21" s="21">
        <v>11</v>
      </c>
      <c r="AU21" s="21">
        <v>1.71417</v>
      </c>
      <c r="AV21">
        <f t="shared" si="8"/>
        <v>6.2805925925925923</v>
      </c>
      <c r="AW21">
        <f t="shared" si="9"/>
        <v>10.768892477037037</v>
      </c>
      <c r="AX21" s="9"/>
      <c r="AY21" s="21">
        <v>-4.4555699999999997E-2</v>
      </c>
      <c r="AZ21" s="21">
        <v>27.496300000000002</v>
      </c>
      <c r="BA21" s="21">
        <v>-1.5084800000000001E-2</v>
      </c>
      <c r="BB21" s="21">
        <v>11</v>
      </c>
      <c r="BC21" s="21">
        <v>-4.4873000000000003E-2</v>
      </c>
      <c r="BD21">
        <f t="shared" si="10"/>
        <v>18.623209876543207</v>
      </c>
      <c r="BE21">
        <f t="shared" si="11"/>
        <v>-0.82977015229629614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1.7095899999999999</v>
      </c>
      <c r="H22" s="21">
        <v>5.3201700000000001</v>
      </c>
      <c r="I22" s="21">
        <v>-5.8258099999999998E-3</v>
      </c>
      <c r="J22" s="21">
        <v>12</v>
      </c>
      <c r="K22" s="21">
        <v>1.70929</v>
      </c>
      <c r="L22">
        <f t="shared" si="0"/>
        <v>7.1923580246913579</v>
      </c>
      <c r="M22">
        <f t="shared" si="1"/>
        <v>12.295983355432098</v>
      </c>
      <c r="N22" s="9"/>
      <c r="O22" s="21">
        <v>-3.9520300000000001E-2</v>
      </c>
      <c r="P22" s="21">
        <v>9.0789399999999993</v>
      </c>
      <c r="Q22" s="21">
        <v>-1.5075699999999999E-2</v>
      </c>
      <c r="R22" s="21">
        <v>12</v>
      </c>
      <c r="S22" s="21">
        <v>-3.9831499999999999E-2</v>
      </c>
      <c r="T22">
        <f t="shared" si="2"/>
        <v>18.611975308641973</v>
      </c>
      <c r="U22">
        <f t="shared" si="3"/>
        <v>-0.73555084779012336</v>
      </c>
      <c r="V22" s="22"/>
      <c r="W22" s="23"/>
      <c r="X22" s="9"/>
      <c r="Y22" s="21">
        <v>1.7095899999999999</v>
      </c>
      <c r="Z22" s="21">
        <v>14.5464</v>
      </c>
      <c r="AA22" s="21">
        <v>-5.6518599999999999E-3</v>
      </c>
      <c r="AB22" s="21">
        <v>12</v>
      </c>
      <c r="AC22" s="21">
        <v>1.7089799999999999</v>
      </c>
      <c r="AD22">
        <f t="shared" si="4"/>
        <v>6.9776049382716048</v>
      </c>
      <c r="AE22">
        <f t="shared" si="5"/>
        <v>11.928843626419752</v>
      </c>
      <c r="AF22" s="9"/>
      <c r="AG22" s="21">
        <v>-3.9520300000000001E-2</v>
      </c>
      <c r="AH22" s="21">
        <v>18.305199999999999</v>
      </c>
      <c r="AI22" s="21">
        <v>-1.50604E-2</v>
      </c>
      <c r="AJ22" s="21">
        <v>12</v>
      </c>
      <c r="AK22" s="21">
        <v>-3.9822400000000001E-2</v>
      </c>
      <c r="AL22">
        <f t="shared" si="6"/>
        <v>18.593086419753085</v>
      </c>
      <c r="AM22">
        <f t="shared" si="7"/>
        <v>-0.73480435323456783</v>
      </c>
      <c r="AP22" s="9"/>
      <c r="AQ22" s="21">
        <v>1.7095899999999999</v>
      </c>
      <c r="AR22" s="21">
        <v>23.747599999999998</v>
      </c>
      <c r="AS22" s="21">
        <v>-5.7006799999999996E-3</v>
      </c>
      <c r="AT22" s="21">
        <v>12</v>
      </c>
      <c r="AU22" s="21">
        <v>1.7083699999999999</v>
      </c>
      <c r="AV22">
        <f t="shared" si="8"/>
        <v>7.037876543209876</v>
      </c>
      <c r="AW22">
        <f t="shared" si="9"/>
        <v>12.031883359506171</v>
      </c>
      <c r="AX22" s="9"/>
      <c r="AY22" s="21">
        <v>-3.9520300000000001E-2</v>
      </c>
      <c r="AZ22" s="21">
        <v>27.506399999999999</v>
      </c>
      <c r="BA22" s="21">
        <v>-1.5090900000000001E-2</v>
      </c>
      <c r="BB22" s="21">
        <v>12</v>
      </c>
      <c r="BC22" s="21">
        <v>-3.9965800000000003E-2</v>
      </c>
      <c r="BD22">
        <f t="shared" si="10"/>
        <v>18.630740740740741</v>
      </c>
      <c r="BE22">
        <f t="shared" si="11"/>
        <v>-0.73629246329629638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1.7045600000000001</v>
      </c>
      <c r="H23" s="21">
        <v>5.3302500000000004</v>
      </c>
      <c r="I23" s="21">
        <v>-6.3507099999999999E-3</v>
      </c>
      <c r="J23" s="21">
        <v>13</v>
      </c>
      <c r="K23" s="21">
        <v>1.7038</v>
      </c>
      <c r="L23">
        <f t="shared" si="0"/>
        <v>7.8403827160493833</v>
      </c>
      <c r="M23">
        <f t="shared" si="1"/>
        <v>13.364402762469137</v>
      </c>
      <c r="N23" s="9"/>
      <c r="O23" s="21">
        <v>-3.4484899999999999E-2</v>
      </c>
      <c r="P23" s="21">
        <v>9.08901</v>
      </c>
      <c r="Q23" s="21">
        <v>-1.50726E-2</v>
      </c>
      <c r="R23" s="21">
        <v>13</v>
      </c>
      <c r="S23" s="21">
        <v>-3.4786999999999998E-2</v>
      </c>
      <c r="T23">
        <f t="shared" si="2"/>
        <v>18.60814814814815</v>
      </c>
      <c r="U23">
        <f t="shared" si="3"/>
        <v>-0.64170012807407406</v>
      </c>
      <c r="V23" s="22"/>
      <c r="W23" s="23"/>
      <c r="X23" s="9"/>
      <c r="Y23" s="21">
        <v>1.7045600000000001</v>
      </c>
      <c r="Z23" s="21">
        <v>14.5565</v>
      </c>
      <c r="AA23" s="21">
        <v>-6.1737099999999998E-3</v>
      </c>
      <c r="AB23" s="21">
        <v>13</v>
      </c>
      <c r="AC23" s="21">
        <v>1.7034899999999999</v>
      </c>
      <c r="AD23">
        <f t="shared" si="4"/>
        <v>7.6218641975308632</v>
      </c>
      <c r="AE23">
        <f t="shared" si="5"/>
        <v>12.991924836543209</v>
      </c>
      <c r="AF23" s="9"/>
      <c r="AG23" s="21">
        <v>-3.4484899999999999E-2</v>
      </c>
      <c r="AH23" s="21">
        <v>18.315200000000001</v>
      </c>
      <c r="AI23" s="21">
        <v>-1.50543E-2</v>
      </c>
      <c r="AJ23" s="21">
        <v>13</v>
      </c>
      <c r="AK23" s="21">
        <v>-3.4762599999999998E-2</v>
      </c>
      <c r="AL23">
        <f t="shared" si="6"/>
        <v>18.585555555555555</v>
      </c>
      <c r="AM23">
        <f t="shared" si="7"/>
        <v>-0.64092102477777768</v>
      </c>
      <c r="AP23" s="9"/>
      <c r="AQ23" s="21">
        <v>1.7045600000000001</v>
      </c>
      <c r="AR23" s="21">
        <v>23.7577</v>
      </c>
      <c r="AS23" s="21">
        <v>-6.2439000000000001E-3</v>
      </c>
      <c r="AT23" s="21">
        <v>13</v>
      </c>
      <c r="AU23" s="21">
        <v>1.7034899999999999</v>
      </c>
      <c r="AV23">
        <f t="shared" si="8"/>
        <v>7.7085185185185185</v>
      </c>
      <c r="AW23">
        <f t="shared" si="9"/>
        <v>13.139632325925927</v>
      </c>
      <c r="AX23" s="9"/>
      <c r="AY23" s="21">
        <v>-3.4484899999999999E-2</v>
      </c>
      <c r="AZ23" s="21">
        <v>27.516500000000001</v>
      </c>
      <c r="BA23" s="21">
        <v>-1.51031E-2</v>
      </c>
      <c r="BB23" s="21">
        <v>13</v>
      </c>
      <c r="BC23" s="21">
        <v>-3.4790000000000001E-2</v>
      </c>
      <c r="BD23">
        <f t="shared" si="10"/>
        <v>18.645802469135798</v>
      </c>
      <c r="BE23">
        <f t="shared" si="11"/>
        <v>-0.6429986335679011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1.6995199999999999</v>
      </c>
      <c r="H24" s="21">
        <v>5.3403200000000002</v>
      </c>
      <c r="I24" s="21">
        <v>-6.8145799999999998E-3</v>
      </c>
      <c r="J24" s="21">
        <v>14</v>
      </c>
      <c r="K24" s="21">
        <v>1.69922</v>
      </c>
      <c r="L24">
        <f t="shared" si="0"/>
        <v>8.4130617283950606</v>
      </c>
      <c r="M24">
        <f t="shared" si="1"/>
        <v>14.298166668641972</v>
      </c>
      <c r="N24" s="9"/>
      <c r="O24" s="21">
        <v>-2.94495E-2</v>
      </c>
      <c r="P24" s="21">
        <v>9.0990800000000007</v>
      </c>
      <c r="Q24" s="21">
        <v>-1.50665E-2</v>
      </c>
      <c r="R24" s="21">
        <v>14</v>
      </c>
      <c r="S24" s="21">
        <v>-2.9748500000000001E-2</v>
      </c>
      <c r="T24">
        <f t="shared" si="2"/>
        <v>18.600617283950616</v>
      </c>
      <c r="U24">
        <f t="shared" si="3"/>
        <v>-0.54777887870370368</v>
      </c>
      <c r="V24" s="22"/>
      <c r="W24" s="23"/>
      <c r="X24" s="9"/>
      <c r="Y24" s="21">
        <v>1.6995199999999999</v>
      </c>
      <c r="Z24" s="21">
        <v>14.5665</v>
      </c>
      <c r="AA24" s="21">
        <v>-6.6619899999999996E-3</v>
      </c>
      <c r="AB24" s="21">
        <v>14</v>
      </c>
      <c r="AC24" s="21">
        <v>1.69861</v>
      </c>
      <c r="AD24">
        <f t="shared" si="4"/>
        <v>8.2246790123456783</v>
      </c>
      <c r="AE24">
        <f t="shared" si="5"/>
        <v>13.978006475061727</v>
      </c>
      <c r="AF24" s="9"/>
      <c r="AG24" s="21">
        <v>-2.94495E-2</v>
      </c>
      <c r="AH24" s="21">
        <v>18.325299999999999</v>
      </c>
      <c r="AI24" s="21">
        <v>-1.50452E-2</v>
      </c>
      <c r="AJ24" s="21">
        <v>14</v>
      </c>
      <c r="AK24" s="21">
        <v>-2.9748500000000001E-2</v>
      </c>
      <c r="AL24">
        <f t="shared" si="6"/>
        <v>18.574320987654321</v>
      </c>
      <c r="AM24">
        <f t="shared" si="7"/>
        <v>-0.54700446592592589</v>
      </c>
      <c r="AP24" s="9"/>
      <c r="AQ24" s="21">
        <v>1.6995199999999999</v>
      </c>
      <c r="AR24" s="21">
        <v>23.767800000000001</v>
      </c>
      <c r="AS24" s="21">
        <v>-6.7413300000000002E-3</v>
      </c>
      <c r="AT24" s="21">
        <v>14</v>
      </c>
      <c r="AU24" s="21">
        <v>1.69922</v>
      </c>
      <c r="AV24">
        <f t="shared" si="8"/>
        <v>8.3226296296296294</v>
      </c>
      <c r="AW24">
        <f t="shared" si="9"/>
        <v>14.144475508148147</v>
      </c>
      <c r="AX24" s="9"/>
      <c r="AY24" s="21">
        <v>-2.94495E-2</v>
      </c>
      <c r="AZ24" s="21">
        <v>27.526499999999999</v>
      </c>
      <c r="BA24" s="21">
        <v>-1.5109300000000001E-2</v>
      </c>
      <c r="BB24" s="21">
        <v>14</v>
      </c>
      <c r="BC24" s="21">
        <v>-2.97913E-2</v>
      </c>
      <c r="BD24">
        <f t="shared" si="10"/>
        <v>18.653456790123457</v>
      </c>
      <c r="BE24">
        <f t="shared" si="11"/>
        <v>-0.54933497574074075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1.6944900000000001</v>
      </c>
      <c r="H25" s="21">
        <v>5.35039</v>
      </c>
      <c r="I25" s="21">
        <v>-7.2418200000000004E-3</v>
      </c>
      <c r="J25" s="21">
        <v>15</v>
      </c>
      <c r="K25" s="21">
        <v>1.6934199999999999</v>
      </c>
      <c r="L25">
        <f t="shared" si="0"/>
        <v>8.9405185185185179</v>
      </c>
      <c r="M25">
        <f t="shared" si="1"/>
        <v>15.149619224444443</v>
      </c>
      <c r="N25" s="9"/>
      <c r="O25" s="21">
        <v>-2.4414100000000001E-2</v>
      </c>
      <c r="P25" s="21">
        <v>9.1091499999999996</v>
      </c>
      <c r="Q25" s="21">
        <v>-1.50604E-2</v>
      </c>
      <c r="R25" s="21">
        <v>15</v>
      </c>
      <c r="S25" s="21">
        <v>-2.4725299999999999E-2</v>
      </c>
      <c r="T25">
        <f t="shared" si="2"/>
        <v>18.593086419753085</v>
      </c>
      <c r="U25">
        <f t="shared" si="3"/>
        <v>-0.45393347116049382</v>
      </c>
      <c r="V25" s="22"/>
      <c r="W25" s="23"/>
      <c r="X25" s="9"/>
      <c r="Y25" s="21">
        <v>1.6944900000000001</v>
      </c>
      <c r="Z25" s="21">
        <v>14.576599999999999</v>
      </c>
      <c r="AA25" s="21">
        <v>-7.0861800000000001E-3</v>
      </c>
      <c r="AB25" s="21">
        <v>15</v>
      </c>
      <c r="AC25" s="21">
        <v>1.69312</v>
      </c>
      <c r="AD25">
        <f t="shared" si="4"/>
        <v>8.7483703703703704</v>
      </c>
      <c r="AE25">
        <f t="shared" si="5"/>
        <v>14.824026108888889</v>
      </c>
      <c r="AF25" s="9"/>
      <c r="AG25" s="21">
        <v>-2.4414100000000001E-2</v>
      </c>
      <c r="AH25" s="21">
        <v>18.3354</v>
      </c>
      <c r="AI25" s="21">
        <v>-1.50391E-2</v>
      </c>
      <c r="AJ25" s="21">
        <v>15</v>
      </c>
      <c r="AK25" s="21">
        <v>-2.4710099999999999E-2</v>
      </c>
      <c r="AL25">
        <f t="shared" si="6"/>
        <v>18.566790123456791</v>
      </c>
      <c r="AM25">
        <f t="shared" si="7"/>
        <v>-0.45329147075308646</v>
      </c>
      <c r="AP25" s="9"/>
      <c r="AQ25" s="21">
        <v>1.6944900000000001</v>
      </c>
      <c r="AR25" s="21">
        <v>23.777799999999999</v>
      </c>
      <c r="AS25" s="21">
        <v>-7.1746800000000001E-3</v>
      </c>
      <c r="AT25" s="21">
        <v>15</v>
      </c>
      <c r="AU25" s="21">
        <v>1.6940299999999999</v>
      </c>
      <c r="AV25">
        <f t="shared" si="8"/>
        <v>8.8576296296296277</v>
      </c>
      <c r="AW25">
        <f t="shared" si="9"/>
        <v>15.009164831111109</v>
      </c>
      <c r="AX25" s="9"/>
      <c r="AY25" s="21">
        <v>-2.4414100000000001E-2</v>
      </c>
      <c r="AZ25" s="21">
        <v>27.5366</v>
      </c>
      <c r="BA25" s="21">
        <v>-1.5115399999999999E-2</v>
      </c>
      <c r="BB25" s="21">
        <v>15</v>
      </c>
      <c r="BC25" s="21">
        <v>-2.4670399999999999E-2</v>
      </c>
      <c r="BD25">
        <f t="shared" si="10"/>
        <v>18.660987654320987</v>
      </c>
      <c r="BE25">
        <f t="shared" si="11"/>
        <v>-0.45559121869135805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1.6894499999999999</v>
      </c>
      <c r="H26" s="21">
        <v>5.3604599999999998</v>
      </c>
      <c r="I26" s="21">
        <v>-7.6324499999999998E-3</v>
      </c>
      <c r="J26" s="21">
        <v>16</v>
      </c>
      <c r="K26" s="21">
        <v>1.6888399999999999</v>
      </c>
      <c r="L26">
        <f t="shared" si="0"/>
        <v>9.4227777777777764</v>
      </c>
      <c r="M26">
        <f t="shared" si="1"/>
        <v>15.919311916666663</v>
      </c>
      <c r="N26" s="9"/>
      <c r="O26" s="21">
        <v>-1.9378699999999999E-2</v>
      </c>
      <c r="P26" s="21">
        <v>9.1192299999999999</v>
      </c>
      <c r="Q26" s="21">
        <v>-1.5063500000000001E-2</v>
      </c>
      <c r="R26" s="21">
        <v>16</v>
      </c>
      <c r="S26" s="21">
        <v>-1.9650299999999999E-2</v>
      </c>
      <c r="T26">
        <f t="shared" si="2"/>
        <v>18.596913580246913</v>
      </c>
      <c r="U26">
        <f t="shared" si="3"/>
        <v>-0.36038400919753083</v>
      </c>
      <c r="V26" s="22"/>
      <c r="W26" s="23"/>
      <c r="X26" s="9"/>
      <c r="Y26" s="21">
        <v>1.6894499999999999</v>
      </c>
      <c r="Z26" s="21">
        <v>14.5867</v>
      </c>
      <c r="AA26" s="21">
        <v>-7.4859599999999998E-3</v>
      </c>
      <c r="AB26" s="21">
        <v>16</v>
      </c>
      <c r="AC26" s="21">
        <v>1.6888399999999999</v>
      </c>
      <c r="AD26">
        <f t="shared" si="4"/>
        <v>9.2419259259259245</v>
      </c>
      <c r="AE26">
        <f t="shared" si="5"/>
        <v>15.613771755555552</v>
      </c>
      <c r="AF26" s="9"/>
      <c r="AG26" s="21">
        <v>-1.9378699999999999E-2</v>
      </c>
      <c r="AH26" s="21">
        <v>18.345400000000001</v>
      </c>
      <c r="AI26" s="21">
        <v>-1.5042099999999999E-2</v>
      </c>
      <c r="AJ26" s="21">
        <v>16</v>
      </c>
      <c r="AK26" s="21">
        <v>-1.9650299999999999E-2</v>
      </c>
      <c r="AL26">
        <f t="shared" si="6"/>
        <v>18.570493827160494</v>
      </c>
      <c r="AM26">
        <f t="shared" si="7"/>
        <v>-0.35987202872839502</v>
      </c>
      <c r="AP26" s="9"/>
      <c r="AQ26" s="21">
        <v>1.6894499999999999</v>
      </c>
      <c r="AR26" s="21">
        <v>23.7879</v>
      </c>
      <c r="AS26" s="21">
        <v>-7.5653099999999996E-3</v>
      </c>
      <c r="AT26" s="21">
        <v>16</v>
      </c>
      <c r="AU26" s="21">
        <v>1.6885399999999999</v>
      </c>
      <c r="AV26">
        <f t="shared" si="8"/>
        <v>9.339888888888888</v>
      </c>
      <c r="AW26">
        <f t="shared" si="9"/>
        <v>15.77927528333333</v>
      </c>
      <c r="AX26" s="9"/>
      <c r="AY26" s="21">
        <v>-1.9378699999999999E-2</v>
      </c>
      <c r="AZ26" s="21">
        <v>27.546700000000001</v>
      </c>
      <c r="BA26" s="21">
        <v>-1.5118400000000001E-2</v>
      </c>
      <c r="BB26" s="21">
        <v>16</v>
      </c>
      <c r="BC26" s="21">
        <v>-1.9677699999999999E-2</v>
      </c>
      <c r="BD26">
        <f t="shared" si="10"/>
        <v>18.66469135802469</v>
      </c>
      <c r="BE26">
        <f t="shared" si="11"/>
        <v>-0.36169745441975304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1.68442</v>
      </c>
      <c r="H27" s="21">
        <v>5.3705299999999996</v>
      </c>
      <c r="I27" s="21">
        <v>-7.9772899999999997E-3</v>
      </c>
      <c r="J27" s="21">
        <v>17</v>
      </c>
      <c r="K27" s="21">
        <v>1.6833499999999999</v>
      </c>
      <c r="L27">
        <f t="shared" si="0"/>
        <v>9.8485061728395049</v>
      </c>
      <c r="M27">
        <f t="shared" si="1"/>
        <v>16.589020767654318</v>
      </c>
      <c r="N27" s="9"/>
      <c r="O27" s="21">
        <v>-1.43433E-2</v>
      </c>
      <c r="P27" s="21">
        <v>9.1293000000000006</v>
      </c>
      <c r="Q27" s="21">
        <v>-1.50574E-2</v>
      </c>
      <c r="R27" s="21">
        <v>17</v>
      </c>
      <c r="S27" s="21">
        <v>-1.4611799999999999E-2</v>
      </c>
      <c r="T27">
        <f t="shared" si="2"/>
        <v>18.589382716049382</v>
      </c>
      <c r="U27">
        <f t="shared" si="3"/>
        <v>-0.26663309311111111</v>
      </c>
      <c r="X27" s="9"/>
      <c r="Y27" s="21">
        <v>1.68442</v>
      </c>
      <c r="Z27" s="21">
        <v>14.5967</v>
      </c>
      <c r="AA27" s="21">
        <v>-7.8460700000000001E-3</v>
      </c>
      <c r="AB27" s="21">
        <v>17</v>
      </c>
      <c r="AC27" s="21">
        <v>1.6842699999999999</v>
      </c>
      <c r="AD27">
        <f t="shared" si="4"/>
        <v>9.6865061728395059</v>
      </c>
      <c r="AE27">
        <f t="shared" si="5"/>
        <v>16.316144727654322</v>
      </c>
      <c r="AF27" s="9"/>
      <c r="AG27" s="21">
        <v>-1.43433E-2</v>
      </c>
      <c r="AH27" s="21">
        <v>18.355499999999999</v>
      </c>
      <c r="AI27" s="21">
        <v>-1.50452E-2</v>
      </c>
      <c r="AJ27" s="21">
        <v>17</v>
      </c>
      <c r="AK27" s="21">
        <v>-1.46179E-2</v>
      </c>
      <c r="AL27">
        <f t="shared" si="6"/>
        <v>18.574320987654321</v>
      </c>
      <c r="AM27">
        <f t="shared" si="7"/>
        <v>-0.26641705822222222</v>
      </c>
      <c r="AP27" s="9"/>
      <c r="AQ27" s="21">
        <v>1.68442</v>
      </c>
      <c r="AR27" s="21">
        <v>23.797999999999998</v>
      </c>
      <c r="AS27" s="21">
        <v>-7.9132100000000004E-3</v>
      </c>
      <c r="AT27" s="21">
        <v>17</v>
      </c>
      <c r="AU27" s="21">
        <v>1.6830400000000001</v>
      </c>
      <c r="AV27">
        <f t="shared" si="8"/>
        <v>9.769395061728396</v>
      </c>
      <c r="AW27">
        <f t="shared" si="9"/>
        <v>16.455764429876545</v>
      </c>
      <c r="AX27" s="9"/>
      <c r="AY27" s="21">
        <v>-1.43433E-2</v>
      </c>
      <c r="AZ27" s="21">
        <v>27.556699999999999</v>
      </c>
      <c r="BA27" s="21">
        <v>-1.5115399999999999E-2</v>
      </c>
      <c r="BB27" s="21">
        <v>17</v>
      </c>
      <c r="BC27" s="21">
        <v>-1.46027E-2</v>
      </c>
      <c r="BD27">
        <f t="shared" si="10"/>
        <v>18.660987654320987</v>
      </c>
      <c r="BE27">
        <f t="shared" si="11"/>
        <v>-0.26766014422222223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1.6793800000000001</v>
      </c>
      <c r="H28" s="21">
        <v>5.3806000000000003</v>
      </c>
      <c r="I28" s="21">
        <v>-8.2977299999999997E-3</v>
      </c>
      <c r="J28" s="21">
        <v>18</v>
      </c>
      <c r="K28" s="21">
        <v>1.6781600000000001</v>
      </c>
      <c r="L28">
        <f t="shared" si="0"/>
        <v>10.24411111111111</v>
      </c>
      <c r="M28">
        <f t="shared" si="1"/>
        <v>17.203755317777777</v>
      </c>
      <c r="N28" s="9"/>
      <c r="O28" s="21">
        <v>-9.3078599999999994E-3</v>
      </c>
      <c r="P28" s="21">
        <v>9.1393699999999995</v>
      </c>
      <c r="Q28" s="21">
        <v>-1.50543E-2</v>
      </c>
      <c r="R28" s="21">
        <v>18</v>
      </c>
      <c r="S28" s="21">
        <v>-9.6069299999999996E-3</v>
      </c>
      <c r="T28">
        <f t="shared" si="2"/>
        <v>18.585555555555555</v>
      </c>
      <c r="U28">
        <f t="shared" si="3"/>
        <v>-0.17299174913333332</v>
      </c>
      <c r="X28" s="9"/>
      <c r="Y28" s="21">
        <v>1.6793800000000001</v>
      </c>
      <c r="Z28" s="21">
        <v>14.6068</v>
      </c>
      <c r="AA28" s="21">
        <v>-8.1848100000000007E-3</v>
      </c>
      <c r="AB28" s="21">
        <v>18</v>
      </c>
      <c r="AC28" s="21">
        <v>1.6787700000000001</v>
      </c>
      <c r="AD28">
        <f t="shared" si="4"/>
        <v>10.104703703703704</v>
      </c>
      <c r="AE28">
        <f t="shared" si="5"/>
        <v>16.969637305925929</v>
      </c>
      <c r="AF28" s="9"/>
      <c r="AG28" s="21">
        <v>-9.3078599999999994E-3</v>
      </c>
      <c r="AH28" s="21">
        <v>18.365600000000001</v>
      </c>
      <c r="AI28" s="21">
        <v>-1.50543E-2</v>
      </c>
      <c r="AJ28" s="21">
        <v>18</v>
      </c>
      <c r="AK28" s="21">
        <v>-9.4634999999999997E-3</v>
      </c>
      <c r="AL28">
        <f t="shared" si="6"/>
        <v>18.585555555555555</v>
      </c>
      <c r="AM28">
        <f t="shared" si="7"/>
        <v>-0.17299174913333332</v>
      </c>
      <c r="AP28" s="9"/>
      <c r="AQ28" s="21">
        <v>1.6793800000000001</v>
      </c>
      <c r="AR28" s="21">
        <v>23.808</v>
      </c>
      <c r="AS28" s="21">
        <v>-8.2366899999999996E-3</v>
      </c>
      <c r="AT28" s="21">
        <v>18</v>
      </c>
      <c r="AU28" s="21">
        <v>1.6787700000000001</v>
      </c>
      <c r="AV28">
        <f t="shared" si="8"/>
        <v>10.168753086419752</v>
      </c>
      <c r="AW28">
        <f t="shared" si="9"/>
        <v>17.077200558271603</v>
      </c>
      <c r="AX28" s="9"/>
      <c r="AY28" s="21">
        <v>-9.3078599999999994E-3</v>
      </c>
      <c r="AZ28" s="21">
        <v>27.566800000000001</v>
      </c>
      <c r="BA28" s="21">
        <v>-1.51062E-2</v>
      </c>
      <c r="BB28" s="21">
        <v>18</v>
      </c>
      <c r="BC28" s="21">
        <v>-9.5672599999999993E-3</v>
      </c>
      <c r="BD28">
        <f t="shared" si="10"/>
        <v>18.649629629629626</v>
      </c>
      <c r="BE28">
        <f t="shared" si="11"/>
        <v>-0.17358814164444439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1.67435</v>
      </c>
      <c r="H29" s="21">
        <v>5.3906700000000001</v>
      </c>
      <c r="I29" s="21">
        <v>-8.5967999999999999E-3</v>
      </c>
      <c r="J29" s="21">
        <v>19</v>
      </c>
      <c r="K29" s="21">
        <v>1.6735800000000001</v>
      </c>
      <c r="L29">
        <f t="shared" si="0"/>
        <v>10.613333333333332</v>
      </c>
      <c r="M29">
        <f t="shared" si="1"/>
        <v>17.770434666666663</v>
      </c>
      <c r="N29" s="9"/>
      <c r="O29" s="21">
        <v>-4.2724599999999996E-3</v>
      </c>
      <c r="P29" s="21">
        <v>9.1494400000000002</v>
      </c>
      <c r="Q29" s="21">
        <v>-1.5069600000000001E-2</v>
      </c>
      <c r="R29" s="21">
        <v>19</v>
      </c>
      <c r="S29" s="21">
        <v>-4.5104999999999998E-3</v>
      </c>
      <c r="T29">
        <f t="shared" si="2"/>
        <v>18.604444444444443</v>
      </c>
      <c r="U29">
        <f t="shared" si="3"/>
        <v>-7.9486744711111099E-2</v>
      </c>
      <c r="X29" s="9"/>
      <c r="Y29" s="21">
        <v>1.67435</v>
      </c>
      <c r="Z29" s="21">
        <v>14.616899999999999</v>
      </c>
      <c r="AA29" s="21">
        <v>-8.4930400000000003E-3</v>
      </c>
      <c r="AB29" s="21">
        <v>19</v>
      </c>
      <c r="AC29" s="21">
        <v>1.6735800000000001</v>
      </c>
      <c r="AD29">
        <f t="shared" si="4"/>
        <v>10.485234567901234</v>
      </c>
      <c r="AE29">
        <f t="shared" si="5"/>
        <v>17.555952498765432</v>
      </c>
      <c r="AF29" s="9"/>
      <c r="AG29" s="21">
        <v>-4.2724599999999996E-3</v>
      </c>
      <c r="AH29" s="21">
        <v>18.375599999999999</v>
      </c>
      <c r="AI29" s="21">
        <v>-1.5063500000000001E-2</v>
      </c>
      <c r="AJ29" s="21">
        <v>19</v>
      </c>
      <c r="AK29" s="21">
        <v>-4.5135499999999999E-3</v>
      </c>
      <c r="AL29">
        <f t="shared" si="6"/>
        <v>18.596913580246913</v>
      </c>
      <c r="AM29">
        <f t="shared" si="7"/>
        <v>-7.9454569395061722E-2</v>
      </c>
      <c r="AP29" s="9"/>
      <c r="AQ29" s="21">
        <v>1.67435</v>
      </c>
      <c r="AR29" s="21">
        <v>23.818100000000001</v>
      </c>
      <c r="AS29" s="21">
        <v>-8.54187E-3</v>
      </c>
      <c r="AT29" s="21">
        <v>19</v>
      </c>
      <c r="AU29" s="21">
        <v>1.6738900000000001</v>
      </c>
      <c r="AV29">
        <f t="shared" si="8"/>
        <v>10.545518518518518</v>
      </c>
      <c r="AW29">
        <f t="shared" si="9"/>
        <v>17.656888931481483</v>
      </c>
      <c r="AX29" s="9"/>
      <c r="AY29" s="21">
        <v>-4.2724599999999996E-3</v>
      </c>
      <c r="AZ29" s="21">
        <v>27.576899999999998</v>
      </c>
      <c r="BA29" s="21">
        <v>-1.5090900000000001E-2</v>
      </c>
      <c r="BB29" s="21">
        <v>19</v>
      </c>
      <c r="BC29" s="21">
        <v>-4.5135499999999999E-3</v>
      </c>
      <c r="BD29">
        <f t="shared" si="10"/>
        <v>18.630740740740741</v>
      </c>
      <c r="BE29">
        <f t="shared" si="11"/>
        <v>-7.9599094585185173E-2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1.6693100000000001</v>
      </c>
      <c r="H30" s="21">
        <v>5.4007399999999999</v>
      </c>
      <c r="I30" s="21">
        <v>-8.8745100000000004E-3</v>
      </c>
      <c r="J30" s="21">
        <v>20</v>
      </c>
      <c r="K30" s="21">
        <v>1.6684000000000001</v>
      </c>
      <c r="L30">
        <f t="shared" si="0"/>
        <v>10.956185185185186</v>
      </c>
      <c r="M30">
        <f t="shared" si="1"/>
        <v>18.289269491481484</v>
      </c>
      <c r="N30" s="9"/>
      <c r="O30" s="21">
        <v>7.6293900000000002E-4</v>
      </c>
      <c r="P30" s="21">
        <v>9.1595099999999992</v>
      </c>
      <c r="Q30" s="21">
        <v>-1.50726E-2</v>
      </c>
      <c r="R30" s="21">
        <v>20</v>
      </c>
      <c r="S30" s="21">
        <v>5.2795399999999997E-4</v>
      </c>
      <c r="T30">
        <f t="shared" si="2"/>
        <v>18.60814814814815</v>
      </c>
      <c r="U30">
        <f t="shared" si="3"/>
        <v>1.4196881940000001E-2</v>
      </c>
      <c r="X30" s="9"/>
      <c r="Y30" s="21">
        <v>1.6693100000000001</v>
      </c>
      <c r="Z30" s="21">
        <v>14.627000000000001</v>
      </c>
      <c r="AA30" s="21">
        <v>-8.7738E-3</v>
      </c>
      <c r="AB30" s="21">
        <v>20</v>
      </c>
      <c r="AC30" s="21">
        <v>1.6680900000000001</v>
      </c>
      <c r="AD30">
        <f t="shared" si="4"/>
        <v>10.831851851851852</v>
      </c>
      <c r="AE30">
        <f t="shared" si="5"/>
        <v>18.081718614814815</v>
      </c>
      <c r="AF30" s="9"/>
      <c r="AG30" s="21">
        <v>7.6293900000000002E-4</v>
      </c>
      <c r="AH30" s="21">
        <v>18.3857</v>
      </c>
      <c r="AI30" s="21">
        <v>-1.50665E-2</v>
      </c>
      <c r="AJ30" s="21">
        <v>20</v>
      </c>
      <c r="AK30" s="21">
        <v>5.7678199999999997E-4</v>
      </c>
      <c r="AL30">
        <f t="shared" si="6"/>
        <v>18.600617283950616</v>
      </c>
      <c r="AM30">
        <f t="shared" si="7"/>
        <v>1.4191136349999999E-2</v>
      </c>
      <c r="AP30" s="9"/>
      <c r="AQ30" s="21">
        <v>1.6693100000000001</v>
      </c>
      <c r="AR30" s="21">
        <v>23.828199999999999</v>
      </c>
      <c r="AS30" s="21">
        <v>-8.8195800000000005E-3</v>
      </c>
      <c r="AT30" s="21">
        <v>20</v>
      </c>
      <c r="AU30" s="21">
        <v>1.6687000000000001</v>
      </c>
      <c r="AV30">
        <f t="shared" si="8"/>
        <v>10.888370370370369</v>
      </c>
      <c r="AW30">
        <f t="shared" si="9"/>
        <v>18.176065542962963</v>
      </c>
      <c r="AX30" s="9"/>
      <c r="AY30" s="21">
        <v>7.6293900000000002E-4</v>
      </c>
      <c r="AZ30" s="21">
        <v>27.5869</v>
      </c>
      <c r="BA30" s="21">
        <v>-1.50787E-2</v>
      </c>
      <c r="BB30" s="21">
        <v>20</v>
      </c>
      <c r="BC30" s="21">
        <v>5.6762700000000002E-4</v>
      </c>
      <c r="BD30">
        <f t="shared" si="10"/>
        <v>18.61567901234568</v>
      </c>
      <c r="BE30">
        <f t="shared" si="11"/>
        <v>1.4202627530000001E-2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1.66428</v>
      </c>
      <c r="H31" s="21">
        <v>5.4108099999999997</v>
      </c>
      <c r="I31" s="21">
        <v>-9.1430699999999997E-3</v>
      </c>
      <c r="J31" s="21">
        <v>21</v>
      </c>
      <c r="K31" s="21">
        <v>1.6638200000000001</v>
      </c>
      <c r="L31">
        <f t="shared" si="0"/>
        <v>11.287740740740739</v>
      </c>
      <c r="M31">
        <f t="shared" si="1"/>
        <v>18.785961159999996</v>
      </c>
      <c r="N31" s="9"/>
      <c r="O31" s="21">
        <v>5.7983399999999999E-3</v>
      </c>
      <c r="P31" s="21">
        <v>9.1695799999999998</v>
      </c>
      <c r="Q31" s="21">
        <v>-1.50787E-2</v>
      </c>
      <c r="R31" s="21">
        <v>21</v>
      </c>
      <c r="S31" s="21">
        <v>5.5786100000000003E-3</v>
      </c>
      <c r="T31">
        <f t="shared" si="2"/>
        <v>18.61567901234568</v>
      </c>
      <c r="U31">
        <f t="shared" si="3"/>
        <v>0.10794003624444445</v>
      </c>
      <c r="X31" s="9"/>
      <c r="Y31" s="21">
        <v>1.66428</v>
      </c>
      <c r="Z31" s="21">
        <v>14.637</v>
      </c>
      <c r="AA31" s="21">
        <v>-9.0301500000000007E-3</v>
      </c>
      <c r="AB31" s="21">
        <v>21</v>
      </c>
      <c r="AC31" s="21">
        <v>1.66351</v>
      </c>
      <c r="AD31">
        <f t="shared" si="4"/>
        <v>11.148333333333333</v>
      </c>
      <c r="AE31">
        <f t="shared" si="5"/>
        <v>18.553948200000001</v>
      </c>
      <c r="AF31" s="9"/>
      <c r="AG31" s="21">
        <v>5.7983399999999999E-3</v>
      </c>
      <c r="AH31" s="21">
        <v>18.395800000000001</v>
      </c>
      <c r="AI31" s="21">
        <v>-1.5069600000000001E-2</v>
      </c>
      <c r="AJ31" s="21">
        <v>21</v>
      </c>
      <c r="AK31" s="21">
        <v>5.6091300000000004E-3</v>
      </c>
      <c r="AL31">
        <f t="shared" si="6"/>
        <v>18.604444444444443</v>
      </c>
      <c r="AM31">
        <f t="shared" si="7"/>
        <v>0.10787489439999999</v>
      </c>
      <c r="AP31" s="9"/>
      <c r="AQ31" s="21">
        <v>1.66428</v>
      </c>
      <c r="AR31" s="21">
        <v>23.8383</v>
      </c>
      <c r="AS31" s="21">
        <v>-9.0789800000000004E-3</v>
      </c>
      <c r="AT31" s="21">
        <v>21</v>
      </c>
      <c r="AU31" s="21">
        <v>1.66351</v>
      </c>
      <c r="AV31">
        <f t="shared" si="8"/>
        <v>11.208617283950616</v>
      </c>
      <c r="AW31">
        <f t="shared" si="9"/>
        <v>18.654277573333331</v>
      </c>
      <c r="AX31" s="9"/>
      <c r="AY31" s="21">
        <v>5.7983399999999999E-3</v>
      </c>
      <c r="AZ31" s="21">
        <v>27.597000000000001</v>
      </c>
      <c r="BA31" s="21">
        <v>-1.5069600000000001E-2</v>
      </c>
      <c r="BB31" s="21">
        <v>21</v>
      </c>
      <c r="BC31" s="21">
        <v>5.5633499999999999E-3</v>
      </c>
      <c r="BD31">
        <f t="shared" si="10"/>
        <v>18.604444444444443</v>
      </c>
      <c r="BE31">
        <f t="shared" si="11"/>
        <v>0.10787489439999999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1.65924</v>
      </c>
      <c r="H32" s="21">
        <v>5.4208800000000004</v>
      </c>
      <c r="I32" s="21">
        <v>-9.38721E-3</v>
      </c>
      <c r="J32" s="21">
        <v>22</v>
      </c>
      <c r="K32" s="21">
        <v>1.6583300000000001</v>
      </c>
      <c r="L32">
        <f t="shared" si="0"/>
        <v>11.589148148148148</v>
      </c>
      <c r="M32">
        <f t="shared" si="1"/>
        <v>19.229178173333334</v>
      </c>
      <c r="N32" s="9"/>
      <c r="O32" s="21">
        <v>1.08337E-2</v>
      </c>
      <c r="P32" s="21">
        <v>9.1796500000000005</v>
      </c>
      <c r="Q32" s="21">
        <v>-1.50726E-2</v>
      </c>
      <c r="R32" s="21">
        <v>22</v>
      </c>
      <c r="S32" s="21">
        <v>1.06506E-2</v>
      </c>
      <c r="T32">
        <f t="shared" si="2"/>
        <v>18.60814814814815</v>
      </c>
      <c r="U32">
        <f t="shared" si="3"/>
        <v>0.20159509459259262</v>
      </c>
      <c r="X32" s="9"/>
      <c r="Y32" s="21">
        <v>1.65924</v>
      </c>
      <c r="Z32" s="21">
        <v>14.6471</v>
      </c>
      <c r="AA32" s="21">
        <v>-9.2620800000000007E-3</v>
      </c>
      <c r="AB32" s="21">
        <v>22</v>
      </c>
      <c r="AC32" s="21">
        <v>1.6583300000000001</v>
      </c>
      <c r="AD32">
        <f t="shared" si="4"/>
        <v>11.434666666666667</v>
      </c>
      <c r="AE32">
        <f t="shared" si="5"/>
        <v>18.972856320000002</v>
      </c>
      <c r="AF32" s="9"/>
      <c r="AG32" s="21">
        <v>1.08337E-2</v>
      </c>
      <c r="AH32" s="21">
        <v>18.405899999999999</v>
      </c>
      <c r="AI32" s="21">
        <v>-1.5081799999999999E-2</v>
      </c>
      <c r="AJ32" s="21">
        <v>22</v>
      </c>
      <c r="AK32" s="21">
        <v>1.05865E-2</v>
      </c>
      <c r="AL32">
        <f t="shared" si="6"/>
        <v>18.619506172839504</v>
      </c>
      <c r="AM32">
        <f t="shared" si="7"/>
        <v>0.20171814402469132</v>
      </c>
      <c r="AP32" s="9"/>
      <c r="AQ32" s="21">
        <v>1.65924</v>
      </c>
      <c r="AR32" s="21">
        <v>23.848299999999998</v>
      </c>
      <c r="AS32" s="21">
        <v>-9.3109100000000004E-3</v>
      </c>
      <c r="AT32" s="21">
        <v>22</v>
      </c>
      <c r="AU32" s="21">
        <v>1.6589400000000001</v>
      </c>
      <c r="AV32">
        <f t="shared" si="8"/>
        <v>11.49495061728395</v>
      </c>
      <c r="AW32">
        <f t="shared" si="9"/>
        <v>19.072881862222221</v>
      </c>
      <c r="AX32" s="9"/>
      <c r="AY32" s="21">
        <v>1.08337E-2</v>
      </c>
      <c r="AZ32" s="21">
        <v>27.607099999999999</v>
      </c>
      <c r="BA32" s="21">
        <v>-1.50604E-2</v>
      </c>
      <c r="BB32" s="21">
        <v>22</v>
      </c>
      <c r="BC32" s="21">
        <v>1.0623199999999999E-2</v>
      </c>
      <c r="BD32">
        <f t="shared" si="10"/>
        <v>18.593086419753085</v>
      </c>
      <c r="BE32">
        <f t="shared" si="11"/>
        <v>0.201431920345679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1.65421</v>
      </c>
      <c r="H33" s="21">
        <v>5.4309599999999998</v>
      </c>
      <c r="I33" s="21">
        <v>-9.6099900000000005E-3</v>
      </c>
      <c r="J33" s="21">
        <v>23</v>
      </c>
      <c r="K33" s="21">
        <v>1.6531400000000001</v>
      </c>
      <c r="L33">
        <f t="shared" si="0"/>
        <v>11.864185185185185</v>
      </c>
      <c r="M33">
        <f t="shared" si="1"/>
        <v>19.625853775185185</v>
      </c>
      <c r="N33" s="9"/>
      <c r="O33" s="21">
        <v>1.5869100000000001E-2</v>
      </c>
      <c r="P33" s="21">
        <v>9.1897199999999994</v>
      </c>
      <c r="Q33" s="21">
        <v>-1.50726E-2</v>
      </c>
      <c r="R33" s="21">
        <v>23</v>
      </c>
      <c r="S33" s="21">
        <v>1.57074E-2</v>
      </c>
      <c r="T33">
        <f t="shared" si="2"/>
        <v>18.60814814814815</v>
      </c>
      <c r="U33">
        <f t="shared" si="3"/>
        <v>0.2952945637777778</v>
      </c>
      <c r="X33" s="9"/>
      <c r="Y33" s="21">
        <v>1.65421</v>
      </c>
      <c r="Z33" s="21">
        <v>14.6572</v>
      </c>
      <c r="AA33" s="21">
        <v>-9.4787599999999993E-3</v>
      </c>
      <c r="AB33" s="21">
        <v>23</v>
      </c>
      <c r="AC33" s="21">
        <v>1.6531400000000001</v>
      </c>
      <c r="AD33">
        <f t="shared" si="4"/>
        <v>11.702172839506172</v>
      </c>
      <c r="AE33">
        <f t="shared" si="5"/>
        <v>19.357851332839505</v>
      </c>
      <c r="AF33" s="9"/>
      <c r="AG33" s="21">
        <v>1.5869100000000001E-2</v>
      </c>
      <c r="AH33" s="21">
        <v>18.415900000000001</v>
      </c>
      <c r="AI33" s="21">
        <v>-1.5084800000000001E-2</v>
      </c>
      <c r="AJ33" s="21">
        <v>23</v>
      </c>
      <c r="AK33" s="21">
        <v>1.56372E-2</v>
      </c>
      <c r="AL33">
        <f t="shared" si="6"/>
        <v>18.623209876543207</v>
      </c>
      <c r="AM33">
        <f t="shared" si="7"/>
        <v>0.2955335798518518</v>
      </c>
      <c r="AP33" s="9"/>
      <c r="AQ33" s="21">
        <v>1.65421</v>
      </c>
      <c r="AR33" s="21">
        <v>23.8584</v>
      </c>
      <c r="AS33" s="21">
        <v>-9.5275900000000007E-3</v>
      </c>
      <c r="AT33" s="21">
        <v>23</v>
      </c>
      <c r="AU33" s="21">
        <v>1.6531400000000001</v>
      </c>
      <c r="AV33">
        <f t="shared" si="8"/>
        <v>11.762456790123457</v>
      </c>
      <c r="AW33">
        <f t="shared" si="9"/>
        <v>19.457573646790124</v>
      </c>
      <c r="AX33" s="9"/>
      <c r="AY33" s="21">
        <v>1.5869100000000001E-2</v>
      </c>
      <c r="AZ33" s="21">
        <v>27.6172</v>
      </c>
      <c r="BA33" s="21">
        <v>-1.50604E-2</v>
      </c>
      <c r="BB33" s="21">
        <v>23</v>
      </c>
      <c r="BC33" s="21">
        <v>1.56677E-2</v>
      </c>
      <c r="BD33">
        <f t="shared" si="10"/>
        <v>18.593086419753085</v>
      </c>
      <c r="BE33">
        <f t="shared" si="11"/>
        <v>0.29505554770370368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1.64917</v>
      </c>
      <c r="H34" s="21">
        <v>5.4410299999999996</v>
      </c>
      <c r="I34" s="21">
        <v>-9.8083500000000004E-3</v>
      </c>
      <c r="J34" s="21">
        <v>24</v>
      </c>
      <c r="K34" s="21">
        <v>1.64856</v>
      </c>
      <c r="L34">
        <f t="shared" si="0"/>
        <v>12.109074074074075</v>
      </c>
      <c r="M34">
        <f t="shared" si="1"/>
        <v>19.96992169074074</v>
      </c>
      <c r="N34" s="9"/>
      <c r="O34" s="21">
        <v>2.0904499999999999E-2</v>
      </c>
      <c r="P34" s="21">
        <v>9.1997900000000001</v>
      </c>
      <c r="Q34" s="21">
        <v>-1.5063500000000001E-2</v>
      </c>
      <c r="R34" s="21">
        <v>24</v>
      </c>
      <c r="S34" s="21">
        <v>2.0748900000000001E-2</v>
      </c>
      <c r="T34">
        <f t="shared" si="2"/>
        <v>18.596913580246913</v>
      </c>
      <c r="U34">
        <f t="shared" si="3"/>
        <v>0.38875917993827158</v>
      </c>
      <c r="X34" s="9"/>
      <c r="Y34" s="21">
        <v>1.64917</v>
      </c>
      <c r="Z34" s="21">
        <v>14.667199999999999</v>
      </c>
      <c r="AA34" s="21">
        <v>-9.6893299999999995E-3</v>
      </c>
      <c r="AB34" s="21">
        <v>24</v>
      </c>
      <c r="AC34" s="21">
        <v>1.64886</v>
      </c>
      <c r="AD34">
        <f t="shared" si="4"/>
        <v>11.962135802469135</v>
      </c>
      <c r="AE34">
        <f t="shared" si="5"/>
        <v>19.727595501358024</v>
      </c>
      <c r="AF34" s="9"/>
      <c r="AG34" s="21">
        <v>2.0904499999999999E-2</v>
      </c>
      <c r="AH34" s="21">
        <v>18.425999999999998</v>
      </c>
      <c r="AI34" s="21">
        <v>-1.50879E-2</v>
      </c>
      <c r="AJ34" s="21">
        <v>24</v>
      </c>
      <c r="AK34" s="21">
        <v>2.0758100000000002E-2</v>
      </c>
      <c r="AL34">
        <f t="shared" si="6"/>
        <v>18.627037037037034</v>
      </c>
      <c r="AM34">
        <f t="shared" si="7"/>
        <v>0.38938889574074065</v>
      </c>
      <c r="AP34" s="9"/>
      <c r="AQ34" s="21">
        <v>1.64917</v>
      </c>
      <c r="AR34" s="21">
        <v>23.868500000000001</v>
      </c>
      <c r="AS34" s="21">
        <v>-9.7473100000000003E-3</v>
      </c>
      <c r="AT34" s="21">
        <v>24</v>
      </c>
      <c r="AU34" s="21">
        <v>1.64825</v>
      </c>
      <c r="AV34">
        <f t="shared" si="8"/>
        <v>12.033716049382717</v>
      </c>
      <c r="AW34">
        <f t="shared" si="9"/>
        <v>19.845643497160495</v>
      </c>
      <c r="AX34" s="9"/>
      <c r="AY34" s="21">
        <v>2.0904499999999999E-2</v>
      </c>
      <c r="AZ34" s="21">
        <v>27.627199999999998</v>
      </c>
      <c r="BA34" s="21">
        <v>-1.5075699999999999E-2</v>
      </c>
      <c r="BB34" s="21">
        <v>24</v>
      </c>
      <c r="BC34" s="21">
        <v>2.0785499999999998E-2</v>
      </c>
      <c r="BD34">
        <f t="shared" si="10"/>
        <v>18.611975308641973</v>
      </c>
      <c r="BE34">
        <f t="shared" si="11"/>
        <v>0.38907403783950611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1.6441300000000001</v>
      </c>
      <c r="H35" s="21">
        <v>5.4511000000000003</v>
      </c>
      <c r="I35" s="21">
        <v>-9.9853500000000005E-3</v>
      </c>
      <c r="J35" s="21">
        <v>25</v>
      </c>
      <c r="K35" s="21">
        <v>1.64368</v>
      </c>
      <c r="L35">
        <f t="shared" si="0"/>
        <v>12.327592592592593</v>
      </c>
      <c r="M35">
        <f t="shared" si="1"/>
        <v>20.268164809259261</v>
      </c>
      <c r="N35" s="9"/>
      <c r="O35" s="21">
        <v>2.5939899999999998E-2</v>
      </c>
      <c r="P35" s="21">
        <v>9.2098600000000008</v>
      </c>
      <c r="Q35" s="21">
        <v>-1.50513E-2</v>
      </c>
      <c r="R35" s="21">
        <v>25</v>
      </c>
      <c r="S35" s="21">
        <v>2.5787399999999999E-2</v>
      </c>
      <c r="T35">
        <f t="shared" si="2"/>
        <v>18.581851851851848</v>
      </c>
      <c r="U35">
        <f t="shared" si="3"/>
        <v>0.48201137885185175</v>
      </c>
      <c r="X35" s="9"/>
      <c r="Y35" s="21">
        <v>1.6441300000000001</v>
      </c>
      <c r="Z35" s="21">
        <v>14.677300000000001</v>
      </c>
      <c r="AA35" s="21">
        <v>-9.8815900000000009E-3</v>
      </c>
      <c r="AB35" s="21">
        <v>25</v>
      </c>
      <c r="AC35" s="21">
        <v>1.64337</v>
      </c>
      <c r="AD35">
        <f t="shared" si="4"/>
        <v>12.199493827160493</v>
      </c>
      <c r="AE35">
        <f t="shared" si="5"/>
        <v>20.057553786049382</v>
      </c>
      <c r="AF35" s="9"/>
      <c r="AG35" s="21">
        <v>2.5939899999999998E-2</v>
      </c>
      <c r="AH35" s="21">
        <v>18.4361</v>
      </c>
      <c r="AI35" s="21">
        <v>-1.5081799999999999E-2</v>
      </c>
      <c r="AJ35" s="21">
        <v>25</v>
      </c>
      <c r="AK35" s="21">
        <v>2.5775099999999999E-2</v>
      </c>
      <c r="AL35">
        <f t="shared" si="6"/>
        <v>18.619506172839504</v>
      </c>
      <c r="AM35">
        <f t="shared" si="7"/>
        <v>0.48298812817283943</v>
      </c>
      <c r="AP35" s="9"/>
      <c r="AQ35" s="21">
        <v>1.6441300000000001</v>
      </c>
      <c r="AR35" s="21">
        <v>23.878499999999999</v>
      </c>
      <c r="AS35" s="21">
        <v>-9.9365200000000008E-3</v>
      </c>
      <c r="AT35" s="21">
        <v>25</v>
      </c>
      <c r="AU35" s="21">
        <v>1.64276</v>
      </c>
      <c r="AV35">
        <f t="shared" si="8"/>
        <v>12.267308641975308</v>
      </c>
      <c r="AW35">
        <f t="shared" si="9"/>
        <v>20.169050157530865</v>
      </c>
      <c r="AX35" s="9"/>
      <c r="AY35" s="21">
        <v>2.5939899999999998E-2</v>
      </c>
      <c r="AZ35" s="21">
        <v>27.6373</v>
      </c>
      <c r="BA35" s="21">
        <v>-1.5081799999999999E-2</v>
      </c>
      <c r="BB35" s="21">
        <v>25</v>
      </c>
      <c r="BC35" s="21">
        <v>2.5778200000000001E-2</v>
      </c>
      <c r="BD35">
        <f t="shared" si="10"/>
        <v>18.619506172839504</v>
      </c>
      <c r="BE35">
        <f t="shared" si="11"/>
        <v>0.48298812817283943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1.6391</v>
      </c>
      <c r="H36" s="21">
        <v>5.4611700000000001</v>
      </c>
      <c r="I36" s="21">
        <v>-1.0153199999999999E-2</v>
      </c>
      <c r="J36" s="21">
        <v>26</v>
      </c>
      <c r="K36" s="21">
        <v>1.63818</v>
      </c>
      <c r="L36">
        <f t="shared" si="0"/>
        <v>12.534814814814814</v>
      </c>
      <c r="M36">
        <f t="shared" si="1"/>
        <v>20.545814962962961</v>
      </c>
      <c r="N36" s="9"/>
      <c r="O36" s="21">
        <v>3.0975300000000001E-2</v>
      </c>
      <c r="P36" s="21">
        <v>9.2199399999999994</v>
      </c>
      <c r="Q36" s="21">
        <v>-1.50543E-2</v>
      </c>
      <c r="R36" s="21">
        <v>26</v>
      </c>
      <c r="S36" s="21">
        <v>3.0828899999999999E-2</v>
      </c>
      <c r="T36">
        <f t="shared" si="2"/>
        <v>18.585555555555555</v>
      </c>
      <c r="U36">
        <f t="shared" si="3"/>
        <v>0.57569315899999995</v>
      </c>
      <c r="X36" s="9"/>
      <c r="Y36" s="21">
        <v>1.6391</v>
      </c>
      <c r="Z36" s="21">
        <v>14.6874</v>
      </c>
      <c r="AA36" s="21">
        <v>-1.0058599999999999E-2</v>
      </c>
      <c r="AB36" s="21">
        <v>26</v>
      </c>
      <c r="AC36" s="21">
        <v>1.63879</v>
      </c>
      <c r="AD36">
        <f t="shared" si="4"/>
        <v>12.418024691358022</v>
      </c>
      <c r="AE36">
        <f t="shared" si="5"/>
        <v>20.354384271604935</v>
      </c>
      <c r="AF36" s="9"/>
      <c r="AG36" s="21">
        <v>3.0975300000000001E-2</v>
      </c>
      <c r="AH36" s="21">
        <v>18.446100000000001</v>
      </c>
      <c r="AI36" s="21">
        <v>-1.5075699999999999E-2</v>
      </c>
      <c r="AJ36" s="21">
        <v>26</v>
      </c>
      <c r="AK36" s="21">
        <v>3.0835000000000001E-2</v>
      </c>
      <c r="AL36">
        <f t="shared" si="6"/>
        <v>18.611975308641973</v>
      </c>
      <c r="AM36">
        <f t="shared" si="7"/>
        <v>0.57651151877777773</v>
      </c>
      <c r="AP36" s="9"/>
      <c r="AQ36" s="21">
        <v>1.6391</v>
      </c>
      <c r="AR36" s="21">
        <v>23.8886</v>
      </c>
      <c r="AS36" s="21">
        <v>-1.0119599999999999E-2</v>
      </c>
      <c r="AT36" s="21">
        <v>26</v>
      </c>
      <c r="AU36" s="21">
        <v>1.63849</v>
      </c>
      <c r="AV36">
        <f t="shared" si="8"/>
        <v>12.493333333333332</v>
      </c>
      <c r="AW36">
        <f t="shared" si="9"/>
        <v>20.477822666666665</v>
      </c>
      <c r="AX36" s="9"/>
      <c r="AY36" s="21">
        <v>3.0975300000000001E-2</v>
      </c>
      <c r="AZ36" s="21">
        <v>27.647400000000001</v>
      </c>
      <c r="BA36" s="21">
        <v>-1.5075699999999999E-2</v>
      </c>
      <c r="BB36" s="21">
        <v>26</v>
      </c>
      <c r="BC36" s="21">
        <v>3.0804399999999999E-2</v>
      </c>
      <c r="BD36">
        <f t="shared" si="10"/>
        <v>18.611975308641973</v>
      </c>
      <c r="BE36">
        <f t="shared" si="11"/>
        <v>0.57651151877777773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1.6340600000000001</v>
      </c>
      <c r="H37" s="21">
        <v>5.4712399999999999</v>
      </c>
      <c r="I37" s="21">
        <v>-1.03088E-2</v>
      </c>
      <c r="J37" s="21">
        <v>27</v>
      </c>
      <c r="K37" s="21">
        <v>1.63361</v>
      </c>
      <c r="L37">
        <f t="shared" si="0"/>
        <v>12.726913580246912</v>
      </c>
      <c r="M37">
        <f t="shared" si="1"/>
        <v>20.79654040493827</v>
      </c>
      <c r="N37" s="9"/>
      <c r="O37" s="21">
        <v>3.60107E-2</v>
      </c>
      <c r="P37" s="21">
        <v>9.23001</v>
      </c>
      <c r="Q37" s="21">
        <v>-1.5048199999999999E-2</v>
      </c>
      <c r="R37" s="21">
        <v>27</v>
      </c>
      <c r="S37" s="21">
        <v>3.5882600000000001E-2</v>
      </c>
      <c r="T37">
        <f t="shared" si="2"/>
        <v>18.578024691358021</v>
      </c>
      <c r="U37">
        <f t="shared" si="3"/>
        <v>0.66900767375308623</v>
      </c>
      <c r="X37" s="9"/>
      <c r="Y37" s="21">
        <v>1.6340600000000001</v>
      </c>
      <c r="Z37" s="21">
        <v>14.6975</v>
      </c>
      <c r="AA37" s="21">
        <v>-1.0229500000000001E-2</v>
      </c>
      <c r="AB37" s="21">
        <v>27</v>
      </c>
      <c r="AC37" s="21">
        <v>1.6333</v>
      </c>
      <c r="AD37">
        <f t="shared" si="4"/>
        <v>12.629012345679012</v>
      </c>
      <c r="AE37">
        <f t="shared" si="5"/>
        <v>20.636563913580247</v>
      </c>
      <c r="AF37" s="9"/>
      <c r="AG37" s="21">
        <v>3.60107E-2</v>
      </c>
      <c r="AH37" s="21">
        <v>18.456199999999999</v>
      </c>
      <c r="AI37" s="21">
        <v>-1.50665E-2</v>
      </c>
      <c r="AJ37" s="21">
        <v>27</v>
      </c>
      <c r="AK37" s="21">
        <v>3.5852099999999998E-2</v>
      </c>
      <c r="AL37">
        <f t="shared" si="6"/>
        <v>18.600617283950616</v>
      </c>
      <c r="AM37">
        <f t="shared" si="7"/>
        <v>0.66982124882716043</v>
      </c>
      <c r="AP37" s="9"/>
      <c r="AQ37" s="21">
        <v>1.6340600000000001</v>
      </c>
      <c r="AR37" s="21">
        <v>23.898700000000002</v>
      </c>
      <c r="AS37" s="21">
        <v>-1.0290499999999999E-2</v>
      </c>
      <c r="AT37" s="21">
        <v>27</v>
      </c>
      <c r="AU37" s="21">
        <v>1.63361</v>
      </c>
      <c r="AV37">
        <f t="shared" si="8"/>
        <v>12.70432098765432</v>
      </c>
      <c r="AW37">
        <f t="shared" si="9"/>
        <v>20.759622753086418</v>
      </c>
      <c r="AX37" s="9"/>
      <c r="AY37" s="21">
        <v>3.60107E-2</v>
      </c>
      <c r="AZ37" s="21">
        <v>27.657399999999999</v>
      </c>
      <c r="BA37" s="21">
        <v>-1.50787E-2</v>
      </c>
      <c r="BB37" s="21">
        <v>27</v>
      </c>
      <c r="BC37" s="21">
        <v>3.5891699999999999E-2</v>
      </c>
      <c r="BD37">
        <f t="shared" si="10"/>
        <v>18.61567901234568</v>
      </c>
      <c r="BE37">
        <f t="shared" si="11"/>
        <v>0.6703636322098766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1.62903</v>
      </c>
      <c r="H38" s="21">
        <v>5.4813099999999997</v>
      </c>
      <c r="I38" s="21">
        <v>-1.0461399999999999E-2</v>
      </c>
      <c r="J38" s="21">
        <v>28</v>
      </c>
      <c r="K38" s="21">
        <v>1.62842</v>
      </c>
      <c r="L38">
        <f t="shared" si="0"/>
        <v>12.915308641975306</v>
      </c>
      <c r="M38">
        <f t="shared" si="1"/>
        <v>21.039425237037033</v>
      </c>
      <c r="N38" s="9"/>
      <c r="O38" s="21">
        <v>4.1046100000000002E-2</v>
      </c>
      <c r="P38" s="21">
        <v>9.2400800000000007</v>
      </c>
      <c r="Q38" s="21">
        <v>-1.50391E-2</v>
      </c>
      <c r="R38" s="21">
        <v>28</v>
      </c>
      <c r="S38" s="21">
        <v>4.0948499999999999E-2</v>
      </c>
      <c r="T38">
        <f t="shared" si="2"/>
        <v>18.566790123456791</v>
      </c>
      <c r="U38">
        <f t="shared" si="3"/>
        <v>0.76209432408641986</v>
      </c>
      <c r="X38" s="9"/>
      <c r="Y38" s="21">
        <v>1.62903</v>
      </c>
      <c r="Z38" s="21">
        <v>14.7075</v>
      </c>
      <c r="AA38" s="21">
        <v>-1.03973E-2</v>
      </c>
      <c r="AB38" s="21">
        <v>28</v>
      </c>
      <c r="AC38" s="21">
        <v>1.62781</v>
      </c>
      <c r="AD38">
        <f t="shared" si="4"/>
        <v>12.836172839506172</v>
      </c>
      <c r="AE38">
        <f t="shared" si="5"/>
        <v>20.910510640740739</v>
      </c>
      <c r="AF38" s="9"/>
      <c r="AG38" s="21">
        <v>4.1046100000000002E-2</v>
      </c>
      <c r="AH38" s="21">
        <v>18.4663</v>
      </c>
      <c r="AI38" s="21">
        <v>-1.50574E-2</v>
      </c>
      <c r="AJ38" s="21">
        <v>28</v>
      </c>
      <c r="AK38" s="21">
        <v>4.0942399999999997E-2</v>
      </c>
      <c r="AL38">
        <f t="shared" si="6"/>
        <v>18.589382716049382</v>
      </c>
      <c r="AM38">
        <f t="shared" si="7"/>
        <v>0.76302166190123455</v>
      </c>
      <c r="AP38" s="9"/>
      <c r="AQ38" s="21">
        <v>1.62903</v>
      </c>
      <c r="AR38" s="21">
        <v>23.908799999999999</v>
      </c>
      <c r="AS38" s="21">
        <v>-1.0446199999999999E-2</v>
      </c>
      <c r="AT38" s="21">
        <v>28</v>
      </c>
      <c r="AU38" s="21">
        <v>1.6281099999999999</v>
      </c>
      <c r="AV38">
        <f t="shared" si="8"/>
        <v>12.896543209876542</v>
      </c>
      <c r="AW38">
        <f t="shared" si="9"/>
        <v>21.008855785185183</v>
      </c>
      <c r="AX38" s="9"/>
      <c r="AY38" s="21">
        <v>4.1046100000000002E-2</v>
      </c>
      <c r="AZ38" s="21">
        <v>27.6675</v>
      </c>
      <c r="BA38" s="21">
        <v>-1.50787E-2</v>
      </c>
      <c r="BB38" s="21">
        <v>28</v>
      </c>
      <c r="BC38" s="21">
        <v>4.1079699999999997E-2</v>
      </c>
      <c r="BD38">
        <f t="shared" si="10"/>
        <v>18.61567901234568</v>
      </c>
      <c r="BE38">
        <f t="shared" si="11"/>
        <v>0.76410102230864207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1.62399</v>
      </c>
      <c r="H39" s="21">
        <v>5.4913800000000004</v>
      </c>
      <c r="I39" s="21">
        <v>-1.0614E-2</v>
      </c>
      <c r="J39" s="21">
        <v>29</v>
      </c>
      <c r="K39" s="21">
        <v>1.6229199999999999</v>
      </c>
      <c r="L39">
        <f t="shared" si="0"/>
        <v>13.103703703703703</v>
      </c>
      <c r="M39">
        <f t="shared" si="1"/>
        <v>21.280283777777775</v>
      </c>
      <c r="N39" s="9"/>
      <c r="O39" s="21">
        <v>4.6081499999999997E-2</v>
      </c>
      <c r="P39" s="21">
        <v>9.2501499999999997</v>
      </c>
      <c r="Q39" s="21">
        <v>-1.50238E-2</v>
      </c>
      <c r="R39" s="21">
        <v>29</v>
      </c>
      <c r="S39" s="21">
        <v>4.5925899999999999E-2</v>
      </c>
      <c r="T39">
        <f t="shared" si="2"/>
        <v>18.547901234567902</v>
      </c>
      <c r="U39">
        <f t="shared" si="3"/>
        <v>0.8547151107407408</v>
      </c>
      <c r="X39" s="9"/>
      <c r="Y39" s="21">
        <v>1.62399</v>
      </c>
      <c r="Z39" s="21">
        <v>14.717599999999999</v>
      </c>
      <c r="AA39" s="21">
        <v>-1.05469E-2</v>
      </c>
      <c r="AB39" s="21">
        <v>29</v>
      </c>
      <c r="AC39" s="21">
        <v>1.62323</v>
      </c>
      <c r="AD39">
        <f t="shared" si="4"/>
        <v>13.020864197530864</v>
      </c>
      <c r="AE39">
        <f t="shared" si="5"/>
        <v>21.14575324814815</v>
      </c>
      <c r="AF39" s="9"/>
      <c r="AG39" s="21">
        <v>4.6081499999999997E-2</v>
      </c>
      <c r="AH39" s="21">
        <v>18.476400000000002</v>
      </c>
      <c r="AI39" s="21">
        <v>-1.5063500000000001E-2</v>
      </c>
      <c r="AJ39" s="21">
        <v>29</v>
      </c>
      <c r="AK39" s="21">
        <v>4.5956400000000001E-2</v>
      </c>
      <c r="AL39">
        <f t="shared" si="6"/>
        <v>18.596913580246913</v>
      </c>
      <c r="AM39">
        <f t="shared" si="7"/>
        <v>0.8569736731481481</v>
      </c>
      <c r="AP39" s="9"/>
      <c r="AQ39" s="21">
        <v>1.62399</v>
      </c>
      <c r="AR39" s="21">
        <v>23.918800000000001</v>
      </c>
      <c r="AS39" s="21">
        <v>-1.06018E-2</v>
      </c>
      <c r="AT39" s="21">
        <v>29</v>
      </c>
      <c r="AU39" s="21">
        <v>1.62354</v>
      </c>
      <c r="AV39">
        <f t="shared" si="8"/>
        <v>13.088641975308642</v>
      </c>
      <c r="AW39">
        <f t="shared" si="9"/>
        <v>21.25582368148148</v>
      </c>
      <c r="AX39" s="9"/>
      <c r="AY39" s="21">
        <v>4.6081499999999997E-2</v>
      </c>
      <c r="AZ39" s="21">
        <v>27.677600000000002</v>
      </c>
      <c r="BA39" s="21">
        <v>-1.5069600000000001E-2</v>
      </c>
      <c r="BB39" s="21">
        <v>29</v>
      </c>
      <c r="BC39" s="21">
        <v>4.5977799999999999E-2</v>
      </c>
      <c r="BD39">
        <f t="shared" si="10"/>
        <v>18.604444444444443</v>
      </c>
      <c r="BE39">
        <f t="shared" si="11"/>
        <v>0.8573207066666666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1.61896</v>
      </c>
      <c r="H40" s="21">
        <v>5.5014500000000002</v>
      </c>
      <c r="I40" s="21">
        <v>-1.0748300000000001E-2</v>
      </c>
      <c r="J40" s="21">
        <v>30</v>
      </c>
      <c r="K40" s="21">
        <v>1.61774</v>
      </c>
      <c r="L40">
        <f t="shared" si="0"/>
        <v>13.269506172839506</v>
      </c>
      <c r="M40">
        <f t="shared" si="1"/>
        <v>21.482799713580246</v>
      </c>
      <c r="N40" s="9"/>
      <c r="O40" s="21">
        <v>5.11169E-2</v>
      </c>
      <c r="P40" s="21">
        <v>9.2602200000000003</v>
      </c>
      <c r="Q40" s="21">
        <v>-1.5026899999999999E-2</v>
      </c>
      <c r="R40" s="21">
        <v>30</v>
      </c>
      <c r="S40" s="21">
        <v>5.1046800000000003E-2</v>
      </c>
      <c r="T40">
        <f t="shared" si="2"/>
        <v>18.551728395061726</v>
      </c>
      <c r="U40">
        <f t="shared" si="3"/>
        <v>0.94830684519753072</v>
      </c>
      <c r="X40" s="9"/>
      <c r="Y40" s="21">
        <v>1.61896</v>
      </c>
      <c r="Z40" s="21">
        <v>14.7277</v>
      </c>
      <c r="AA40" s="21">
        <v>-1.06934E-2</v>
      </c>
      <c r="AB40" s="21">
        <v>30</v>
      </c>
      <c r="AC40" s="21">
        <v>1.61896</v>
      </c>
      <c r="AD40">
        <f t="shared" si="4"/>
        <v>13.201728395061728</v>
      </c>
      <c r="AE40">
        <f t="shared" si="5"/>
        <v>21.373070202469137</v>
      </c>
      <c r="AF40" s="9"/>
      <c r="AG40" s="21">
        <v>5.11169E-2</v>
      </c>
      <c r="AH40" s="21">
        <v>18.4864</v>
      </c>
      <c r="AI40" s="21">
        <v>-1.5063500000000001E-2</v>
      </c>
      <c r="AJ40" s="21">
        <v>30</v>
      </c>
      <c r="AK40" s="21">
        <v>5.1080300000000002E-2</v>
      </c>
      <c r="AL40">
        <f t="shared" si="6"/>
        <v>18.596913580246913</v>
      </c>
      <c r="AM40">
        <f t="shared" si="7"/>
        <v>0.95061657179012338</v>
      </c>
      <c r="AP40" s="9"/>
      <c r="AQ40" s="21">
        <v>1.61896</v>
      </c>
      <c r="AR40" s="21">
        <v>23.928899999999999</v>
      </c>
      <c r="AS40" s="21">
        <v>-1.07452E-2</v>
      </c>
      <c r="AT40" s="21">
        <v>30</v>
      </c>
      <c r="AU40" s="21">
        <v>1.6186499999999999</v>
      </c>
      <c r="AV40">
        <f t="shared" si="8"/>
        <v>13.265679012345677</v>
      </c>
      <c r="AW40">
        <f t="shared" si="9"/>
        <v>21.476603693827158</v>
      </c>
      <c r="AX40" s="9"/>
      <c r="AY40" s="21">
        <v>5.11169E-2</v>
      </c>
      <c r="AZ40" s="21">
        <v>27.6877</v>
      </c>
      <c r="BA40" s="21">
        <v>-1.50665E-2</v>
      </c>
      <c r="BB40" s="21">
        <v>30</v>
      </c>
      <c r="BC40" s="21">
        <v>5.1028400000000002E-2</v>
      </c>
      <c r="BD40">
        <f t="shared" si="10"/>
        <v>18.600617283950616</v>
      </c>
      <c r="BE40">
        <f t="shared" si="11"/>
        <v>0.95080589364197521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1.61392</v>
      </c>
      <c r="H41" s="21">
        <v>5.51152</v>
      </c>
      <c r="I41" s="21">
        <v>-1.08795E-2</v>
      </c>
      <c r="J41" s="21">
        <v>31</v>
      </c>
      <c r="K41" s="21">
        <v>1.6128499999999999</v>
      </c>
      <c r="L41">
        <f t="shared" si="0"/>
        <v>13.431481481481482</v>
      </c>
      <c r="M41">
        <f t="shared" si="1"/>
        <v>21.677336592592592</v>
      </c>
      <c r="N41" s="9"/>
      <c r="O41" s="21">
        <v>5.6152300000000002E-2</v>
      </c>
      <c r="P41" s="21">
        <v>9.2702899999999993</v>
      </c>
      <c r="Q41" s="21">
        <v>-1.5032999999999999E-2</v>
      </c>
      <c r="R41" s="21">
        <v>31</v>
      </c>
      <c r="S41" s="21">
        <v>5.5542000000000001E-2</v>
      </c>
      <c r="T41">
        <f t="shared" si="2"/>
        <v>18.559259259259257</v>
      </c>
      <c r="U41">
        <f t="shared" si="3"/>
        <v>1.0421450937037036</v>
      </c>
      <c r="X41" s="9"/>
      <c r="Y41" s="21">
        <v>1.61392</v>
      </c>
      <c r="Z41" s="21">
        <v>14.7377</v>
      </c>
      <c r="AA41" s="21">
        <v>-1.08307E-2</v>
      </c>
      <c r="AB41" s="21">
        <v>31</v>
      </c>
      <c r="AC41" s="21">
        <v>1.6128499999999999</v>
      </c>
      <c r="AD41">
        <f t="shared" si="4"/>
        <v>13.371234567901235</v>
      </c>
      <c r="AE41">
        <f t="shared" si="5"/>
        <v>21.58010289382716</v>
      </c>
      <c r="AF41" s="9"/>
      <c r="AG41" s="21">
        <v>5.6152300000000002E-2</v>
      </c>
      <c r="AH41" s="21">
        <v>18.496500000000001</v>
      </c>
      <c r="AI41" s="21">
        <v>-1.5063500000000001E-2</v>
      </c>
      <c r="AJ41" s="21">
        <v>31</v>
      </c>
      <c r="AK41" s="21">
        <v>5.5572499999999997E-2</v>
      </c>
      <c r="AL41">
        <f t="shared" si="6"/>
        <v>18.596913580246913</v>
      </c>
      <c r="AM41">
        <f t="shared" si="7"/>
        <v>1.0442594704320987</v>
      </c>
      <c r="AP41" s="9"/>
      <c r="AQ41" s="21">
        <v>1.61392</v>
      </c>
      <c r="AR41" s="21">
        <v>23.939</v>
      </c>
      <c r="AS41" s="21">
        <v>-1.08734E-2</v>
      </c>
      <c r="AT41" s="21">
        <v>31</v>
      </c>
      <c r="AU41" s="21">
        <v>1.6137699999999999</v>
      </c>
      <c r="AV41">
        <f t="shared" si="8"/>
        <v>13.42395061728395</v>
      </c>
      <c r="AW41">
        <f t="shared" si="9"/>
        <v>21.665182380246911</v>
      </c>
      <c r="AX41" s="9"/>
      <c r="AY41" s="21">
        <v>5.6152300000000002E-2</v>
      </c>
      <c r="AZ41" s="21">
        <v>27.697700000000001</v>
      </c>
      <c r="BA41" s="21">
        <v>-1.50604E-2</v>
      </c>
      <c r="BB41" s="21">
        <v>31</v>
      </c>
      <c r="BC41" s="21">
        <v>5.5633500000000002E-2</v>
      </c>
      <c r="BD41">
        <f t="shared" si="10"/>
        <v>18.593086419753085</v>
      </c>
      <c r="BE41">
        <f t="shared" si="11"/>
        <v>1.0440445665679012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1.6088899999999999</v>
      </c>
      <c r="H42" s="21">
        <v>5.5215899999999998</v>
      </c>
      <c r="I42" s="21">
        <v>-1.1019899999999999E-2</v>
      </c>
      <c r="J42" s="21">
        <v>32</v>
      </c>
      <c r="K42" s="21">
        <v>1.6082799999999999</v>
      </c>
      <c r="L42">
        <f t="shared" si="0"/>
        <v>13.604814814814812</v>
      </c>
      <c r="M42">
        <f t="shared" si="1"/>
        <v>21.888650507407402</v>
      </c>
      <c r="N42" s="9"/>
      <c r="O42" s="21">
        <v>6.1187699999999998E-2</v>
      </c>
      <c r="P42" s="21">
        <v>9.2803599999999999</v>
      </c>
      <c r="Q42" s="21">
        <v>-1.50391E-2</v>
      </c>
      <c r="R42" s="21">
        <v>32</v>
      </c>
      <c r="S42" s="21">
        <v>6.0607899999999999E-2</v>
      </c>
      <c r="T42">
        <f t="shared" si="2"/>
        <v>18.566790123456791</v>
      </c>
      <c r="U42">
        <f t="shared" si="3"/>
        <v>1.1360591840370371</v>
      </c>
      <c r="X42" s="9"/>
      <c r="Y42" s="21">
        <v>1.6088899999999999</v>
      </c>
      <c r="Z42" s="21">
        <v>14.7478</v>
      </c>
      <c r="AA42" s="21">
        <v>-1.0971099999999999E-2</v>
      </c>
      <c r="AB42" s="21">
        <v>32</v>
      </c>
      <c r="AC42" s="21">
        <v>1.6082799999999999</v>
      </c>
      <c r="AD42">
        <f t="shared" si="4"/>
        <v>13.544567901234567</v>
      </c>
      <c r="AE42">
        <f t="shared" si="5"/>
        <v>21.79171985061728</v>
      </c>
      <c r="AF42" s="9"/>
      <c r="AG42" s="21">
        <v>6.1187699999999998E-2</v>
      </c>
      <c r="AH42" s="21">
        <v>18.506599999999999</v>
      </c>
      <c r="AI42" s="21">
        <v>-1.50543E-2</v>
      </c>
      <c r="AJ42" s="21">
        <v>32</v>
      </c>
      <c r="AK42" s="21">
        <v>6.0638400000000002E-2</v>
      </c>
      <c r="AL42">
        <f t="shared" si="6"/>
        <v>18.585555555555555</v>
      </c>
      <c r="AM42">
        <f t="shared" si="7"/>
        <v>1.1372073976666666</v>
      </c>
      <c r="AP42" s="9"/>
      <c r="AQ42" s="21">
        <v>1.6088899999999999</v>
      </c>
      <c r="AR42" s="21">
        <v>23.949000000000002</v>
      </c>
      <c r="AS42" s="21">
        <v>-1.10046E-2</v>
      </c>
      <c r="AT42" s="21">
        <v>32</v>
      </c>
      <c r="AU42" s="21">
        <v>1.6085799999999999</v>
      </c>
      <c r="AV42">
        <f t="shared" si="8"/>
        <v>13.585925925925926</v>
      </c>
      <c r="AW42">
        <f t="shared" si="9"/>
        <v>21.858260362962962</v>
      </c>
      <c r="AX42" s="9"/>
      <c r="AY42" s="21">
        <v>6.1187699999999998E-2</v>
      </c>
      <c r="AZ42" s="21">
        <v>27.707799999999999</v>
      </c>
      <c r="BA42" s="21">
        <v>-1.50574E-2</v>
      </c>
      <c r="BB42" s="21">
        <v>32</v>
      </c>
      <c r="BC42" s="21">
        <v>6.0760500000000002E-2</v>
      </c>
      <c r="BD42">
        <f t="shared" si="10"/>
        <v>18.589382716049382</v>
      </c>
      <c r="BE42">
        <f t="shared" si="11"/>
        <v>1.1374415728148148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1.60385</v>
      </c>
      <c r="H43" s="21">
        <v>5.5316700000000001</v>
      </c>
      <c r="I43" s="21">
        <v>-1.11389E-2</v>
      </c>
      <c r="J43" s="21">
        <v>33</v>
      </c>
      <c r="K43" s="21">
        <v>1.6036999999999999</v>
      </c>
      <c r="L43">
        <f t="shared" si="0"/>
        <v>13.751728395061727</v>
      </c>
      <c r="M43">
        <f t="shared" si="1"/>
        <v>22.055709586419752</v>
      </c>
      <c r="N43" s="9"/>
      <c r="O43" s="21">
        <v>6.6223099999999993E-2</v>
      </c>
      <c r="P43" s="21">
        <v>9.2904300000000006</v>
      </c>
      <c r="Q43" s="21">
        <v>-1.50452E-2</v>
      </c>
      <c r="R43" s="21">
        <v>33</v>
      </c>
      <c r="S43" s="21">
        <v>6.5673800000000004E-2</v>
      </c>
      <c r="T43">
        <f t="shared" si="2"/>
        <v>18.574320987654321</v>
      </c>
      <c r="U43">
        <f t="shared" si="3"/>
        <v>1.2300491161975307</v>
      </c>
      <c r="X43" s="9"/>
      <c r="Y43" s="21">
        <v>1.60385</v>
      </c>
      <c r="Z43" s="21">
        <v>14.757899999999999</v>
      </c>
      <c r="AA43" s="21">
        <v>-1.10901E-2</v>
      </c>
      <c r="AB43" s="21">
        <v>33</v>
      </c>
      <c r="AC43" s="21">
        <v>1.6027800000000001</v>
      </c>
      <c r="AD43">
        <f t="shared" si="4"/>
        <v>13.691481481481482</v>
      </c>
      <c r="AE43">
        <f t="shared" si="5"/>
        <v>21.959082574074074</v>
      </c>
      <c r="AF43" s="9"/>
      <c r="AG43" s="21">
        <v>6.6223099999999993E-2</v>
      </c>
      <c r="AH43" s="21">
        <v>18.5166</v>
      </c>
      <c r="AI43" s="21">
        <v>-1.5042099999999999E-2</v>
      </c>
      <c r="AJ43" s="21">
        <v>33</v>
      </c>
      <c r="AK43" s="21">
        <v>6.5582299999999996E-2</v>
      </c>
      <c r="AL43">
        <f t="shared" si="6"/>
        <v>18.570493827160494</v>
      </c>
      <c r="AM43">
        <f t="shared" si="7"/>
        <v>1.229795669765432</v>
      </c>
      <c r="AP43" s="9"/>
      <c r="AQ43" s="21">
        <v>1.60385</v>
      </c>
      <c r="AR43" s="21">
        <v>23.959099999999999</v>
      </c>
      <c r="AS43" s="21">
        <v>-1.11267E-2</v>
      </c>
      <c r="AT43" s="21">
        <v>33</v>
      </c>
      <c r="AU43" s="21">
        <v>1.6024799999999999</v>
      </c>
      <c r="AV43">
        <f t="shared" si="8"/>
        <v>13.736666666666666</v>
      </c>
      <c r="AW43">
        <f t="shared" si="9"/>
        <v>22.031552833333333</v>
      </c>
      <c r="AX43" s="9"/>
      <c r="AY43" s="21">
        <v>6.6223099999999993E-2</v>
      </c>
      <c r="AZ43" s="21">
        <v>27.7179</v>
      </c>
      <c r="BA43" s="21">
        <v>-1.50513E-2</v>
      </c>
      <c r="BB43" s="21">
        <v>33</v>
      </c>
      <c r="BC43" s="21">
        <v>6.5673800000000004E-2</v>
      </c>
      <c r="BD43">
        <f t="shared" si="10"/>
        <v>18.581851851851848</v>
      </c>
      <c r="BE43">
        <f t="shared" si="11"/>
        <v>1.2305478333703699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1.5988199999999999</v>
      </c>
      <c r="H44" s="21">
        <v>5.5417399999999999</v>
      </c>
      <c r="I44" s="21">
        <v>-1.1251799999999999E-2</v>
      </c>
      <c r="J44" s="21">
        <v>34</v>
      </c>
      <c r="K44" s="21">
        <v>1.5982099999999999</v>
      </c>
      <c r="L44">
        <f t="shared" si="0"/>
        <v>13.89111111111111</v>
      </c>
      <c r="M44">
        <f t="shared" si="1"/>
        <v>22.209386266666662</v>
      </c>
      <c r="N44" s="9"/>
      <c r="O44" s="21">
        <v>7.1258500000000002E-2</v>
      </c>
      <c r="P44" s="21">
        <v>9.3004999999999995</v>
      </c>
      <c r="Q44" s="21">
        <v>-1.50543E-2</v>
      </c>
      <c r="R44" s="21">
        <v>34</v>
      </c>
      <c r="S44" s="21">
        <v>7.0678699999999997E-2</v>
      </c>
      <c r="T44">
        <f t="shared" si="2"/>
        <v>18.585555555555555</v>
      </c>
      <c r="U44">
        <f t="shared" si="3"/>
        <v>1.3243788105555556</v>
      </c>
      <c r="X44" s="9"/>
      <c r="Y44" s="21">
        <v>1.5988199999999999</v>
      </c>
      <c r="Z44" s="21">
        <v>14.767899999999999</v>
      </c>
      <c r="AA44" s="21">
        <v>-1.12061E-2</v>
      </c>
      <c r="AB44" s="21">
        <v>34</v>
      </c>
      <c r="AC44" s="21">
        <v>1.5979000000000001</v>
      </c>
      <c r="AD44">
        <f t="shared" si="4"/>
        <v>13.834691358024692</v>
      </c>
      <c r="AE44">
        <f t="shared" si="5"/>
        <v>22.119181237037036</v>
      </c>
      <c r="AF44" s="9"/>
      <c r="AG44" s="21">
        <v>7.1258500000000002E-2</v>
      </c>
      <c r="AH44" s="21">
        <v>18.526700000000002</v>
      </c>
      <c r="AI44" s="21">
        <v>-1.5036000000000001E-2</v>
      </c>
      <c r="AJ44" s="21">
        <v>34</v>
      </c>
      <c r="AK44" s="21">
        <v>7.0770299999999994E-2</v>
      </c>
      <c r="AL44">
        <f t="shared" si="6"/>
        <v>18.562962962962963</v>
      </c>
      <c r="AM44">
        <f t="shared" si="7"/>
        <v>1.3227688962962965</v>
      </c>
      <c r="AP44" s="9"/>
      <c r="AQ44" s="21">
        <v>1.5988199999999999</v>
      </c>
      <c r="AR44" s="21">
        <v>23.969200000000001</v>
      </c>
      <c r="AS44" s="21">
        <v>-1.12488E-2</v>
      </c>
      <c r="AT44" s="21">
        <v>34</v>
      </c>
      <c r="AU44" s="21">
        <v>1.5985100000000001</v>
      </c>
      <c r="AV44">
        <f t="shared" si="8"/>
        <v>13.887407407407405</v>
      </c>
      <c r="AW44">
        <f t="shared" si="9"/>
        <v>22.203464711111106</v>
      </c>
      <c r="AX44" s="9"/>
      <c r="AY44" s="21">
        <v>7.1258500000000002E-2</v>
      </c>
      <c r="AZ44" s="21">
        <v>27.727900000000002</v>
      </c>
      <c r="BA44" s="21">
        <v>-1.50452E-2</v>
      </c>
      <c r="BB44" s="21">
        <v>34</v>
      </c>
      <c r="BC44" s="21">
        <v>7.07092E-2</v>
      </c>
      <c r="BD44">
        <f t="shared" si="10"/>
        <v>18.574320987654321</v>
      </c>
      <c r="BE44">
        <f t="shared" si="11"/>
        <v>1.3235782520987656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1.59378</v>
      </c>
      <c r="H45" s="21">
        <v>5.5518099999999997</v>
      </c>
      <c r="I45" s="21">
        <v>-1.13586E-2</v>
      </c>
      <c r="J45" s="21">
        <v>35</v>
      </c>
      <c r="K45" s="21">
        <v>1.5930200000000001</v>
      </c>
      <c r="L45">
        <f t="shared" si="0"/>
        <v>14.022962962962962</v>
      </c>
      <c r="M45">
        <f t="shared" si="1"/>
        <v>22.349517911111111</v>
      </c>
      <c r="N45" s="9"/>
      <c r="O45" s="21">
        <v>7.6293899999999998E-2</v>
      </c>
      <c r="P45" s="21">
        <v>9.3105700000000002</v>
      </c>
      <c r="Q45" s="21">
        <v>-1.50543E-2</v>
      </c>
      <c r="R45" s="21">
        <v>35</v>
      </c>
      <c r="S45" s="21">
        <v>7.5775099999999998E-2</v>
      </c>
      <c r="T45">
        <f t="shared" si="2"/>
        <v>18.585555555555555</v>
      </c>
      <c r="U45">
        <f t="shared" si="3"/>
        <v>1.4179645169999999</v>
      </c>
      <c r="X45" s="9"/>
      <c r="Y45" s="21">
        <v>1.59378</v>
      </c>
      <c r="Z45" s="21">
        <v>14.778</v>
      </c>
      <c r="AA45" s="21">
        <v>-1.13159E-2</v>
      </c>
      <c r="AB45" s="21">
        <v>35</v>
      </c>
      <c r="AC45" s="21">
        <v>1.5933200000000001</v>
      </c>
      <c r="AD45">
        <f t="shared" si="4"/>
        <v>13.970246913580247</v>
      </c>
      <c r="AE45">
        <f t="shared" si="5"/>
        <v>22.265500125925925</v>
      </c>
      <c r="AF45" s="9"/>
      <c r="AG45" s="21">
        <v>7.6293899999999998E-2</v>
      </c>
      <c r="AH45" s="21">
        <v>18.536799999999999</v>
      </c>
      <c r="AI45" s="21">
        <v>-1.50238E-2</v>
      </c>
      <c r="AJ45" s="21">
        <v>35</v>
      </c>
      <c r="AK45" s="21">
        <v>7.5775099999999998E-2</v>
      </c>
      <c r="AL45">
        <f t="shared" si="6"/>
        <v>18.547901234567902</v>
      </c>
      <c r="AM45">
        <f t="shared" si="7"/>
        <v>1.4150917220000001</v>
      </c>
      <c r="AP45" s="9"/>
      <c r="AQ45" s="21">
        <v>1.59378</v>
      </c>
      <c r="AR45" s="21">
        <v>23.979299999999999</v>
      </c>
      <c r="AS45" s="21">
        <v>-1.1361700000000001E-2</v>
      </c>
      <c r="AT45" s="21">
        <v>35</v>
      </c>
      <c r="AU45" s="21">
        <v>1.5933200000000001</v>
      </c>
      <c r="AV45">
        <f t="shared" si="8"/>
        <v>14.026790123456792</v>
      </c>
      <c r="AW45">
        <f t="shared" si="9"/>
        <v>22.355617562962966</v>
      </c>
      <c r="AX45" s="9"/>
      <c r="AY45" s="21">
        <v>7.6293899999999998E-2</v>
      </c>
      <c r="AZ45" s="21">
        <v>27.738</v>
      </c>
      <c r="BA45" s="21">
        <v>-1.5042099999999999E-2</v>
      </c>
      <c r="BB45" s="21">
        <v>35</v>
      </c>
      <c r="BC45" s="21">
        <v>7.5714100000000006E-2</v>
      </c>
      <c r="BD45">
        <f t="shared" si="10"/>
        <v>18.570493827160494</v>
      </c>
      <c r="BE45">
        <f t="shared" si="11"/>
        <v>1.4168153989999999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1.5887500000000001</v>
      </c>
      <c r="H46" s="21">
        <v>5.5618800000000004</v>
      </c>
      <c r="I46" s="21">
        <v>-1.14594E-2</v>
      </c>
      <c r="J46" s="21">
        <v>36</v>
      </c>
      <c r="K46" s="21">
        <v>1.58813</v>
      </c>
      <c r="L46">
        <f t="shared" si="0"/>
        <v>14.147407407407405</v>
      </c>
      <c r="M46">
        <f t="shared" si="1"/>
        <v>22.476693518518516</v>
      </c>
      <c r="N46" s="9"/>
      <c r="O46" s="21">
        <v>8.1329299999999993E-2</v>
      </c>
      <c r="P46" s="21">
        <v>9.3206500000000005</v>
      </c>
      <c r="Q46" s="21">
        <v>-1.50452E-2</v>
      </c>
      <c r="R46" s="21">
        <v>36</v>
      </c>
      <c r="S46" s="21">
        <v>8.0810499999999993E-2</v>
      </c>
      <c r="T46">
        <f t="shared" si="2"/>
        <v>18.574320987654321</v>
      </c>
      <c r="U46">
        <f t="shared" si="3"/>
        <v>1.5106365239012345</v>
      </c>
      <c r="X46" s="9"/>
      <c r="Y46" s="21">
        <v>1.5887500000000001</v>
      </c>
      <c r="Z46" s="21">
        <v>14.7881</v>
      </c>
      <c r="AA46" s="21">
        <v>-1.1428799999999999E-2</v>
      </c>
      <c r="AB46" s="21">
        <v>36</v>
      </c>
      <c r="AC46" s="21">
        <v>1.5878300000000001</v>
      </c>
      <c r="AD46">
        <f t="shared" si="4"/>
        <v>14.109629629629628</v>
      </c>
      <c r="AE46">
        <f t="shared" si="5"/>
        <v>22.416674074074074</v>
      </c>
      <c r="AF46" s="9"/>
      <c r="AG46" s="21">
        <v>8.1329299999999993E-2</v>
      </c>
      <c r="AH46" s="21">
        <v>18.546900000000001</v>
      </c>
      <c r="AI46" s="21">
        <v>-1.5020800000000001E-2</v>
      </c>
      <c r="AJ46" s="21">
        <v>36</v>
      </c>
      <c r="AK46" s="21">
        <v>8.0780000000000005E-2</v>
      </c>
      <c r="AL46">
        <f t="shared" si="6"/>
        <v>18.544197530864199</v>
      </c>
      <c r="AM46">
        <f t="shared" si="7"/>
        <v>1.5081866042469136</v>
      </c>
      <c r="AP46" s="9"/>
      <c r="AQ46" s="21">
        <v>1.5887500000000001</v>
      </c>
      <c r="AR46" s="21">
        <v>23.9893</v>
      </c>
      <c r="AS46" s="21">
        <v>-1.14746E-2</v>
      </c>
      <c r="AT46" s="21">
        <v>36</v>
      </c>
      <c r="AU46" s="21">
        <v>1.58752</v>
      </c>
      <c r="AV46">
        <f t="shared" si="8"/>
        <v>14.166172839506173</v>
      </c>
      <c r="AW46">
        <f t="shared" si="9"/>
        <v>22.506507098765432</v>
      </c>
      <c r="AX46" s="9"/>
      <c r="AY46" s="21">
        <v>8.1329299999999993E-2</v>
      </c>
      <c r="AZ46" s="21">
        <v>27.748100000000001</v>
      </c>
      <c r="BA46" s="21">
        <v>-1.50452E-2</v>
      </c>
      <c r="BB46" s="21">
        <v>36</v>
      </c>
      <c r="BC46" s="21">
        <v>8.0780000000000005E-2</v>
      </c>
      <c r="BD46">
        <f t="shared" si="10"/>
        <v>18.574320987654321</v>
      </c>
      <c r="BE46">
        <f t="shared" si="11"/>
        <v>1.5106365239012345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1.58371</v>
      </c>
      <c r="H47" s="21">
        <v>5.5719500000000002</v>
      </c>
      <c r="I47" s="21">
        <v>-1.15601E-2</v>
      </c>
      <c r="J47" s="21">
        <v>37</v>
      </c>
      <c r="K47" s="21">
        <v>1.58264</v>
      </c>
      <c r="L47">
        <f t="shared" si="0"/>
        <v>14.271728395061727</v>
      </c>
      <c r="M47">
        <f t="shared" si="1"/>
        <v>22.602278976543207</v>
      </c>
      <c r="N47" s="9"/>
      <c r="O47" s="21">
        <v>8.6364700000000003E-2</v>
      </c>
      <c r="P47" s="21">
        <v>9.3307199999999995</v>
      </c>
      <c r="Q47" s="21">
        <v>-1.5032999999999999E-2</v>
      </c>
      <c r="R47" s="21">
        <v>37</v>
      </c>
      <c r="S47" s="21">
        <v>8.5876499999999995E-2</v>
      </c>
      <c r="T47">
        <f t="shared" si="2"/>
        <v>18.559259259259257</v>
      </c>
      <c r="U47">
        <f t="shared" si="3"/>
        <v>1.6028648581481479</v>
      </c>
      <c r="X47" s="9"/>
      <c r="Y47" s="21">
        <v>1.58371</v>
      </c>
      <c r="Z47" s="21">
        <v>14.7982</v>
      </c>
      <c r="AA47" s="21">
        <v>-1.15326E-2</v>
      </c>
      <c r="AB47" s="21">
        <v>37</v>
      </c>
      <c r="AC47" s="21">
        <v>1.5829500000000001</v>
      </c>
      <c r="AD47">
        <f t="shared" si="4"/>
        <v>14.237777777777778</v>
      </c>
      <c r="AE47">
        <f t="shared" si="5"/>
        <v>22.548511044444442</v>
      </c>
      <c r="AF47" s="9"/>
      <c r="AG47" s="21">
        <v>8.6364700000000003E-2</v>
      </c>
      <c r="AH47" s="21">
        <v>18.556899999999999</v>
      </c>
      <c r="AI47" s="21">
        <v>-1.50177E-2</v>
      </c>
      <c r="AJ47" s="21">
        <v>37</v>
      </c>
      <c r="AK47" s="21">
        <v>8.5784899999999997E-2</v>
      </c>
      <c r="AL47">
        <f t="shared" si="6"/>
        <v>18.540370370370372</v>
      </c>
      <c r="AM47">
        <f t="shared" si="7"/>
        <v>1.6012335249259262</v>
      </c>
      <c r="AP47" s="9"/>
      <c r="AQ47" s="21">
        <v>1.58371</v>
      </c>
      <c r="AR47" s="21">
        <v>23.999400000000001</v>
      </c>
      <c r="AS47" s="21">
        <v>-1.15814E-2</v>
      </c>
      <c r="AT47" s="21">
        <v>37</v>
      </c>
      <c r="AU47" s="21">
        <v>1.5823400000000001</v>
      </c>
      <c r="AV47">
        <f t="shared" si="8"/>
        <v>14.298024691358025</v>
      </c>
      <c r="AW47">
        <f t="shared" si="9"/>
        <v>22.643924683950615</v>
      </c>
      <c r="AX47" s="9"/>
      <c r="AY47" s="21">
        <v>8.6364700000000003E-2</v>
      </c>
      <c r="AZ47" s="21">
        <v>27.758199999999999</v>
      </c>
      <c r="BA47" s="21">
        <v>-1.50452E-2</v>
      </c>
      <c r="BB47" s="21">
        <v>37</v>
      </c>
      <c r="BC47" s="21">
        <v>8.58154E-2</v>
      </c>
      <c r="BD47">
        <f t="shared" si="10"/>
        <v>18.574320987654321</v>
      </c>
      <c r="BE47">
        <f t="shared" si="11"/>
        <v>1.6041656598024692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1.57867</v>
      </c>
      <c r="H48" s="21">
        <v>5.58202</v>
      </c>
      <c r="I48" s="21">
        <v>-1.16547E-2</v>
      </c>
      <c r="J48" s="21">
        <v>38</v>
      </c>
      <c r="K48" s="21">
        <v>1.5777600000000001</v>
      </c>
      <c r="L48">
        <f t="shared" si="0"/>
        <v>14.388518518518518</v>
      </c>
      <c r="M48">
        <f t="shared" si="1"/>
        <v>22.714722529629629</v>
      </c>
      <c r="N48" s="9"/>
      <c r="O48" s="21">
        <v>9.1400099999999998E-2</v>
      </c>
      <c r="P48" s="21">
        <v>9.3407900000000001</v>
      </c>
      <c r="Q48" s="21">
        <v>-1.5036000000000001E-2</v>
      </c>
      <c r="R48" s="21">
        <v>38</v>
      </c>
      <c r="S48" s="21">
        <v>9.0850799999999995E-2</v>
      </c>
      <c r="T48">
        <f t="shared" si="2"/>
        <v>18.562962962962963</v>
      </c>
      <c r="U48">
        <f t="shared" si="3"/>
        <v>1.6966566711111111</v>
      </c>
      <c r="X48" s="9"/>
      <c r="Y48" s="21">
        <v>1.57867</v>
      </c>
      <c r="Z48" s="21">
        <v>14.808199999999999</v>
      </c>
      <c r="AA48" s="21">
        <v>-1.1627200000000001E-2</v>
      </c>
      <c r="AB48" s="21">
        <v>38</v>
      </c>
      <c r="AC48" s="21">
        <v>1.57745</v>
      </c>
      <c r="AD48">
        <f t="shared" si="4"/>
        <v>14.354567901234569</v>
      </c>
      <c r="AE48">
        <f t="shared" si="5"/>
        <v>22.661125708641979</v>
      </c>
      <c r="AF48" s="9"/>
      <c r="AG48" s="21">
        <v>9.1400099999999998E-2</v>
      </c>
      <c r="AH48" s="21">
        <v>18.567</v>
      </c>
      <c r="AI48" s="21">
        <v>-1.5029900000000001E-2</v>
      </c>
      <c r="AJ48" s="21">
        <v>38</v>
      </c>
      <c r="AK48" s="21">
        <v>9.0911900000000004E-2</v>
      </c>
      <c r="AL48">
        <f t="shared" si="6"/>
        <v>18.555432098765429</v>
      </c>
      <c r="AM48">
        <f t="shared" si="7"/>
        <v>1.6959683493703701</v>
      </c>
      <c r="AP48" s="9"/>
      <c r="AQ48" s="21">
        <v>1.57867</v>
      </c>
      <c r="AR48" s="21">
        <v>24.009499999999999</v>
      </c>
      <c r="AS48" s="21">
        <v>-1.1682100000000001E-2</v>
      </c>
      <c r="AT48" s="21">
        <v>38</v>
      </c>
      <c r="AU48" s="21">
        <v>1.5777600000000001</v>
      </c>
      <c r="AV48">
        <f t="shared" si="8"/>
        <v>14.422345679012347</v>
      </c>
      <c r="AW48">
        <f t="shared" si="9"/>
        <v>22.768124453086422</v>
      </c>
      <c r="AX48" s="9"/>
      <c r="AY48" s="21">
        <v>9.1400099999999998E-2</v>
      </c>
      <c r="AZ48" s="21">
        <v>27.7682</v>
      </c>
      <c r="BA48" s="21">
        <v>-1.5042099999999999E-2</v>
      </c>
      <c r="BB48" s="21">
        <v>38</v>
      </c>
      <c r="BC48" s="21">
        <v>9.0850799999999995E-2</v>
      </c>
      <c r="BD48">
        <f t="shared" si="10"/>
        <v>18.570493827160494</v>
      </c>
      <c r="BE48">
        <f t="shared" si="11"/>
        <v>1.6973449928518518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1.5736399999999999</v>
      </c>
      <c r="H49" s="21">
        <v>5.5920899999999998</v>
      </c>
      <c r="I49" s="21">
        <v>-1.17523E-2</v>
      </c>
      <c r="J49" s="21">
        <v>39</v>
      </c>
      <c r="K49" s="21">
        <v>1.57257</v>
      </c>
      <c r="L49">
        <f t="shared" si="0"/>
        <v>14.509012345679011</v>
      </c>
      <c r="M49">
        <f t="shared" si="1"/>
        <v>22.83196218765432</v>
      </c>
      <c r="N49" s="9"/>
      <c r="O49" s="21">
        <v>9.6435499999999993E-2</v>
      </c>
      <c r="P49" s="21">
        <v>9.3508600000000008</v>
      </c>
      <c r="Q49" s="21">
        <v>-1.50452E-2</v>
      </c>
      <c r="R49" s="21">
        <v>39</v>
      </c>
      <c r="S49" s="21">
        <v>9.5886200000000005E-2</v>
      </c>
      <c r="T49">
        <f t="shared" si="2"/>
        <v>18.574320987654321</v>
      </c>
      <c r="U49">
        <f t="shared" si="3"/>
        <v>1.7912239316049381</v>
      </c>
      <c r="X49" s="9"/>
      <c r="Y49" s="21">
        <v>1.5736399999999999</v>
      </c>
      <c r="Z49" s="21">
        <v>14.818300000000001</v>
      </c>
      <c r="AA49" s="21">
        <v>-1.17188E-2</v>
      </c>
      <c r="AB49" s="21">
        <v>39</v>
      </c>
      <c r="AC49" s="21">
        <v>1.5734900000000001</v>
      </c>
      <c r="AD49">
        <f t="shared" si="4"/>
        <v>14.467654320987654</v>
      </c>
      <c r="AE49">
        <f t="shared" si="5"/>
        <v>22.766879545679011</v>
      </c>
      <c r="AF49" s="9"/>
      <c r="AG49" s="21">
        <v>9.6435499999999993E-2</v>
      </c>
      <c r="AH49" s="21">
        <v>18.577100000000002</v>
      </c>
      <c r="AI49" s="21">
        <v>-1.5042099999999999E-2</v>
      </c>
      <c r="AJ49" s="21">
        <v>39</v>
      </c>
      <c r="AK49" s="21">
        <v>9.5855700000000002E-2</v>
      </c>
      <c r="AL49">
        <f t="shared" si="6"/>
        <v>18.570493827160494</v>
      </c>
      <c r="AM49">
        <f t="shared" si="7"/>
        <v>1.7908548574691356</v>
      </c>
      <c r="AP49" s="9"/>
      <c r="AQ49" s="21">
        <v>1.5736399999999999</v>
      </c>
      <c r="AR49" s="21">
        <v>24.019500000000001</v>
      </c>
      <c r="AS49" s="21">
        <v>-1.1761499999999999E-2</v>
      </c>
      <c r="AT49" s="21">
        <v>39</v>
      </c>
      <c r="AU49" s="21">
        <v>1.57257</v>
      </c>
      <c r="AV49">
        <f t="shared" si="8"/>
        <v>14.520370370370369</v>
      </c>
      <c r="AW49">
        <f t="shared" si="9"/>
        <v>22.849835629629627</v>
      </c>
      <c r="AX49" s="9"/>
      <c r="AY49" s="21">
        <v>9.6435499999999993E-2</v>
      </c>
      <c r="AZ49" s="21">
        <v>27.778300000000002</v>
      </c>
      <c r="BA49" s="21">
        <v>-1.50391E-2</v>
      </c>
      <c r="BB49" s="21">
        <v>39</v>
      </c>
      <c r="BC49" s="21">
        <v>9.5764199999999994E-2</v>
      </c>
      <c r="BD49">
        <f t="shared" si="10"/>
        <v>18.566790123456791</v>
      </c>
      <c r="BE49">
        <f t="shared" si="11"/>
        <v>1.7904976889506172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1.5686</v>
      </c>
      <c r="H50" s="21">
        <v>5.6021599999999996</v>
      </c>
      <c r="I50" s="21">
        <v>-1.18347E-2</v>
      </c>
      <c r="J50" s="21">
        <v>40</v>
      </c>
      <c r="K50" s="21">
        <v>1.56769</v>
      </c>
      <c r="L50">
        <f t="shared" si="0"/>
        <v>14.61074074074074</v>
      </c>
      <c r="M50">
        <f t="shared" si="1"/>
        <v>22.918407925925923</v>
      </c>
      <c r="N50" s="9"/>
      <c r="O50" s="21">
        <v>0.10147100000000001</v>
      </c>
      <c r="P50" s="21">
        <v>9.3609299999999998</v>
      </c>
      <c r="Q50" s="21">
        <v>-1.5048199999999999E-2</v>
      </c>
      <c r="R50" s="21">
        <v>40</v>
      </c>
      <c r="S50" s="21">
        <v>0.100922</v>
      </c>
      <c r="T50">
        <f t="shared" si="2"/>
        <v>18.578024691358021</v>
      </c>
      <c r="U50">
        <f t="shared" si="3"/>
        <v>1.8851307434567899</v>
      </c>
      <c r="X50" s="9"/>
      <c r="Y50" s="21">
        <v>1.5686</v>
      </c>
      <c r="Z50" s="21">
        <v>14.8284</v>
      </c>
      <c r="AA50" s="21">
        <v>-1.1804200000000001E-2</v>
      </c>
      <c r="AB50" s="21">
        <v>40</v>
      </c>
      <c r="AC50" s="21">
        <v>1.56738</v>
      </c>
      <c r="AD50">
        <f t="shared" si="4"/>
        <v>14.573086419753087</v>
      </c>
      <c r="AE50">
        <f t="shared" si="5"/>
        <v>22.859343358024692</v>
      </c>
      <c r="AF50" s="9"/>
      <c r="AG50" s="21">
        <v>0.10147100000000001</v>
      </c>
      <c r="AH50" s="21">
        <v>18.5871</v>
      </c>
      <c r="AI50" s="21">
        <v>-1.50452E-2</v>
      </c>
      <c r="AJ50" s="21">
        <v>40</v>
      </c>
      <c r="AK50" s="21">
        <v>0.100983</v>
      </c>
      <c r="AL50">
        <f t="shared" si="6"/>
        <v>18.574320987654321</v>
      </c>
      <c r="AM50">
        <f t="shared" si="7"/>
        <v>1.8847549249382718</v>
      </c>
      <c r="AP50" s="9"/>
      <c r="AQ50" s="21">
        <v>1.5686</v>
      </c>
      <c r="AR50" s="21">
        <v>24.029599999999999</v>
      </c>
      <c r="AS50" s="21">
        <v>-1.1843899999999999E-2</v>
      </c>
      <c r="AT50" s="21">
        <v>40</v>
      </c>
      <c r="AU50" s="21">
        <v>1.56769</v>
      </c>
      <c r="AV50">
        <f t="shared" si="8"/>
        <v>14.622098765432096</v>
      </c>
      <c r="AW50">
        <f t="shared" si="9"/>
        <v>22.936224123456785</v>
      </c>
      <c r="AX50" s="9"/>
      <c r="AY50" s="21">
        <v>0.10147100000000001</v>
      </c>
      <c r="AZ50" s="21">
        <v>27.788399999999999</v>
      </c>
      <c r="BA50" s="21">
        <v>-1.5036000000000001E-2</v>
      </c>
      <c r="BB50" s="21">
        <v>40</v>
      </c>
      <c r="BC50" s="21">
        <v>0.100952</v>
      </c>
      <c r="BD50">
        <f t="shared" si="10"/>
        <v>18.562962962962963</v>
      </c>
      <c r="BE50">
        <f t="shared" si="11"/>
        <v>1.8836024148148149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1.5635699999999999</v>
      </c>
      <c r="H51" s="21">
        <v>5.6122300000000003</v>
      </c>
      <c r="I51" s="21">
        <v>-1.19141E-2</v>
      </c>
      <c r="J51" s="21">
        <v>41</v>
      </c>
      <c r="K51" s="21">
        <v>1.56342</v>
      </c>
      <c r="L51">
        <f t="shared" si="0"/>
        <v>14.708765432098765</v>
      </c>
      <c r="M51">
        <f t="shared" si="1"/>
        <v>22.998184366666663</v>
      </c>
      <c r="N51" s="9"/>
      <c r="O51" s="21">
        <v>0.106506</v>
      </c>
      <c r="P51" s="21">
        <v>9.3710000000000004</v>
      </c>
      <c r="Q51" s="21">
        <v>-1.50543E-2</v>
      </c>
      <c r="R51" s="21">
        <v>41</v>
      </c>
      <c r="S51" s="21">
        <v>0.105957</v>
      </c>
      <c r="T51">
        <f t="shared" si="2"/>
        <v>18.585555555555555</v>
      </c>
      <c r="U51">
        <f t="shared" si="3"/>
        <v>1.9794731800000001</v>
      </c>
      <c r="X51" s="9"/>
      <c r="Y51" s="21">
        <v>1.5635699999999999</v>
      </c>
      <c r="Z51" s="21">
        <v>14.8384</v>
      </c>
      <c r="AA51" s="21">
        <v>-1.18774E-2</v>
      </c>
      <c r="AB51" s="21">
        <v>41</v>
      </c>
      <c r="AC51" s="21">
        <v>1.56281</v>
      </c>
      <c r="AD51">
        <f t="shared" si="4"/>
        <v>14.663456790123456</v>
      </c>
      <c r="AE51">
        <f t="shared" si="5"/>
        <v>22.927341133333332</v>
      </c>
      <c r="AF51" s="9"/>
      <c r="AG51" s="21">
        <v>0.106506</v>
      </c>
      <c r="AH51" s="21">
        <v>18.597200000000001</v>
      </c>
      <c r="AI51" s="21">
        <v>-1.50513E-2</v>
      </c>
      <c r="AJ51" s="21">
        <v>41</v>
      </c>
      <c r="AK51" s="21">
        <v>0.105988</v>
      </c>
      <c r="AL51">
        <f t="shared" si="6"/>
        <v>18.581851851851848</v>
      </c>
      <c r="AM51">
        <f t="shared" si="7"/>
        <v>1.979078713333333</v>
      </c>
      <c r="AP51" s="9"/>
      <c r="AQ51" s="21">
        <v>1.5635699999999999</v>
      </c>
      <c r="AR51" s="21">
        <v>24.0397</v>
      </c>
      <c r="AS51" s="21">
        <v>-1.19141E-2</v>
      </c>
      <c r="AT51" s="21">
        <v>41</v>
      </c>
      <c r="AU51" s="21">
        <v>1.56281</v>
      </c>
      <c r="AV51">
        <f t="shared" si="8"/>
        <v>14.708765432098765</v>
      </c>
      <c r="AW51">
        <f t="shared" si="9"/>
        <v>22.998184366666663</v>
      </c>
      <c r="AX51" s="9"/>
      <c r="AY51" s="21">
        <v>0.106506</v>
      </c>
      <c r="AZ51" s="21">
        <v>27.798400000000001</v>
      </c>
      <c r="BA51" s="21">
        <v>-1.5032999999999999E-2</v>
      </c>
      <c r="BB51" s="21">
        <v>41</v>
      </c>
      <c r="BC51" s="21">
        <v>0.105957</v>
      </c>
      <c r="BD51">
        <f t="shared" si="10"/>
        <v>18.559259259259257</v>
      </c>
      <c r="BE51">
        <f t="shared" si="11"/>
        <v>1.9766724666666664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1.55853</v>
      </c>
      <c r="H52" s="21">
        <v>5.6223000000000001</v>
      </c>
      <c r="I52" s="21">
        <v>-1.19904E-2</v>
      </c>
      <c r="J52" s="21">
        <v>42</v>
      </c>
      <c r="K52" s="21">
        <v>1.55823</v>
      </c>
      <c r="L52">
        <f t="shared" si="0"/>
        <v>14.802962962962962</v>
      </c>
      <c r="M52">
        <f t="shared" si="1"/>
        <v>23.070861866666664</v>
      </c>
      <c r="N52" s="9"/>
      <c r="O52" s="21">
        <v>0.111542</v>
      </c>
      <c r="P52" s="21">
        <v>9.3810699999999994</v>
      </c>
      <c r="Q52" s="21">
        <v>-1.50513E-2</v>
      </c>
      <c r="R52" s="21">
        <v>42</v>
      </c>
      <c r="S52" s="21">
        <v>0.11099199999999999</v>
      </c>
      <c r="T52">
        <f t="shared" si="2"/>
        <v>18.581851851851848</v>
      </c>
      <c r="U52">
        <f t="shared" si="3"/>
        <v>2.0726569192592588</v>
      </c>
      <c r="X52" s="9"/>
      <c r="Y52" s="21">
        <v>1.55853</v>
      </c>
      <c r="Z52" s="21">
        <v>14.8485</v>
      </c>
      <c r="AA52" s="21">
        <v>-1.19598E-2</v>
      </c>
      <c r="AB52" s="21">
        <v>42</v>
      </c>
      <c r="AC52" s="21">
        <v>1.55731</v>
      </c>
      <c r="AD52">
        <f t="shared" si="4"/>
        <v>14.765185185185183</v>
      </c>
      <c r="AE52">
        <f t="shared" si="5"/>
        <v>23.011984066666663</v>
      </c>
      <c r="AF52" s="9"/>
      <c r="AG52" s="21">
        <v>0.111542</v>
      </c>
      <c r="AH52" s="21">
        <v>18.607299999999999</v>
      </c>
      <c r="AI52" s="21">
        <v>-1.50452E-2</v>
      </c>
      <c r="AJ52" s="21">
        <v>42</v>
      </c>
      <c r="AK52" s="21">
        <v>0.111023</v>
      </c>
      <c r="AL52">
        <f t="shared" si="6"/>
        <v>18.574320987654321</v>
      </c>
      <c r="AM52">
        <f t="shared" si="7"/>
        <v>2.0718169116049383</v>
      </c>
      <c r="AP52" s="9"/>
      <c r="AQ52" s="21">
        <v>1.55853</v>
      </c>
      <c r="AR52" s="21">
        <v>24.049700000000001</v>
      </c>
      <c r="AS52" s="21">
        <v>-1.1987299999999999E-2</v>
      </c>
      <c r="AT52" s="21">
        <v>42</v>
      </c>
      <c r="AU52" s="21">
        <v>1.55731</v>
      </c>
      <c r="AV52">
        <f t="shared" si="8"/>
        <v>14.799135802469134</v>
      </c>
      <c r="AW52">
        <f t="shared" si="9"/>
        <v>23.06489712222222</v>
      </c>
      <c r="AX52" s="9"/>
      <c r="AY52" s="21">
        <v>0.111542</v>
      </c>
      <c r="AZ52" s="21">
        <v>27.808499999999999</v>
      </c>
      <c r="BA52" s="21">
        <v>-1.5026899999999999E-2</v>
      </c>
      <c r="BB52" s="21">
        <v>42</v>
      </c>
      <c r="BC52" s="21">
        <v>0.110931</v>
      </c>
      <c r="BD52">
        <f t="shared" si="10"/>
        <v>18.551728395061726</v>
      </c>
      <c r="BE52">
        <f t="shared" si="11"/>
        <v>2.0692968886419751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1.5535000000000001</v>
      </c>
      <c r="H53" s="21">
        <v>5.6323800000000004</v>
      </c>
      <c r="I53" s="21">
        <v>-1.20667E-2</v>
      </c>
      <c r="J53" s="21">
        <v>43</v>
      </c>
      <c r="K53" s="21">
        <v>1.55243</v>
      </c>
      <c r="L53">
        <f t="shared" si="0"/>
        <v>14.89716049382716</v>
      </c>
      <c r="M53">
        <f t="shared" si="1"/>
        <v>23.142738827160496</v>
      </c>
      <c r="N53" s="9"/>
      <c r="O53" s="21">
        <v>0.116577</v>
      </c>
      <c r="P53" s="21">
        <v>9.39114</v>
      </c>
      <c r="Q53" s="21">
        <v>-1.5036000000000001E-2</v>
      </c>
      <c r="R53" s="21">
        <v>43</v>
      </c>
      <c r="S53" s="21">
        <v>0.115936</v>
      </c>
      <c r="T53">
        <f t="shared" si="2"/>
        <v>18.562962962962963</v>
      </c>
      <c r="U53">
        <f t="shared" si="3"/>
        <v>2.1640145333333334</v>
      </c>
      <c r="X53" s="9"/>
      <c r="Y53" s="21">
        <v>1.5535000000000001</v>
      </c>
      <c r="Z53" s="21">
        <v>14.858599999999999</v>
      </c>
      <c r="AA53" s="21">
        <v>-1.2036099999999999E-2</v>
      </c>
      <c r="AB53" s="21">
        <v>43</v>
      </c>
      <c r="AC53" s="21">
        <v>1.5527299999999999</v>
      </c>
      <c r="AD53">
        <f t="shared" si="4"/>
        <v>14.85938271604938</v>
      </c>
      <c r="AE53">
        <f t="shared" si="5"/>
        <v>23.084051049382712</v>
      </c>
      <c r="AF53" s="9"/>
      <c r="AG53" s="21">
        <v>0.116577</v>
      </c>
      <c r="AH53" s="21">
        <v>18.6174</v>
      </c>
      <c r="AI53" s="21">
        <v>-1.5048199999999999E-2</v>
      </c>
      <c r="AJ53" s="21">
        <v>43</v>
      </c>
      <c r="AK53" s="21">
        <v>0.115997</v>
      </c>
      <c r="AL53">
        <f t="shared" si="6"/>
        <v>18.578024691358021</v>
      </c>
      <c r="AM53">
        <f t="shared" si="7"/>
        <v>2.165770384444444</v>
      </c>
      <c r="AP53" s="9"/>
      <c r="AQ53" s="21">
        <v>1.5535000000000001</v>
      </c>
      <c r="AR53" s="21">
        <v>24.059799999999999</v>
      </c>
      <c r="AS53" s="21">
        <v>-1.20667E-2</v>
      </c>
      <c r="AT53" s="21">
        <v>43</v>
      </c>
      <c r="AU53" s="21">
        <v>1.55243</v>
      </c>
      <c r="AV53">
        <f t="shared" si="8"/>
        <v>14.89716049382716</v>
      </c>
      <c r="AW53">
        <f t="shared" si="9"/>
        <v>23.142738827160496</v>
      </c>
      <c r="AX53" s="9"/>
      <c r="AY53" s="21">
        <v>0.116577</v>
      </c>
      <c r="AZ53" s="21">
        <v>27.8186</v>
      </c>
      <c r="BA53" s="21">
        <v>-1.5014599999999999E-2</v>
      </c>
      <c r="BB53" s="21">
        <v>43</v>
      </c>
      <c r="BC53" s="21">
        <v>0.115967</v>
      </c>
      <c r="BD53">
        <f t="shared" si="10"/>
        <v>18.536543209876541</v>
      </c>
      <c r="BE53">
        <f t="shared" si="11"/>
        <v>2.1609345977777776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1.5484599999999999</v>
      </c>
      <c r="H54" s="21">
        <v>5.6424500000000002</v>
      </c>
      <c r="I54" s="21">
        <v>-1.21338E-2</v>
      </c>
      <c r="J54" s="21">
        <v>44</v>
      </c>
      <c r="K54" s="21">
        <v>1.5478499999999999</v>
      </c>
      <c r="L54">
        <f t="shared" si="0"/>
        <v>14.979999999999999</v>
      </c>
      <c r="M54">
        <f t="shared" si="1"/>
        <v>23.195930799999996</v>
      </c>
      <c r="N54" s="9"/>
      <c r="O54" s="21">
        <v>0.121613</v>
      </c>
      <c r="P54" s="21">
        <v>9.4012100000000007</v>
      </c>
      <c r="Q54" s="21">
        <v>-1.50238E-2</v>
      </c>
      <c r="R54" s="21">
        <v>44</v>
      </c>
      <c r="S54" s="21">
        <v>0.121124</v>
      </c>
      <c r="T54">
        <f t="shared" si="2"/>
        <v>18.547901234567902</v>
      </c>
      <c r="U54">
        <f t="shared" si="3"/>
        <v>2.2556659128395062</v>
      </c>
      <c r="X54" s="9"/>
      <c r="Y54" s="21">
        <v>1.5484599999999999</v>
      </c>
      <c r="Z54" s="21">
        <v>14.8687</v>
      </c>
      <c r="AA54" s="21">
        <v>-1.2103300000000001E-2</v>
      </c>
      <c r="AB54" s="21">
        <v>44</v>
      </c>
      <c r="AC54" s="21">
        <v>1.5478499999999999</v>
      </c>
      <c r="AD54">
        <f t="shared" si="4"/>
        <v>14.942345679012346</v>
      </c>
      <c r="AE54">
        <f t="shared" si="5"/>
        <v>23.137624590123458</v>
      </c>
      <c r="AF54" s="9"/>
      <c r="AG54" s="21">
        <v>0.121613</v>
      </c>
      <c r="AH54" s="21">
        <v>18.627400000000002</v>
      </c>
      <c r="AI54" s="21">
        <v>-1.50543E-2</v>
      </c>
      <c r="AJ54" s="21">
        <v>44</v>
      </c>
      <c r="AK54" s="21">
        <v>0.121033</v>
      </c>
      <c r="AL54">
        <f t="shared" si="6"/>
        <v>18.585555555555555</v>
      </c>
      <c r="AM54">
        <f t="shared" si="7"/>
        <v>2.2602451677777777</v>
      </c>
      <c r="AP54" s="9"/>
      <c r="AQ54" s="21">
        <v>1.5484599999999999</v>
      </c>
      <c r="AR54" s="21">
        <v>24.069900000000001</v>
      </c>
      <c r="AS54" s="21">
        <v>-1.21552E-2</v>
      </c>
      <c r="AT54" s="21">
        <v>44</v>
      </c>
      <c r="AU54" s="21">
        <v>1.5478499999999999</v>
      </c>
      <c r="AV54">
        <f t="shared" si="8"/>
        <v>15.006419753086417</v>
      </c>
      <c r="AW54">
        <f t="shared" si="9"/>
        <v>23.236840730864191</v>
      </c>
      <c r="AX54" s="9"/>
      <c r="AY54" s="21">
        <v>0.121613</v>
      </c>
      <c r="AZ54" s="21">
        <v>27.828700000000001</v>
      </c>
      <c r="BA54" s="21">
        <v>-1.50055E-2</v>
      </c>
      <c r="BB54" s="21">
        <v>44</v>
      </c>
      <c r="BC54" s="21">
        <v>0.12109399999999999</v>
      </c>
      <c r="BD54">
        <f t="shared" si="10"/>
        <v>18.525308641975307</v>
      </c>
      <c r="BE54">
        <f t="shared" si="11"/>
        <v>2.252918359876543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1.5434300000000001</v>
      </c>
      <c r="H55" s="21">
        <v>5.65252</v>
      </c>
      <c r="I55" s="21">
        <v>-1.2197899999999999E-2</v>
      </c>
      <c r="J55" s="21">
        <v>45</v>
      </c>
      <c r="K55" s="21">
        <v>1.54236</v>
      </c>
      <c r="L55">
        <f t="shared" si="0"/>
        <v>15.059135802469134</v>
      </c>
      <c r="M55">
        <f t="shared" si="1"/>
        <v>23.242721971604936</v>
      </c>
      <c r="N55" s="9"/>
      <c r="O55" s="21">
        <v>0.12664800000000001</v>
      </c>
      <c r="P55" s="21">
        <v>9.4112799999999996</v>
      </c>
      <c r="Q55" s="21">
        <v>-1.5014599999999999E-2</v>
      </c>
      <c r="R55" s="21">
        <v>45</v>
      </c>
      <c r="S55" s="21">
        <v>0.12600700000000001</v>
      </c>
      <c r="T55">
        <f t="shared" si="2"/>
        <v>18.536543209876541</v>
      </c>
      <c r="U55">
        <f t="shared" si="3"/>
        <v>2.3476161244444445</v>
      </c>
      <c r="X55" s="9"/>
      <c r="Y55" s="21">
        <v>1.5434300000000001</v>
      </c>
      <c r="Z55" s="21">
        <v>14.8787</v>
      </c>
      <c r="AA55" s="21">
        <v>-1.21674E-2</v>
      </c>
      <c r="AB55" s="21">
        <v>45</v>
      </c>
      <c r="AC55" s="21">
        <v>1.5426599999999999</v>
      </c>
      <c r="AD55">
        <f t="shared" si="4"/>
        <v>15.021481481481482</v>
      </c>
      <c r="AE55">
        <f t="shared" si="5"/>
        <v>23.184605162962963</v>
      </c>
      <c r="AF55" s="9"/>
      <c r="AG55" s="21">
        <v>0.12664800000000001</v>
      </c>
      <c r="AH55" s="21">
        <v>18.637499999999999</v>
      </c>
      <c r="AI55" s="21">
        <v>-1.50604E-2</v>
      </c>
      <c r="AJ55" s="21">
        <v>45</v>
      </c>
      <c r="AK55" s="21">
        <v>0.12603800000000001</v>
      </c>
      <c r="AL55">
        <f t="shared" si="6"/>
        <v>18.593086419753085</v>
      </c>
      <c r="AM55">
        <f t="shared" si="7"/>
        <v>2.3547772088888888</v>
      </c>
      <c r="AP55" s="9"/>
      <c r="AQ55" s="21">
        <v>1.5434300000000001</v>
      </c>
      <c r="AR55" s="21">
        <v>24.08</v>
      </c>
      <c r="AS55" s="21">
        <v>-1.22314E-2</v>
      </c>
      <c r="AT55" s="21">
        <v>45</v>
      </c>
      <c r="AU55" s="21">
        <v>1.54297</v>
      </c>
      <c r="AV55">
        <f t="shared" si="8"/>
        <v>15.100493827160493</v>
      </c>
      <c r="AW55">
        <f t="shared" si="9"/>
        <v>23.306555187654322</v>
      </c>
      <c r="AX55" s="9"/>
      <c r="AY55" s="21">
        <v>0.12664800000000001</v>
      </c>
      <c r="AZ55" s="21">
        <v>27.838699999999999</v>
      </c>
      <c r="BA55" s="21">
        <v>-1.50116E-2</v>
      </c>
      <c r="BB55" s="21">
        <v>45</v>
      </c>
      <c r="BC55" s="21">
        <v>0.12609899999999999</v>
      </c>
      <c r="BD55">
        <f t="shared" si="10"/>
        <v>18.532839506172838</v>
      </c>
      <c r="BE55">
        <f t="shared" si="11"/>
        <v>2.3471470577777778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1.5383899999999999</v>
      </c>
      <c r="H56" s="21">
        <v>5.6625899999999998</v>
      </c>
      <c r="I56" s="21">
        <v>-1.2262E-2</v>
      </c>
      <c r="J56" s="21">
        <v>46</v>
      </c>
      <c r="K56" s="21">
        <v>1.53748</v>
      </c>
      <c r="L56">
        <f t="shared" si="0"/>
        <v>15.138271604938272</v>
      </c>
      <c r="M56">
        <f t="shared" si="1"/>
        <v>23.288565654320987</v>
      </c>
      <c r="N56" s="9"/>
      <c r="O56" s="21">
        <v>0.13168299999999999</v>
      </c>
      <c r="P56" s="21">
        <v>9.42136</v>
      </c>
      <c r="Q56" s="21">
        <v>-1.5002400000000001E-2</v>
      </c>
      <c r="R56" s="21">
        <v>46</v>
      </c>
      <c r="S56" s="21">
        <v>0.13122600000000001</v>
      </c>
      <c r="T56">
        <f t="shared" si="2"/>
        <v>18.521481481481484</v>
      </c>
      <c r="U56">
        <f t="shared" si="3"/>
        <v>2.4389642459259262</v>
      </c>
      <c r="X56" s="9"/>
      <c r="Y56" s="21">
        <v>1.5383899999999999</v>
      </c>
      <c r="Z56" s="21">
        <v>14.8888</v>
      </c>
      <c r="AA56" s="21">
        <v>-1.22253E-2</v>
      </c>
      <c r="AB56" s="21">
        <v>46</v>
      </c>
      <c r="AC56" s="21">
        <v>1.53748</v>
      </c>
      <c r="AD56">
        <f t="shared" si="4"/>
        <v>15.092962962962961</v>
      </c>
      <c r="AE56">
        <f t="shared" si="5"/>
        <v>23.218863292592587</v>
      </c>
      <c r="AF56" s="9"/>
      <c r="AG56" s="21">
        <v>0.13168299999999999</v>
      </c>
      <c r="AH56" s="21">
        <v>18.647600000000001</v>
      </c>
      <c r="AI56" s="21">
        <v>-1.5063500000000001E-2</v>
      </c>
      <c r="AJ56" s="21">
        <v>46</v>
      </c>
      <c r="AK56" s="21">
        <v>0.13125600000000001</v>
      </c>
      <c r="AL56">
        <f t="shared" si="6"/>
        <v>18.596913580246913</v>
      </c>
      <c r="AM56">
        <f t="shared" si="7"/>
        <v>2.448897370987654</v>
      </c>
      <c r="AP56" s="9"/>
      <c r="AQ56" s="21">
        <v>1.5383899999999999</v>
      </c>
      <c r="AR56" s="21">
        <v>24.09</v>
      </c>
      <c r="AS56" s="21">
        <v>-1.2301599999999999E-2</v>
      </c>
      <c r="AT56" s="21">
        <v>46</v>
      </c>
      <c r="AU56" s="21">
        <v>1.53687</v>
      </c>
      <c r="AV56">
        <f t="shared" si="8"/>
        <v>15.187160493827157</v>
      </c>
      <c r="AW56">
        <f t="shared" si="9"/>
        <v>23.36377583209876</v>
      </c>
      <c r="AX56" s="9"/>
      <c r="AY56" s="21">
        <v>0.13168299999999999</v>
      </c>
      <c r="AZ56" s="21">
        <v>27.848800000000001</v>
      </c>
      <c r="BA56" s="21">
        <v>-1.50055E-2</v>
      </c>
      <c r="BB56" s="21">
        <v>46</v>
      </c>
      <c r="BC56" s="21">
        <v>0.131165</v>
      </c>
      <c r="BD56">
        <f t="shared" si="10"/>
        <v>18.525308641975307</v>
      </c>
      <c r="BE56">
        <f t="shared" si="11"/>
        <v>2.4394682179012341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1.5333600000000001</v>
      </c>
      <c r="H57" s="21">
        <v>5.6726599999999996</v>
      </c>
      <c r="I57" s="21">
        <v>-1.23169E-2</v>
      </c>
      <c r="J57" s="21">
        <v>47</v>
      </c>
      <c r="K57" s="21">
        <v>1.5328999999999999</v>
      </c>
      <c r="L57">
        <f t="shared" si="0"/>
        <v>15.206049382716049</v>
      </c>
      <c r="M57">
        <f t="shared" si="1"/>
        <v>23.316347881481484</v>
      </c>
      <c r="N57" s="9"/>
      <c r="O57" s="21">
        <v>0.13671900000000001</v>
      </c>
      <c r="P57" s="21">
        <v>9.4314300000000006</v>
      </c>
      <c r="Q57" s="21">
        <v>-1.4993299999999999E-2</v>
      </c>
      <c r="R57" s="21">
        <v>47</v>
      </c>
      <c r="S57" s="21">
        <v>0.13613900000000001</v>
      </c>
      <c r="T57">
        <f t="shared" si="2"/>
        <v>18.510246913580243</v>
      </c>
      <c r="U57">
        <f t="shared" si="3"/>
        <v>2.5307024477777773</v>
      </c>
      <c r="X57" s="9"/>
      <c r="Y57" s="21">
        <v>1.5333600000000001</v>
      </c>
      <c r="Z57" s="21">
        <v>14.898899999999999</v>
      </c>
      <c r="AA57" s="21">
        <v>-1.22833E-2</v>
      </c>
      <c r="AB57" s="21">
        <v>47</v>
      </c>
      <c r="AC57" s="21">
        <v>1.5325899999999999</v>
      </c>
      <c r="AD57">
        <f t="shared" si="4"/>
        <v>15.164567901234568</v>
      </c>
      <c r="AE57">
        <f t="shared" si="5"/>
        <v>23.252741837037039</v>
      </c>
      <c r="AF57" s="9"/>
      <c r="AG57" s="21">
        <v>0.13671900000000001</v>
      </c>
      <c r="AH57" s="21">
        <v>18.657599999999999</v>
      </c>
      <c r="AI57" s="21">
        <v>-1.50574E-2</v>
      </c>
      <c r="AJ57" s="21">
        <v>47</v>
      </c>
      <c r="AK57" s="21">
        <v>0.13626099999999999</v>
      </c>
      <c r="AL57">
        <f t="shared" si="6"/>
        <v>18.589382716049382</v>
      </c>
      <c r="AM57">
        <f t="shared" si="7"/>
        <v>2.5415218155555555</v>
      </c>
      <c r="AP57" s="9"/>
      <c r="AQ57" s="21">
        <v>1.5333600000000001</v>
      </c>
      <c r="AR57" s="21">
        <v>24.100100000000001</v>
      </c>
      <c r="AS57" s="21">
        <v>-1.23596E-2</v>
      </c>
      <c r="AT57" s="21">
        <v>47</v>
      </c>
      <c r="AU57" s="21">
        <v>1.5335099999999999</v>
      </c>
      <c r="AV57">
        <f t="shared" si="8"/>
        <v>15.258765432098766</v>
      </c>
      <c r="AW57">
        <f t="shared" si="9"/>
        <v>23.397180562962966</v>
      </c>
      <c r="AX57" s="9"/>
      <c r="AY57" s="21">
        <v>0.13671900000000001</v>
      </c>
      <c r="AZ57" s="21">
        <v>27.858899999999998</v>
      </c>
      <c r="BA57" s="21">
        <v>-1.5014599999999999E-2</v>
      </c>
      <c r="BB57" s="21">
        <v>47</v>
      </c>
      <c r="BC57" s="21">
        <v>0.13610800000000001</v>
      </c>
      <c r="BD57">
        <f t="shared" si="10"/>
        <v>18.536543209876541</v>
      </c>
      <c r="BE57">
        <f t="shared" si="11"/>
        <v>2.5342976511111108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1.5283199999999999</v>
      </c>
      <c r="H58" s="21">
        <v>5.6827300000000003</v>
      </c>
      <c r="I58" s="21">
        <v>-1.2374899999999999E-2</v>
      </c>
      <c r="J58" s="21">
        <v>48</v>
      </c>
      <c r="K58" s="21">
        <v>1.5277099999999999</v>
      </c>
      <c r="L58">
        <f t="shared" si="0"/>
        <v>15.277654320987653</v>
      </c>
      <c r="M58">
        <f t="shared" si="1"/>
        <v>23.349144651851848</v>
      </c>
      <c r="N58" s="9"/>
      <c r="O58" s="21">
        <v>0.14175399999999999</v>
      </c>
      <c r="P58" s="21">
        <v>9.4414999999999996</v>
      </c>
      <c r="Q58" s="21">
        <v>-1.49841E-2</v>
      </c>
      <c r="R58" s="21">
        <v>48</v>
      </c>
      <c r="S58" s="21">
        <v>0.141266</v>
      </c>
      <c r="T58">
        <f t="shared" si="2"/>
        <v>18.498888888888889</v>
      </c>
      <c r="U58">
        <f t="shared" si="3"/>
        <v>2.6222914955555554</v>
      </c>
      <c r="X58" s="9"/>
      <c r="Y58" s="21">
        <v>1.5283199999999999</v>
      </c>
      <c r="Z58" s="21">
        <v>14.908899999999999</v>
      </c>
      <c r="AA58" s="21">
        <v>-1.2335199999999999E-2</v>
      </c>
      <c r="AB58" s="21">
        <v>48</v>
      </c>
      <c r="AC58" s="21">
        <v>1.5277099999999999</v>
      </c>
      <c r="AD58">
        <f t="shared" si="4"/>
        <v>15.228641975308641</v>
      </c>
      <c r="AE58">
        <f t="shared" si="5"/>
        <v>23.274238103703698</v>
      </c>
      <c r="AF58" s="9"/>
      <c r="AG58" s="21">
        <v>0.14175399999999999</v>
      </c>
      <c r="AH58" s="21">
        <v>18.6677</v>
      </c>
      <c r="AI58" s="21">
        <v>-1.50574E-2</v>
      </c>
      <c r="AJ58" s="21">
        <v>48</v>
      </c>
      <c r="AK58" s="21">
        <v>0.14117399999999999</v>
      </c>
      <c r="AL58">
        <f t="shared" si="6"/>
        <v>18.589382716049382</v>
      </c>
      <c r="AM58">
        <f t="shared" si="7"/>
        <v>2.635119357530864</v>
      </c>
      <c r="AP58" s="9"/>
      <c r="AQ58" s="21">
        <v>1.5283199999999999</v>
      </c>
      <c r="AR58" s="21">
        <v>24.110199999999999</v>
      </c>
      <c r="AS58" s="21">
        <v>-1.2423699999999999E-2</v>
      </c>
      <c r="AT58" s="21">
        <v>48</v>
      </c>
      <c r="AU58" s="21">
        <v>1.5277099999999999</v>
      </c>
      <c r="AV58">
        <f t="shared" si="8"/>
        <v>15.3379012345679</v>
      </c>
      <c r="AW58">
        <f t="shared" si="9"/>
        <v>23.44122121481481</v>
      </c>
      <c r="AX58" s="9"/>
      <c r="AY58" s="21">
        <v>0.14175399999999999</v>
      </c>
      <c r="AZ58" s="21">
        <v>27.8689</v>
      </c>
      <c r="BA58" s="21">
        <v>-1.50055E-2</v>
      </c>
      <c r="BB58" s="21">
        <v>48</v>
      </c>
      <c r="BC58" s="21">
        <v>0.14114399999999999</v>
      </c>
      <c r="BD58">
        <f t="shared" si="10"/>
        <v>18.525308641975307</v>
      </c>
      <c r="BE58">
        <f t="shared" si="11"/>
        <v>2.6260366012345675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1.52328</v>
      </c>
      <c r="H59" s="21">
        <v>5.6928000000000001</v>
      </c>
      <c r="I59" s="21">
        <v>-1.24329E-2</v>
      </c>
      <c r="J59" s="21">
        <v>49</v>
      </c>
      <c r="K59" s="21">
        <v>1.5231300000000001</v>
      </c>
      <c r="L59">
        <f t="shared" si="0"/>
        <v>15.349259259259259</v>
      </c>
      <c r="M59">
        <f t="shared" si="1"/>
        <v>23.381219644444442</v>
      </c>
      <c r="N59" s="9"/>
      <c r="O59" s="21">
        <v>0.14679</v>
      </c>
      <c r="P59" s="21">
        <v>9.4515700000000002</v>
      </c>
      <c r="Q59" s="21">
        <v>-1.4975E-2</v>
      </c>
      <c r="R59" s="21">
        <v>49</v>
      </c>
      <c r="S59" s="21">
        <v>0.14621000000000001</v>
      </c>
      <c r="T59">
        <f t="shared" si="2"/>
        <v>18.487654320987652</v>
      </c>
      <c r="U59">
        <f t="shared" si="3"/>
        <v>2.7138027777777776</v>
      </c>
      <c r="X59" s="9"/>
      <c r="Y59" s="21">
        <v>1.52328</v>
      </c>
      <c r="Z59" s="21">
        <v>14.919</v>
      </c>
      <c r="AA59" s="21">
        <v>-1.23932E-2</v>
      </c>
      <c r="AB59" s="21">
        <v>49</v>
      </c>
      <c r="AC59" s="21">
        <v>1.5225200000000001</v>
      </c>
      <c r="AD59">
        <f t="shared" si="4"/>
        <v>15.300246913580246</v>
      </c>
      <c r="AE59">
        <f t="shared" si="5"/>
        <v>23.306560118518515</v>
      </c>
      <c r="AF59" s="9"/>
      <c r="AG59" s="21">
        <v>0.14679</v>
      </c>
      <c r="AH59" s="21">
        <v>18.677800000000001</v>
      </c>
      <c r="AI59" s="21">
        <v>-1.50452E-2</v>
      </c>
      <c r="AJ59" s="21">
        <v>49</v>
      </c>
      <c r="AK59" s="21">
        <v>0.146179</v>
      </c>
      <c r="AL59">
        <f t="shared" si="6"/>
        <v>18.574320987654321</v>
      </c>
      <c r="AM59">
        <f t="shared" si="7"/>
        <v>2.726524577777778</v>
      </c>
      <c r="AP59" s="9"/>
      <c r="AQ59" s="21">
        <v>1.52328</v>
      </c>
      <c r="AR59" s="21">
        <v>24.120200000000001</v>
      </c>
      <c r="AS59" s="21">
        <v>-1.2478599999999999E-2</v>
      </c>
      <c r="AT59" s="21">
        <v>49</v>
      </c>
      <c r="AU59" s="21">
        <v>1.5222199999999999</v>
      </c>
      <c r="AV59">
        <f t="shared" si="8"/>
        <v>15.405679012345677</v>
      </c>
      <c r="AW59">
        <f t="shared" si="9"/>
        <v>23.467162725925924</v>
      </c>
      <c r="AX59" s="9"/>
      <c r="AY59" s="21">
        <v>0.14679</v>
      </c>
      <c r="AZ59" s="21">
        <v>27.879000000000001</v>
      </c>
      <c r="BA59" s="21">
        <v>-1.5002400000000001E-2</v>
      </c>
      <c r="BB59" s="21">
        <v>49</v>
      </c>
      <c r="BC59" s="21">
        <v>0.14621000000000001</v>
      </c>
      <c r="BD59">
        <f t="shared" si="10"/>
        <v>18.521481481481484</v>
      </c>
      <c r="BE59">
        <f t="shared" si="11"/>
        <v>2.7187682666666673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1.5182500000000001</v>
      </c>
      <c r="H60" s="21">
        <v>5.7028699999999999</v>
      </c>
      <c r="I60" s="21">
        <v>-1.24908E-2</v>
      </c>
      <c r="J60" s="21">
        <v>50</v>
      </c>
      <c r="K60" s="21">
        <v>1.5173300000000001</v>
      </c>
      <c r="L60">
        <f t="shared" si="0"/>
        <v>15.42074074074074</v>
      </c>
      <c r="M60">
        <f t="shared" si="1"/>
        <v>23.412539629629631</v>
      </c>
      <c r="N60" s="9"/>
      <c r="O60" s="21">
        <v>0.15182499999999999</v>
      </c>
      <c r="P60" s="21">
        <v>9.4616399999999992</v>
      </c>
      <c r="Q60" s="21">
        <v>-1.49658E-2</v>
      </c>
      <c r="R60" s="21">
        <v>50</v>
      </c>
      <c r="S60" s="21">
        <v>0.15121499999999999</v>
      </c>
      <c r="T60">
        <f t="shared" si="2"/>
        <v>18.476296296296297</v>
      </c>
      <c r="U60">
        <f t="shared" si="3"/>
        <v>2.8051636851851853</v>
      </c>
      <c r="X60" s="9"/>
      <c r="Y60" s="21">
        <v>1.5182500000000001</v>
      </c>
      <c r="Z60" s="21">
        <v>14.9291</v>
      </c>
      <c r="AA60" s="21">
        <v>-1.2451200000000001E-2</v>
      </c>
      <c r="AB60" s="21">
        <v>50</v>
      </c>
      <c r="AC60" s="21">
        <v>1.5179400000000001</v>
      </c>
      <c r="AD60">
        <f t="shared" si="4"/>
        <v>15.371851851851853</v>
      </c>
      <c r="AE60">
        <f t="shared" si="5"/>
        <v>23.338314074074077</v>
      </c>
      <c r="AF60" s="9"/>
      <c r="AG60" s="21">
        <v>0.15182499999999999</v>
      </c>
      <c r="AH60" s="21">
        <v>18.687799999999999</v>
      </c>
      <c r="AI60" s="21">
        <v>-1.5032999999999999E-2</v>
      </c>
      <c r="AJ60" s="21">
        <v>50</v>
      </c>
      <c r="AK60" s="21">
        <v>0.15127599999999999</v>
      </c>
      <c r="AL60">
        <f t="shared" si="6"/>
        <v>18.559259259259257</v>
      </c>
      <c r="AM60">
        <f t="shared" si="7"/>
        <v>2.8177595370370363</v>
      </c>
      <c r="AP60" s="9"/>
      <c r="AQ60" s="21">
        <v>1.5182500000000001</v>
      </c>
      <c r="AR60" s="21">
        <v>24.130299999999998</v>
      </c>
      <c r="AS60" s="21">
        <v>-1.25427E-2</v>
      </c>
      <c r="AT60" s="21">
        <v>50</v>
      </c>
      <c r="AU60" s="21">
        <v>1.5176400000000001</v>
      </c>
      <c r="AV60">
        <f t="shared" si="8"/>
        <v>15.484814814814815</v>
      </c>
      <c r="AW60">
        <f t="shared" si="9"/>
        <v>23.509820092592594</v>
      </c>
      <c r="AX60" s="9"/>
      <c r="AY60" s="21">
        <v>0.15182499999999999</v>
      </c>
      <c r="AZ60" s="21">
        <v>27.889099999999999</v>
      </c>
      <c r="BA60" s="21">
        <v>-1.5002400000000001E-2</v>
      </c>
      <c r="BB60" s="21">
        <v>50</v>
      </c>
      <c r="BC60" s="21">
        <v>0.15124499999999999</v>
      </c>
      <c r="BD60">
        <f t="shared" si="10"/>
        <v>18.521481481481484</v>
      </c>
      <c r="BE60">
        <f t="shared" si="11"/>
        <v>2.8120239259259261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1.5132099999999999</v>
      </c>
      <c r="H61" s="21">
        <v>5.7129399999999997</v>
      </c>
      <c r="I61" s="21">
        <v>-1.25519E-2</v>
      </c>
      <c r="J61" s="21">
        <v>51</v>
      </c>
      <c r="K61" s="21">
        <v>1.5127600000000001</v>
      </c>
      <c r="L61">
        <f t="shared" si="0"/>
        <v>15.496172839506173</v>
      </c>
      <c r="M61">
        <f t="shared" si="1"/>
        <v>23.448963702469136</v>
      </c>
      <c r="N61" s="9"/>
      <c r="O61" s="21">
        <v>0.15686</v>
      </c>
      <c r="P61" s="21">
        <v>9.4717099999999999</v>
      </c>
      <c r="Q61" s="21">
        <v>-1.4959699999999999E-2</v>
      </c>
      <c r="R61" s="21">
        <v>51</v>
      </c>
      <c r="S61" s="21">
        <v>0.156281</v>
      </c>
      <c r="T61">
        <f t="shared" si="2"/>
        <v>18.468765432098763</v>
      </c>
      <c r="U61">
        <f t="shared" si="3"/>
        <v>2.8970105456790121</v>
      </c>
      <c r="X61" s="9"/>
      <c r="Y61" s="21">
        <v>1.5132099999999999</v>
      </c>
      <c r="Z61" s="21">
        <v>14.9392</v>
      </c>
      <c r="AA61" s="21">
        <v>-1.25153E-2</v>
      </c>
      <c r="AB61" s="21">
        <v>51</v>
      </c>
      <c r="AC61" s="21">
        <v>1.5124500000000001</v>
      </c>
      <c r="AD61">
        <f t="shared" si="4"/>
        <v>15.450987654320988</v>
      </c>
      <c r="AE61">
        <f t="shared" si="5"/>
        <v>23.380589028395061</v>
      </c>
      <c r="AF61" s="9"/>
      <c r="AG61" s="21">
        <v>0.15686</v>
      </c>
      <c r="AH61" s="21">
        <v>18.697900000000001</v>
      </c>
      <c r="AI61" s="21">
        <v>-1.5029900000000001E-2</v>
      </c>
      <c r="AJ61" s="21">
        <v>51</v>
      </c>
      <c r="AK61" s="21">
        <v>0.156281</v>
      </c>
      <c r="AL61">
        <f t="shared" si="6"/>
        <v>18.555432098765429</v>
      </c>
      <c r="AM61">
        <f t="shared" si="7"/>
        <v>2.9106050790123454</v>
      </c>
      <c r="AP61" s="9"/>
      <c r="AQ61" s="21">
        <v>1.5132099999999999</v>
      </c>
      <c r="AR61" s="21">
        <v>24.1404</v>
      </c>
      <c r="AS61" s="21">
        <v>-1.25977E-2</v>
      </c>
      <c r="AT61" s="21">
        <v>51</v>
      </c>
      <c r="AU61" s="21">
        <v>1.5127600000000001</v>
      </c>
      <c r="AV61">
        <f t="shared" si="8"/>
        <v>15.552716049382715</v>
      </c>
      <c r="AW61">
        <f t="shared" si="9"/>
        <v>23.534525453086417</v>
      </c>
      <c r="AX61" s="9"/>
      <c r="AY61" s="21">
        <v>0.15686</v>
      </c>
      <c r="AZ61" s="21">
        <v>27.8992</v>
      </c>
      <c r="BA61" s="21">
        <v>-1.50055E-2</v>
      </c>
      <c r="BB61" s="21">
        <v>51</v>
      </c>
      <c r="BC61" s="21">
        <v>0.15634200000000001</v>
      </c>
      <c r="BD61">
        <f t="shared" si="10"/>
        <v>18.525308641975307</v>
      </c>
      <c r="BE61">
        <f t="shared" si="11"/>
        <v>2.9058799135802467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1.5081800000000001</v>
      </c>
      <c r="H62" s="21">
        <v>5.7230100000000004</v>
      </c>
      <c r="I62" s="21">
        <v>-1.26068E-2</v>
      </c>
      <c r="J62" s="21">
        <v>52</v>
      </c>
      <c r="K62" s="21">
        <v>1.50787</v>
      </c>
      <c r="L62">
        <f t="shared" si="0"/>
        <v>15.56395061728395</v>
      </c>
      <c r="M62">
        <f t="shared" si="1"/>
        <v>23.473239041975308</v>
      </c>
      <c r="N62" s="9"/>
      <c r="O62" s="21">
        <v>0.16189600000000001</v>
      </c>
      <c r="P62" s="21">
        <v>9.4817800000000005</v>
      </c>
      <c r="Q62" s="21">
        <v>-1.4953599999999999E-2</v>
      </c>
      <c r="R62" s="21">
        <v>52</v>
      </c>
      <c r="S62" s="21">
        <v>0.16140699999999999</v>
      </c>
      <c r="T62">
        <f t="shared" si="2"/>
        <v>18.461234567901233</v>
      </c>
      <c r="U62">
        <f t="shared" si="3"/>
        <v>2.9888000316049381</v>
      </c>
      <c r="X62" s="9"/>
      <c r="Y62" s="21">
        <v>1.5081800000000001</v>
      </c>
      <c r="Z62" s="21">
        <v>14.949199999999999</v>
      </c>
      <c r="AA62" s="21">
        <v>-1.25702E-2</v>
      </c>
      <c r="AB62" s="21">
        <v>52</v>
      </c>
      <c r="AC62" s="21">
        <v>1.50726</v>
      </c>
      <c r="AD62">
        <f t="shared" si="4"/>
        <v>15.518765432098766</v>
      </c>
      <c r="AE62">
        <f t="shared" si="5"/>
        <v>23.405091649382719</v>
      </c>
      <c r="AF62" s="9"/>
      <c r="AG62" s="21">
        <v>0.16189600000000001</v>
      </c>
      <c r="AH62" s="21">
        <v>18.707999999999998</v>
      </c>
      <c r="AI62" s="21">
        <v>-1.50238E-2</v>
      </c>
      <c r="AJ62" s="21">
        <v>52</v>
      </c>
      <c r="AK62" s="21">
        <v>0.16128500000000001</v>
      </c>
      <c r="AL62">
        <f t="shared" si="6"/>
        <v>18.547901234567902</v>
      </c>
      <c r="AM62">
        <f t="shared" si="7"/>
        <v>3.0028310182716051</v>
      </c>
      <c r="AP62" s="9"/>
      <c r="AQ62" s="21">
        <v>1.5081800000000001</v>
      </c>
      <c r="AR62" s="21">
        <v>24.150500000000001</v>
      </c>
      <c r="AS62" s="21">
        <v>-1.26526E-2</v>
      </c>
      <c r="AT62" s="21">
        <v>52</v>
      </c>
      <c r="AU62" s="21">
        <v>1.50726</v>
      </c>
      <c r="AV62">
        <f t="shared" si="8"/>
        <v>15.620493827160493</v>
      </c>
      <c r="AW62">
        <f t="shared" si="9"/>
        <v>23.558516380246914</v>
      </c>
      <c r="AX62" s="9"/>
      <c r="AY62" s="21">
        <v>0.16189600000000001</v>
      </c>
      <c r="AZ62" s="21">
        <v>27.909199999999998</v>
      </c>
      <c r="BA62" s="21">
        <v>-1.50116E-2</v>
      </c>
      <c r="BB62" s="21">
        <v>52</v>
      </c>
      <c r="BC62" s="21">
        <v>0.16140699999999999</v>
      </c>
      <c r="BD62">
        <f t="shared" si="10"/>
        <v>18.532839506172838</v>
      </c>
      <c r="BE62">
        <f t="shared" si="11"/>
        <v>3.0003925846913582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1.5031399999999999</v>
      </c>
      <c r="H63" s="21">
        <v>5.7330899999999998</v>
      </c>
      <c r="I63" s="21">
        <v>-1.2655599999999999E-2</v>
      </c>
      <c r="J63" s="21">
        <v>53</v>
      </c>
      <c r="K63" s="21">
        <v>1.50238</v>
      </c>
      <c r="L63">
        <f t="shared" si="0"/>
        <v>15.624197530864196</v>
      </c>
      <c r="M63">
        <f t="shared" si="1"/>
        <v>23.485356276543207</v>
      </c>
      <c r="N63" s="9"/>
      <c r="O63" s="21">
        <v>0.166931</v>
      </c>
      <c r="P63" s="21">
        <v>9.4918499999999995</v>
      </c>
      <c r="Q63" s="21">
        <v>-1.49658E-2</v>
      </c>
      <c r="R63" s="21">
        <v>53</v>
      </c>
      <c r="S63" s="21">
        <v>0.166321</v>
      </c>
      <c r="T63">
        <f t="shared" si="2"/>
        <v>18.476296296296297</v>
      </c>
      <c r="U63">
        <f t="shared" si="3"/>
        <v>3.084266617037037</v>
      </c>
      <c r="X63" s="9"/>
      <c r="Y63" s="21">
        <v>1.5031399999999999</v>
      </c>
      <c r="Z63" s="21">
        <v>14.959300000000001</v>
      </c>
      <c r="AA63" s="21">
        <v>-1.2619E-2</v>
      </c>
      <c r="AB63" s="21">
        <v>53</v>
      </c>
      <c r="AC63" s="21">
        <v>1.5020800000000001</v>
      </c>
      <c r="AD63">
        <f t="shared" si="4"/>
        <v>15.579012345679011</v>
      </c>
      <c r="AE63">
        <f t="shared" si="5"/>
        <v>23.417436617283947</v>
      </c>
      <c r="AF63" s="9"/>
      <c r="AG63" s="21">
        <v>0.166931</v>
      </c>
      <c r="AH63" s="21">
        <v>18.7181</v>
      </c>
      <c r="AI63" s="21">
        <v>-1.50238E-2</v>
      </c>
      <c r="AJ63" s="21">
        <v>53</v>
      </c>
      <c r="AK63" s="21">
        <v>0.166412</v>
      </c>
      <c r="AL63">
        <f t="shared" si="6"/>
        <v>18.547901234567902</v>
      </c>
      <c r="AM63">
        <f t="shared" si="7"/>
        <v>3.0962197009876546</v>
      </c>
      <c r="AP63" s="9"/>
      <c r="AQ63" s="21">
        <v>1.5031399999999999</v>
      </c>
      <c r="AR63" s="21">
        <v>24.160499999999999</v>
      </c>
      <c r="AS63" s="21">
        <v>-1.26984E-2</v>
      </c>
      <c r="AT63" s="21">
        <v>53</v>
      </c>
      <c r="AU63" s="21">
        <v>1.50299</v>
      </c>
      <c r="AV63">
        <f t="shared" si="8"/>
        <v>15.677037037037039</v>
      </c>
      <c r="AW63">
        <f t="shared" si="9"/>
        <v>23.564781451851854</v>
      </c>
      <c r="AX63" s="9"/>
      <c r="AY63" s="21">
        <v>0.166931</v>
      </c>
      <c r="AZ63" s="21">
        <v>27.9193</v>
      </c>
      <c r="BA63" s="21">
        <v>-1.5008499999999999E-2</v>
      </c>
      <c r="BB63" s="21">
        <v>53</v>
      </c>
      <c r="BC63" s="21">
        <v>0.16622899999999999</v>
      </c>
      <c r="BD63">
        <f t="shared" si="10"/>
        <v>18.529012345679011</v>
      </c>
      <c r="BE63">
        <f t="shared" si="11"/>
        <v>3.0930665598765428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1.4981100000000001</v>
      </c>
      <c r="H64" s="21">
        <v>5.7431599999999996</v>
      </c>
      <c r="I64" s="21">
        <v>-1.26953E-2</v>
      </c>
      <c r="J64" s="21">
        <v>54</v>
      </c>
      <c r="K64" s="21">
        <v>1.49719</v>
      </c>
      <c r="L64">
        <f t="shared" si="0"/>
        <v>15.67320987654321</v>
      </c>
      <c r="M64">
        <f t="shared" si="1"/>
        <v>23.480192448148149</v>
      </c>
      <c r="N64" s="9"/>
      <c r="O64" s="21">
        <v>0.17196700000000001</v>
      </c>
      <c r="P64" s="21">
        <v>9.5019200000000001</v>
      </c>
      <c r="Q64" s="21">
        <v>-1.4981100000000001E-2</v>
      </c>
      <c r="R64" s="21">
        <v>54</v>
      </c>
      <c r="S64" s="21">
        <v>0.17144799999999999</v>
      </c>
      <c r="T64">
        <f t="shared" si="2"/>
        <v>18.495185185185186</v>
      </c>
      <c r="U64">
        <f t="shared" si="3"/>
        <v>3.1805615107407408</v>
      </c>
      <c r="X64" s="9"/>
      <c r="Y64" s="21">
        <v>1.4981100000000001</v>
      </c>
      <c r="Z64" s="21">
        <v>14.9694</v>
      </c>
      <c r="AA64" s="21">
        <v>-1.26617E-2</v>
      </c>
      <c r="AB64" s="21">
        <v>54</v>
      </c>
      <c r="AC64" s="21">
        <v>1.49719</v>
      </c>
      <c r="AD64">
        <f t="shared" si="4"/>
        <v>15.631728395061728</v>
      </c>
      <c r="AE64">
        <f t="shared" si="5"/>
        <v>23.418048625925927</v>
      </c>
      <c r="AF64" s="9"/>
      <c r="AG64" s="21">
        <v>0.17196700000000001</v>
      </c>
      <c r="AH64" s="21">
        <v>18.728100000000001</v>
      </c>
      <c r="AI64" s="21">
        <v>-1.5020800000000001E-2</v>
      </c>
      <c r="AJ64" s="21">
        <v>54</v>
      </c>
      <c r="AK64" s="21">
        <v>0.17138700000000001</v>
      </c>
      <c r="AL64">
        <f t="shared" si="6"/>
        <v>18.544197530864199</v>
      </c>
      <c r="AM64">
        <f t="shared" si="7"/>
        <v>3.1889900167901239</v>
      </c>
      <c r="AP64" s="9"/>
      <c r="AQ64" s="21">
        <v>1.4981100000000001</v>
      </c>
      <c r="AR64" s="21">
        <v>24.1706</v>
      </c>
      <c r="AS64" s="21">
        <v>-1.27411E-2</v>
      </c>
      <c r="AT64" s="21">
        <v>54</v>
      </c>
      <c r="AU64" s="21">
        <v>1.49719</v>
      </c>
      <c r="AV64">
        <f t="shared" si="8"/>
        <v>15.729753086419752</v>
      </c>
      <c r="AW64">
        <f t="shared" si="9"/>
        <v>23.564900396296295</v>
      </c>
      <c r="AX64" s="9"/>
      <c r="AY64" s="21">
        <v>0.17196700000000001</v>
      </c>
      <c r="AZ64" s="21">
        <v>27.929400000000001</v>
      </c>
      <c r="BA64" s="21">
        <v>-1.5014599999999999E-2</v>
      </c>
      <c r="BB64" s="21">
        <v>54</v>
      </c>
      <c r="BC64" s="21">
        <v>0.17135600000000001</v>
      </c>
      <c r="BD64">
        <f t="shared" si="10"/>
        <v>18.536543209876541</v>
      </c>
      <c r="BE64">
        <f t="shared" si="11"/>
        <v>3.1876737261728394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1.4930699999999999</v>
      </c>
      <c r="H65" s="21">
        <v>5.7532300000000003</v>
      </c>
      <c r="I65" s="21">
        <v>-1.2735E-2</v>
      </c>
      <c r="J65" s="21">
        <v>55</v>
      </c>
      <c r="K65" s="21">
        <v>1.49231</v>
      </c>
      <c r="L65">
        <f t="shared" si="0"/>
        <v>15.722222222222221</v>
      </c>
      <c r="M65">
        <f t="shared" si="1"/>
        <v>23.47437833333333</v>
      </c>
      <c r="N65" s="9"/>
      <c r="O65" s="21">
        <v>0.17700199999999999</v>
      </c>
      <c r="P65" s="21">
        <v>9.5119900000000008</v>
      </c>
      <c r="Q65" s="21">
        <v>-1.4996300000000001E-2</v>
      </c>
      <c r="R65" s="21">
        <v>55</v>
      </c>
      <c r="S65" s="21">
        <v>0.17636099999999999</v>
      </c>
      <c r="T65">
        <f t="shared" si="2"/>
        <v>18.51395061728395</v>
      </c>
      <c r="U65">
        <f t="shared" si="3"/>
        <v>3.2770062871604937</v>
      </c>
      <c r="X65" s="9"/>
      <c r="Y65" s="21">
        <v>1.4930699999999999</v>
      </c>
      <c r="Z65" s="21">
        <v>14.9794</v>
      </c>
      <c r="AA65" s="21">
        <v>-1.27075E-2</v>
      </c>
      <c r="AB65" s="21">
        <v>55</v>
      </c>
      <c r="AC65" s="21">
        <v>1.4917</v>
      </c>
      <c r="AD65">
        <f t="shared" si="4"/>
        <v>15.68827160493827</v>
      </c>
      <c r="AE65">
        <f t="shared" si="5"/>
        <v>23.423687685185183</v>
      </c>
      <c r="AF65" s="9"/>
      <c r="AG65" s="21">
        <v>0.17700199999999999</v>
      </c>
      <c r="AH65" s="21">
        <v>18.738199999999999</v>
      </c>
      <c r="AI65" s="21">
        <v>-1.50238E-2</v>
      </c>
      <c r="AJ65" s="21">
        <v>55</v>
      </c>
      <c r="AK65" s="21">
        <v>0.17633099999999999</v>
      </c>
      <c r="AL65">
        <f t="shared" si="6"/>
        <v>18.547901234567902</v>
      </c>
      <c r="AM65">
        <f t="shared" si="7"/>
        <v>3.2830156143209877</v>
      </c>
      <c r="AP65" s="9"/>
      <c r="AQ65" s="21">
        <v>1.4930699999999999</v>
      </c>
      <c r="AR65" s="21">
        <v>24.180700000000002</v>
      </c>
      <c r="AS65" s="21">
        <v>-1.27838E-2</v>
      </c>
      <c r="AT65" s="21">
        <v>55</v>
      </c>
      <c r="AU65" s="21">
        <v>1.49292</v>
      </c>
      <c r="AV65">
        <f t="shared" si="8"/>
        <v>15.782469135802467</v>
      </c>
      <c r="AW65">
        <f t="shared" si="9"/>
        <v>23.564331192592586</v>
      </c>
      <c r="AX65" s="9"/>
      <c r="AY65" s="21">
        <v>0.17700199999999999</v>
      </c>
      <c r="AZ65" s="21">
        <v>27.939399999999999</v>
      </c>
      <c r="BA65" s="21">
        <v>-1.50116E-2</v>
      </c>
      <c r="BB65" s="21">
        <v>55</v>
      </c>
      <c r="BC65" s="21">
        <v>0.176483</v>
      </c>
      <c r="BD65">
        <f t="shared" si="10"/>
        <v>18.532839506172838</v>
      </c>
      <c r="BE65">
        <f t="shared" si="11"/>
        <v>3.2803496582716045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1.48804</v>
      </c>
      <c r="H66" s="21">
        <v>5.7633000000000001</v>
      </c>
      <c r="I66" s="21">
        <v>-1.2777699999999999E-2</v>
      </c>
      <c r="J66" s="21">
        <v>56</v>
      </c>
      <c r="K66" s="21">
        <v>1.48773</v>
      </c>
      <c r="L66">
        <f t="shared" si="0"/>
        <v>15.774938271604935</v>
      </c>
      <c r="M66">
        <f t="shared" si="1"/>
        <v>23.473739145679009</v>
      </c>
      <c r="N66" s="9"/>
      <c r="O66" s="21">
        <v>0.182037</v>
      </c>
      <c r="P66" s="21">
        <v>9.5220699999999994</v>
      </c>
      <c r="Q66" s="21">
        <v>-1.50116E-2</v>
      </c>
      <c r="R66" s="21">
        <v>56</v>
      </c>
      <c r="S66" s="21">
        <v>0.18154899999999999</v>
      </c>
      <c r="T66">
        <f t="shared" si="2"/>
        <v>18.532839506172838</v>
      </c>
      <c r="U66">
        <f t="shared" si="3"/>
        <v>3.3736625051851852</v>
      </c>
      <c r="X66" s="9"/>
      <c r="Y66" s="21">
        <v>1.48804</v>
      </c>
      <c r="Z66" s="21">
        <v>14.9895</v>
      </c>
      <c r="AA66" s="21">
        <v>-1.27533E-2</v>
      </c>
      <c r="AB66" s="21">
        <v>56</v>
      </c>
      <c r="AC66" s="21">
        <v>1.48712</v>
      </c>
      <c r="AD66">
        <f t="shared" si="4"/>
        <v>15.744814814814816</v>
      </c>
      <c r="AE66">
        <f t="shared" si="5"/>
        <v>23.428914237037041</v>
      </c>
      <c r="AF66" s="9"/>
      <c r="AG66" s="21">
        <v>0.182037</v>
      </c>
      <c r="AH66" s="21">
        <v>18.7483</v>
      </c>
      <c r="AI66" s="21">
        <v>-1.5029900000000001E-2</v>
      </c>
      <c r="AJ66" s="21">
        <v>56</v>
      </c>
      <c r="AK66" s="21">
        <v>0.18148800000000001</v>
      </c>
      <c r="AL66">
        <f t="shared" si="6"/>
        <v>18.555432098765429</v>
      </c>
      <c r="AM66">
        <f t="shared" si="7"/>
        <v>3.3777751929629627</v>
      </c>
      <c r="AP66" s="9"/>
      <c r="AQ66" s="21">
        <v>1.48804</v>
      </c>
      <c r="AR66" s="21">
        <v>24.1907</v>
      </c>
      <c r="AS66" s="21">
        <v>-1.28235E-2</v>
      </c>
      <c r="AT66" s="21">
        <v>56</v>
      </c>
      <c r="AU66" s="21">
        <v>1.48773</v>
      </c>
      <c r="AV66">
        <f t="shared" si="8"/>
        <v>15.831481481481481</v>
      </c>
      <c r="AW66">
        <f t="shared" si="9"/>
        <v>23.557877703703703</v>
      </c>
      <c r="AX66" s="9"/>
      <c r="AY66" s="21">
        <v>0.182037</v>
      </c>
      <c r="AZ66" s="21">
        <v>27.9495</v>
      </c>
      <c r="BA66" s="21">
        <v>-1.50116E-2</v>
      </c>
      <c r="BB66" s="21">
        <v>56</v>
      </c>
      <c r="BC66" s="21">
        <v>0.181427</v>
      </c>
      <c r="BD66">
        <f t="shared" si="10"/>
        <v>18.532839506172838</v>
      </c>
      <c r="BE66">
        <f t="shared" si="11"/>
        <v>3.3736625051851852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1.4830000000000001</v>
      </c>
      <c r="H67" s="21">
        <v>5.7733699999999999</v>
      </c>
      <c r="I67" s="21">
        <v>-1.2820399999999999E-2</v>
      </c>
      <c r="J67" s="21">
        <v>57</v>
      </c>
      <c r="K67" s="21">
        <v>1.48224</v>
      </c>
      <c r="L67">
        <f t="shared" si="0"/>
        <v>15.827654320987653</v>
      </c>
      <c r="M67">
        <f t="shared" si="1"/>
        <v>23.47241135802469</v>
      </c>
      <c r="N67" s="9"/>
      <c r="O67" s="21">
        <v>0.18707299999999999</v>
      </c>
      <c r="P67" s="21">
        <v>9.5321400000000001</v>
      </c>
      <c r="Q67" s="21">
        <v>-1.5014599999999999E-2</v>
      </c>
      <c r="R67" s="21">
        <v>57</v>
      </c>
      <c r="S67" s="21">
        <v>0.18649299999999999</v>
      </c>
      <c r="T67">
        <f t="shared" si="2"/>
        <v>18.536543209876541</v>
      </c>
      <c r="U67">
        <f t="shared" si="3"/>
        <v>3.4676867479012339</v>
      </c>
      <c r="X67" s="9"/>
      <c r="Y67" s="21">
        <v>1.4830000000000001</v>
      </c>
      <c r="Z67" s="21">
        <v>14.999599999999999</v>
      </c>
      <c r="AA67" s="21">
        <v>-1.2796E-2</v>
      </c>
      <c r="AB67" s="21">
        <v>57</v>
      </c>
      <c r="AC67" s="21">
        <v>1.48193</v>
      </c>
      <c r="AD67">
        <f t="shared" si="4"/>
        <v>15.79753086419753</v>
      </c>
      <c r="AE67">
        <f t="shared" si="5"/>
        <v>23.427738271604937</v>
      </c>
      <c r="AF67" s="9"/>
      <c r="AG67" s="21">
        <v>0.18707299999999999</v>
      </c>
      <c r="AH67" s="21">
        <v>18.758299999999998</v>
      </c>
      <c r="AI67" s="21">
        <v>-1.5029900000000001E-2</v>
      </c>
      <c r="AJ67" s="21">
        <v>57</v>
      </c>
      <c r="AK67" s="21">
        <v>0.18649299999999999</v>
      </c>
      <c r="AL67">
        <f t="shared" si="6"/>
        <v>18.555432098765429</v>
      </c>
      <c r="AM67">
        <f t="shared" si="7"/>
        <v>3.471220349012345</v>
      </c>
      <c r="AP67" s="9"/>
      <c r="AQ67" s="21">
        <v>1.4830000000000001</v>
      </c>
      <c r="AR67" s="21">
        <v>24.200800000000001</v>
      </c>
      <c r="AS67" s="21">
        <v>-1.28632E-2</v>
      </c>
      <c r="AT67" s="21">
        <v>57</v>
      </c>
      <c r="AU67" s="21">
        <v>1.48254</v>
      </c>
      <c r="AV67">
        <f t="shared" si="8"/>
        <v>15.880493827160493</v>
      </c>
      <c r="AW67">
        <f t="shared" si="9"/>
        <v>23.550772345679011</v>
      </c>
      <c r="AX67" s="9"/>
      <c r="AY67" s="21">
        <v>0.18707299999999999</v>
      </c>
      <c r="AZ67" s="21">
        <v>27.959599999999998</v>
      </c>
      <c r="BA67" s="21">
        <v>-1.5014599999999999E-2</v>
      </c>
      <c r="BB67" s="21">
        <v>57</v>
      </c>
      <c r="BC67" s="21">
        <v>0.18646199999999999</v>
      </c>
      <c r="BD67">
        <f t="shared" si="10"/>
        <v>18.536543209876541</v>
      </c>
      <c r="BE67">
        <f t="shared" si="11"/>
        <v>3.4676867479012339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1.47797</v>
      </c>
      <c r="H68" s="21">
        <v>5.7834399999999997</v>
      </c>
      <c r="I68" s="21">
        <v>-1.2860099999999999E-2</v>
      </c>
      <c r="J68" s="21">
        <v>58</v>
      </c>
      <c r="K68" s="21">
        <v>1.47705</v>
      </c>
      <c r="L68">
        <f t="shared" si="0"/>
        <v>15.876666666666663</v>
      </c>
      <c r="M68">
        <f t="shared" si="1"/>
        <v>23.465237033333327</v>
      </c>
      <c r="N68" s="9"/>
      <c r="O68" s="21">
        <v>0.192108</v>
      </c>
      <c r="P68" s="21">
        <v>9.5422100000000007</v>
      </c>
      <c r="Q68" s="21">
        <v>-1.50116E-2</v>
      </c>
      <c r="R68" s="21">
        <v>58</v>
      </c>
      <c r="S68" s="21">
        <v>0.19158900000000001</v>
      </c>
      <c r="T68">
        <f t="shared" si="2"/>
        <v>18.532839506172838</v>
      </c>
      <c r="U68">
        <f t="shared" si="3"/>
        <v>3.5603067318518518</v>
      </c>
      <c r="X68" s="9"/>
      <c r="Y68" s="21">
        <v>1.47797</v>
      </c>
      <c r="Z68" s="21">
        <v>15.0097</v>
      </c>
      <c r="AA68" s="21">
        <v>-1.28357E-2</v>
      </c>
      <c r="AB68" s="21">
        <v>58</v>
      </c>
      <c r="AC68" s="21">
        <v>1.47736</v>
      </c>
      <c r="AD68">
        <f t="shared" si="4"/>
        <v>15.846543209876542</v>
      </c>
      <c r="AE68">
        <f t="shared" si="5"/>
        <v>23.420715467901232</v>
      </c>
      <c r="AF68" s="9"/>
      <c r="AG68" s="21">
        <v>0.192108</v>
      </c>
      <c r="AH68" s="21">
        <v>18.7684</v>
      </c>
      <c r="AI68" s="21">
        <v>-1.5029900000000001E-2</v>
      </c>
      <c r="AJ68" s="21">
        <v>58</v>
      </c>
      <c r="AK68" s="21">
        <v>0.19158900000000001</v>
      </c>
      <c r="AL68">
        <f t="shared" si="6"/>
        <v>18.555432098765429</v>
      </c>
      <c r="AM68">
        <f t="shared" si="7"/>
        <v>3.5646469496296289</v>
      </c>
      <c r="AP68" s="9"/>
      <c r="AQ68" s="21">
        <v>1.47797</v>
      </c>
      <c r="AR68" s="21">
        <v>24.210899999999999</v>
      </c>
      <c r="AS68" s="21">
        <v>-1.2908899999999999E-2</v>
      </c>
      <c r="AT68" s="21">
        <v>58</v>
      </c>
      <c r="AU68" s="21">
        <v>1.47705</v>
      </c>
      <c r="AV68">
        <f t="shared" si="8"/>
        <v>15.936913580246911</v>
      </c>
      <c r="AW68">
        <f t="shared" si="9"/>
        <v>23.554280164197525</v>
      </c>
      <c r="AX68" s="9"/>
      <c r="AY68" s="21">
        <v>0.192108</v>
      </c>
      <c r="AZ68" s="21">
        <v>27.9696</v>
      </c>
      <c r="BA68" s="21">
        <v>-1.50177E-2</v>
      </c>
      <c r="BB68" s="21">
        <v>58</v>
      </c>
      <c r="BC68" s="21">
        <v>0.19155900000000001</v>
      </c>
      <c r="BD68">
        <f t="shared" si="10"/>
        <v>18.540370370370372</v>
      </c>
      <c r="BE68">
        <f t="shared" si="11"/>
        <v>3.5617534711111114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1.4729300000000001</v>
      </c>
      <c r="H69" s="21">
        <v>5.7935100000000004</v>
      </c>
      <c r="I69" s="21">
        <v>-1.2896700000000001E-2</v>
      </c>
      <c r="J69" s="21">
        <v>59</v>
      </c>
      <c r="K69" s="21">
        <v>1.4724699999999999</v>
      </c>
      <c r="L69">
        <f t="shared" si="0"/>
        <v>15.92185185185185</v>
      </c>
      <c r="M69">
        <f t="shared" si="1"/>
        <v>23.451773248148147</v>
      </c>
      <c r="N69" s="9"/>
      <c r="O69" s="21">
        <v>0.19714400000000001</v>
      </c>
      <c r="P69" s="21">
        <v>9.5522799999999997</v>
      </c>
      <c r="Q69" s="21">
        <v>-1.50055E-2</v>
      </c>
      <c r="R69" s="21">
        <v>59</v>
      </c>
      <c r="S69" s="21">
        <v>0.19650300000000001</v>
      </c>
      <c r="T69">
        <f t="shared" si="2"/>
        <v>18.525308641975307</v>
      </c>
      <c r="U69">
        <f t="shared" si="3"/>
        <v>3.6521534469135801</v>
      </c>
      <c r="X69" s="9"/>
      <c r="Y69" s="21">
        <v>1.4729300000000001</v>
      </c>
      <c r="Z69" s="21">
        <v>15.0197</v>
      </c>
      <c r="AA69" s="21">
        <v>-1.28723E-2</v>
      </c>
      <c r="AB69" s="21">
        <v>59</v>
      </c>
      <c r="AC69" s="21">
        <v>1.4718599999999999</v>
      </c>
      <c r="AD69">
        <f t="shared" si="4"/>
        <v>15.891728395061728</v>
      </c>
      <c r="AE69">
        <f t="shared" si="5"/>
        <v>23.407403504938273</v>
      </c>
      <c r="AF69" s="9"/>
      <c r="AG69" s="21">
        <v>0.19714400000000001</v>
      </c>
      <c r="AH69" s="21">
        <v>18.778500000000001</v>
      </c>
      <c r="AI69" s="21">
        <v>-1.5029900000000001E-2</v>
      </c>
      <c r="AJ69" s="21">
        <v>59</v>
      </c>
      <c r="AK69" s="21">
        <v>0.19650300000000001</v>
      </c>
      <c r="AL69">
        <f t="shared" si="6"/>
        <v>18.555432098765429</v>
      </c>
      <c r="AM69">
        <f t="shared" si="7"/>
        <v>3.6580921056790121</v>
      </c>
      <c r="AP69" s="9"/>
      <c r="AQ69" s="21">
        <v>1.4729300000000001</v>
      </c>
      <c r="AR69" s="21">
        <v>24.221</v>
      </c>
      <c r="AS69" s="21">
        <v>-1.29517E-2</v>
      </c>
      <c r="AT69" s="21">
        <v>59</v>
      </c>
      <c r="AU69" s="21">
        <v>1.47278</v>
      </c>
      <c r="AV69">
        <f t="shared" si="8"/>
        <v>15.989753086419752</v>
      </c>
      <c r="AW69">
        <f t="shared" si="9"/>
        <v>23.551787013580245</v>
      </c>
      <c r="AX69" s="9"/>
      <c r="AY69" s="21">
        <v>0.19714400000000001</v>
      </c>
      <c r="AZ69" s="21">
        <v>27.979700000000001</v>
      </c>
      <c r="BA69" s="21">
        <v>-1.5020800000000001E-2</v>
      </c>
      <c r="BB69" s="21">
        <v>59</v>
      </c>
      <c r="BC69" s="21">
        <v>0.19662499999999999</v>
      </c>
      <c r="BD69">
        <f t="shared" si="10"/>
        <v>18.544197530864199</v>
      </c>
      <c r="BE69">
        <f t="shared" si="11"/>
        <v>3.655877278024692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1.4679</v>
      </c>
      <c r="H70" s="21">
        <v>5.8035800000000002</v>
      </c>
      <c r="I70" s="21">
        <v>-1.29333E-2</v>
      </c>
      <c r="J70" s="21">
        <v>60</v>
      </c>
      <c r="K70" s="21">
        <v>1.46729</v>
      </c>
      <c r="L70">
        <f t="shared" si="0"/>
        <v>15.967037037037036</v>
      </c>
      <c r="M70">
        <f t="shared" si="1"/>
        <v>23.438013666666667</v>
      </c>
      <c r="N70" s="9"/>
      <c r="O70" s="21">
        <v>0.202179</v>
      </c>
      <c r="P70" s="21">
        <v>9.5623500000000003</v>
      </c>
      <c r="Q70" s="21">
        <v>-1.50055E-2</v>
      </c>
      <c r="R70" s="21">
        <v>60</v>
      </c>
      <c r="S70" s="21">
        <v>0.201569</v>
      </c>
      <c r="T70">
        <f t="shared" si="2"/>
        <v>18.525308641975307</v>
      </c>
      <c r="U70">
        <f t="shared" si="3"/>
        <v>3.7454283759259255</v>
      </c>
      <c r="X70" s="9"/>
      <c r="Y70" s="21">
        <v>1.4679</v>
      </c>
      <c r="Z70" s="21">
        <v>15.0298</v>
      </c>
      <c r="AA70" s="21">
        <v>-1.2914999999999999E-2</v>
      </c>
      <c r="AB70" s="21">
        <v>60</v>
      </c>
      <c r="AC70" s="21">
        <v>1.46698</v>
      </c>
      <c r="AD70">
        <f t="shared" si="4"/>
        <v>15.944444444444441</v>
      </c>
      <c r="AE70">
        <f t="shared" si="5"/>
        <v>23.404849999999996</v>
      </c>
      <c r="AF70" s="9"/>
      <c r="AG70" s="21">
        <v>0.202179</v>
      </c>
      <c r="AH70" s="21">
        <v>18.788599999999999</v>
      </c>
      <c r="AI70" s="21">
        <v>-1.5029900000000001E-2</v>
      </c>
      <c r="AJ70" s="21">
        <v>60</v>
      </c>
      <c r="AK70" s="21">
        <v>0.201569</v>
      </c>
      <c r="AL70">
        <f t="shared" si="6"/>
        <v>18.555432098765429</v>
      </c>
      <c r="AM70">
        <f t="shared" si="7"/>
        <v>3.7515187062962956</v>
      </c>
      <c r="AP70" s="9"/>
      <c r="AQ70" s="21">
        <v>1.4679</v>
      </c>
      <c r="AR70" s="21">
        <v>24.231000000000002</v>
      </c>
      <c r="AS70" s="21">
        <v>-1.29944E-2</v>
      </c>
      <c r="AT70" s="21">
        <v>60</v>
      </c>
      <c r="AU70" s="21">
        <v>1.46729</v>
      </c>
      <c r="AV70">
        <f t="shared" si="8"/>
        <v>16.042469135802467</v>
      </c>
      <c r="AW70">
        <f t="shared" si="9"/>
        <v>23.548740444444441</v>
      </c>
      <c r="AX70" s="9"/>
      <c r="AY70" s="21">
        <v>0.202179</v>
      </c>
      <c r="AZ70" s="21">
        <v>27.989799999999999</v>
      </c>
      <c r="BA70" s="21">
        <v>-1.50116E-2</v>
      </c>
      <c r="BB70" s="21">
        <v>60</v>
      </c>
      <c r="BC70" s="21">
        <v>0.20163</v>
      </c>
      <c r="BD70">
        <f t="shared" si="10"/>
        <v>18.532839506172838</v>
      </c>
      <c r="BE70">
        <f t="shared" si="11"/>
        <v>3.7469509585185183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1.46286</v>
      </c>
      <c r="H71" s="21">
        <v>5.81365</v>
      </c>
      <c r="I71" s="21">
        <v>-1.2973E-2</v>
      </c>
      <c r="J71" s="21">
        <v>61</v>
      </c>
      <c r="K71" s="21">
        <v>1.46271</v>
      </c>
      <c r="L71">
        <f t="shared" si="0"/>
        <v>16.016049382716048</v>
      </c>
      <c r="M71">
        <f t="shared" si="1"/>
        <v>23.429237999999998</v>
      </c>
      <c r="N71" s="9"/>
      <c r="O71" s="21">
        <v>0.20721400000000001</v>
      </c>
      <c r="P71" s="21">
        <v>9.5724199999999993</v>
      </c>
      <c r="Q71" s="21">
        <v>-1.50116E-2</v>
      </c>
      <c r="R71" s="21">
        <v>61</v>
      </c>
      <c r="S71" s="21">
        <v>0.20669599999999999</v>
      </c>
      <c r="T71">
        <f t="shared" si="2"/>
        <v>18.532839506172838</v>
      </c>
      <c r="U71">
        <f t="shared" si="3"/>
        <v>3.8402638054320986</v>
      </c>
      <c r="X71" s="9"/>
      <c r="Y71" s="21">
        <v>1.46286</v>
      </c>
      <c r="Z71" s="21">
        <v>15.039899999999999</v>
      </c>
      <c r="AA71" s="21">
        <v>-1.29456E-2</v>
      </c>
      <c r="AB71" s="21">
        <v>61</v>
      </c>
      <c r="AC71" s="21">
        <v>1.4623999999999999</v>
      </c>
      <c r="AD71">
        <f t="shared" si="4"/>
        <v>15.982222222222221</v>
      </c>
      <c r="AE71">
        <f t="shared" si="5"/>
        <v>23.379753600000001</v>
      </c>
      <c r="AF71" s="9"/>
      <c r="AG71" s="21">
        <v>0.20721400000000001</v>
      </c>
      <c r="AH71" s="21">
        <v>18.7986</v>
      </c>
      <c r="AI71" s="21">
        <v>-1.5029900000000001E-2</v>
      </c>
      <c r="AJ71" s="21">
        <v>61</v>
      </c>
      <c r="AK71" s="21">
        <v>0.20660400000000001</v>
      </c>
      <c r="AL71">
        <f t="shared" si="6"/>
        <v>18.555432098765429</v>
      </c>
      <c r="AM71">
        <f t="shared" si="7"/>
        <v>3.8449453069135799</v>
      </c>
      <c r="AP71" s="9"/>
      <c r="AQ71" s="21">
        <v>1.46286</v>
      </c>
      <c r="AR71" s="21">
        <v>24.241099999999999</v>
      </c>
      <c r="AS71" s="21">
        <v>-1.3030999999999999E-2</v>
      </c>
      <c r="AT71" s="21">
        <v>61</v>
      </c>
      <c r="AU71" s="21">
        <v>1.4621</v>
      </c>
      <c r="AV71">
        <f t="shared" si="8"/>
        <v>16.087654320987653</v>
      </c>
      <c r="AW71">
        <f t="shared" si="9"/>
        <v>23.533985999999999</v>
      </c>
      <c r="AX71" s="9"/>
      <c r="AY71" s="21">
        <v>0.20721400000000001</v>
      </c>
      <c r="AZ71" s="21">
        <v>27.9999</v>
      </c>
      <c r="BA71" s="21">
        <v>-1.50116E-2</v>
      </c>
      <c r="BB71" s="21">
        <v>61</v>
      </c>
      <c r="BC71" s="21">
        <v>0.20666499999999999</v>
      </c>
      <c r="BD71">
        <f t="shared" si="10"/>
        <v>18.532839506172838</v>
      </c>
      <c r="BE71">
        <f t="shared" si="11"/>
        <v>3.8402638054320986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1.4578199999999999</v>
      </c>
      <c r="H72" s="21">
        <v>5.8237199999999998</v>
      </c>
      <c r="I72" s="21">
        <v>-1.30096E-2</v>
      </c>
      <c r="J72" s="21">
        <v>62</v>
      </c>
      <c r="K72" s="21">
        <v>1.4572099999999999</v>
      </c>
      <c r="L72">
        <f t="shared" si="0"/>
        <v>16.061234567901234</v>
      </c>
      <c r="M72">
        <f t="shared" si="1"/>
        <v>23.414388977777776</v>
      </c>
      <c r="N72" s="9"/>
      <c r="O72" s="21">
        <v>0.21224999999999999</v>
      </c>
      <c r="P72" s="21">
        <v>9.58249</v>
      </c>
      <c r="Q72" s="21">
        <v>-1.5008499999999999E-2</v>
      </c>
      <c r="R72" s="21">
        <v>62</v>
      </c>
      <c r="S72" s="21">
        <v>0.211731</v>
      </c>
      <c r="T72">
        <f t="shared" si="2"/>
        <v>18.529012345679011</v>
      </c>
      <c r="U72">
        <f t="shared" si="3"/>
        <v>3.93278287037037</v>
      </c>
      <c r="X72" s="9"/>
      <c r="Y72" s="21">
        <v>1.4578199999999999</v>
      </c>
      <c r="Z72" s="21">
        <v>15.049899999999999</v>
      </c>
      <c r="AA72" s="21">
        <v>-1.2973E-2</v>
      </c>
      <c r="AB72" s="21">
        <v>62</v>
      </c>
      <c r="AC72" s="21">
        <v>1.4569099999999999</v>
      </c>
      <c r="AD72">
        <f t="shared" si="4"/>
        <v>16.016049382716048</v>
      </c>
      <c r="AE72">
        <f t="shared" si="5"/>
        <v>23.348517111111107</v>
      </c>
      <c r="AF72" s="9"/>
      <c r="AG72" s="21">
        <v>0.21224999999999999</v>
      </c>
      <c r="AH72" s="21">
        <v>18.808700000000002</v>
      </c>
      <c r="AI72" s="21">
        <v>-1.5026899999999999E-2</v>
      </c>
      <c r="AJ72" s="21">
        <v>62</v>
      </c>
      <c r="AK72" s="21">
        <v>0.211731</v>
      </c>
      <c r="AL72">
        <f t="shared" si="6"/>
        <v>18.551728395061726</v>
      </c>
      <c r="AM72">
        <f t="shared" si="7"/>
        <v>3.9376043518518511</v>
      </c>
      <c r="AP72" s="9"/>
      <c r="AQ72" s="21">
        <v>1.4578199999999999</v>
      </c>
      <c r="AR72" s="21">
        <v>24.251200000000001</v>
      </c>
      <c r="AS72" s="21">
        <v>-1.30615E-2</v>
      </c>
      <c r="AT72" s="21">
        <v>62</v>
      </c>
      <c r="AU72" s="21">
        <v>1.4572099999999999</v>
      </c>
      <c r="AV72">
        <f t="shared" si="8"/>
        <v>16.125308641975309</v>
      </c>
      <c r="AW72">
        <f t="shared" si="9"/>
        <v>23.507797444444442</v>
      </c>
      <c r="AX72" s="9"/>
      <c r="AY72" s="21">
        <v>0.21224999999999999</v>
      </c>
      <c r="AZ72" s="21">
        <v>28.009899999999998</v>
      </c>
      <c r="BA72" s="21">
        <v>-1.5008499999999999E-2</v>
      </c>
      <c r="BB72" s="21">
        <v>62</v>
      </c>
      <c r="BC72" s="21">
        <v>0.21167</v>
      </c>
      <c r="BD72">
        <f t="shared" si="10"/>
        <v>18.529012345679011</v>
      </c>
      <c r="BE72">
        <f t="shared" si="11"/>
        <v>3.93278287037037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1.45279</v>
      </c>
      <c r="H73" s="21">
        <v>5.8338000000000001</v>
      </c>
      <c r="I73" s="21">
        <v>-1.30432E-2</v>
      </c>
      <c r="J73" s="21">
        <v>63</v>
      </c>
      <c r="K73" s="21">
        <v>1.4526399999999999</v>
      </c>
      <c r="L73">
        <f t="shared" si="0"/>
        <v>16.102716049382714</v>
      </c>
      <c r="M73">
        <f t="shared" si="1"/>
        <v>23.393864849382712</v>
      </c>
      <c r="N73" s="9"/>
      <c r="O73" s="21">
        <v>0.21728500000000001</v>
      </c>
      <c r="P73" s="21">
        <v>9.5925600000000006</v>
      </c>
      <c r="Q73" s="21">
        <v>-1.49994E-2</v>
      </c>
      <c r="R73" s="21">
        <v>63</v>
      </c>
      <c r="S73" s="21">
        <v>0.21670500000000001</v>
      </c>
      <c r="T73">
        <f t="shared" si="2"/>
        <v>18.517777777777777</v>
      </c>
      <c r="U73">
        <f t="shared" si="3"/>
        <v>4.0236353444444442</v>
      </c>
      <c r="X73" s="9"/>
      <c r="Y73" s="21">
        <v>1.45279</v>
      </c>
      <c r="Z73" s="21">
        <v>15.06</v>
      </c>
      <c r="AA73" s="21">
        <v>-1.30096E-2</v>
      </c>
      <c r="AB73" s="21">
        <v>63</v>
      </c>
      <c r="AC73" s="21">
        <v>1.4523299999999999</v>
      </c>
      <c r="AD73">
        <f t="shared" si="4"/>
        <v>16.061234567901234</v>
      </c>
      <c r="AE73">
        <f t="shared" si="5"/>
        <v>23.333600967901234</v>
      </c>
      <c r="AF73" s="9"/>
      <c r="AG73" s="21">
        <v>0.21728500000000001</v>
      </c>
      <c r="AH73" s="21">
        <v>18.8188</v>
      </c>
      <c r="AI73" s="21">
        <v>-1.5020800000000001E-2</v>
      </c>
      <c r="AJ73" s="21">
        <v>63</v>
      </c>
      <c r="AK73" s="21">
        <v>0.21679699999999999</v>
      </c>
      <c r="AL73">
        <f t="shared" si="6"/>
        <v>18.544197530864199</v>
      </c>
      <c r="AM73">
        <f t="shared" si="7"/>
        <v>4.0293759604938275</v>
      </c>
      <c r="AP73" s="9"/>
      <c r="AQ73" s="21">
        <v>1.45279</v>
      </c>
      <c r="AR73" s="21">
        <v>24.261199999999999</v>
      </c>
      <c r="AS73" s="21">
        <v>-1.30981E-2</v>
      </c>
      <c r="AT73" s="21">
        <v>63</v>
      </c>
      <c r="AU73" s="21">
        <v>1.4523299999999999</v>
      </c>
      <c r="AV73">
        <f t="shared" si="8"/>
        <v>16.170493827160495</v>
      </c>
      <c r="AW73">
        <f t="shared" si="9"/>
        <v>23.492331727160497</v>
      </c>
      <c r="AX73" s="9"/>
      <c r="AY73" s="21">
        <v>0.21728500000000001</v>
      </c>
      <c r="AZ73" s="21">
        <v>28.02</v>
      </c>
      <c r="BA73" s="21">
        <v>-1.50055E-2</v>
      </c>
      <c r="BB73" s="21">
        <v>63</v>
      </c>
      <c r="BC73" s="21">
        <v>0.21673600000000001</v>
      </c>
      <c r="BD73">
        <f t="shared" si="10"/>
        <v>18.525308641975307</v>
      </c>
      <c r="BE73">
        <f t="shared" si="11"/>
        <v>4.0252716882716051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1.4477500000000001</v>
      </c>
      <c r="H74" s="21">
        <v>5.8438699999999999</v>
      </c>
      <c r="I74" s="21">
        <v>-1.3073700000000001E-2</v>
      </c>
      <c r="J74" s="21">
        <v>64</v>
      </c>
      <c r="K74" s="21">
        <v>1.4468399999999999</v>
      </c>
      <c r="L74">
        <f t="shared" si="0"/>
        <v>16.14037037037037</v>
      </c>
      <c r="M74">
        <f t="shared" si="1"/>
        <v>23.367221203703703</v>
      </c>
      <c r="N74" s="9"/>
      <c r="O74" s="21">
        <v>0.22232099999999999</v>
      </c>
      <c r="P74" s="21">
        <v>9.6026299999999996</v>
      </c>
      <c r="Q74" s="21">
        <v>-1.4996300000000001E-2</v>
      </c>
      <c r="R74" s="21">
        <v>64</v>
      </c>
      <c r="S74" s="21">
        <v>0.22174099999999999</v>
      </c>
      <c r="T74">
        <f t="shared" si="2"/>
        <v>18.51395061728395</v>
      </c>
      <c r="U74">
        <f t="shared" si="3"/>
        <v>4.1160400151851846</v>
      </c>
      <c r="X74" s="9"/>
      <c r="Y74" s="21">
        <v>1.4477500000000001</v>
      </c>
      <c r="Z74" s="21">
        <v>15.0701</v>
      </c>
      <c r="AA74" s="21">
        <v>-1.30463E-2</v>
      </c>
      <c r="AB74" s="21">
        <v>64</v>
      </c>
      <c r="AC74" s="21">
        <v>1.4471400000000001</v>
      </c>
      <c r="AD74">
        <f t="shared" si="4"/>
        <v>16.106543209876545</v>
      </c>
      <c r="AE74">
        <f t="shared" si="5"/>
        <v>23.318247932098771</v>
      </c>
      <c r="AF74" s="9"/>
      <c r="AG74" s="21">
        <v>0.22232099999999999</v>
      </c>
      <c r="AH74" s="21">
        <v>18.828800000000001</v>
      </c>
      <c r="AI74" s="21">
        <v>-1.5014599999999999E-2</v>
      </c>
      <c r="AJ74" s="21">
        <v>64</v>
      </c>
      <c r="AK74" s="21">
        <v>0.22174099999999999</v>
      </c>
      <c r="AL74">
        <f t="shared" si="6"/>
        <v>18.536543209876541</v>
      </c>
      <c r="AM74">
        <f t="shared" si="7"/>
        <v>4.121062822962962</v>
      </c>
      <c r="AP74" s="9"/>
      <c r="AQ74" s="21">
        <v>1.4477500000000001</v>
      </c>
      <c r="AR74" s="21">
        <v>24.2713</v>
      </c>
      <c r="AS74" s="21">
        <v>-1.31287E-2</v>
      </c>
      <c r="AT74" s="21">
        <v>64</v>
      </c>
      <c r="AU74" s="21">
        <v>1.4474499999999999</v>
      </c>
      <c r="AV74">
        <f t="shared" si="8"/>
        <v>16.208271604938268</v>
      </c>
      <c r="AW74">
        <f t="shared" si="9"/>
        <v>23.465525216049379</v>
      </c>
      <c r="AX74" s="9"/>
      <c r="AY74" s="21">
        <v>0.22232099999999999</v>
      </c>
      <c r="AZ74" s="21">
        <v>28.030100000000001</v>
      </c>
      <c r="BA74" s="21">
        <v>-1.49994E-2</v>
      </c>
      <c r="BB74" s="21">
        <v>64</v>
      </c>
      <c r="BC74" s="21">
        <v>0.221771</v>
      </c>
      <c r="BD74">
        <f t="shared" si="10"/>
        <v>18.517777777777777</v>
      </c>
      <c r="BE74">
        <f t="shared" si="11"/>
        <v>4.1168908733333334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1.44272</v>
      </c>
      <c r="H75" s="21">
        <v>5.8539399999999997</v>
      </c>
      <c r="I75" s="21">
        <v>-1.31042E-2</v>
      </c>
      <c r="J75" s="21">
        <v>65</v>
      </c>
      <c r="K75" s="21">
        <v>1.4419599999999999</v>
      </c>
      <c r="L75">
        <f t="shared" si="0"/>
        <v>16.178024691358022</v>
      </c>
      <c r="M75">
        <f t="shared" si="1"/>
        <v>23.340359782716046</v>
      </c>
      <c r="N75" s="9"/>
      <c r="O75" s="21">
        <v>0.227356</v>
      </c>
      <c r="P75" s="21">
        <v>9.6127000000000002</v>
      </c>
      <c r="Q75" s="21">
        <v>-1.4993299999999999E-2</v>
      </c>
      <c r="R75" s="21">
        <v>65</v>
      </c>
      <c r="S75" s="21">
        <v>0.22686799999999999</v>
      </c>
      <c r="T75">
        <f t="shared" si="2"/>
        <v>18.510246913580243</v>
      </c>
      <c r="U75">
        <f t="shared" si="3"/>
        <v>4.2084156972839502</v>
      </c>
      <c r="X75" s="9"/>
      <c r="Y75" s="21">
        <v>1.44272</v>
      </c>
      <c r="Z75" s="21">
        <v>15.0802</v>
      </c>
      <c r="AA75" s="21">
        <v>-1.30829E-2</v>
      </c>
      <c r="AB75" s="21">
        <v>65</v>
      </c>
      <c r="AC75" s="21">
        <v>1.4422600000000001</v>
      </c>
      <c r="AD75">
        <f t="shared" si="4"/>
        <v>16.151728395061728</v>
      </c>
      <c r="AE75">
        <f t="shared" si="5"/>
        <v>23.302421590123455</v>
      </c>
      <c r="AF75" s="9"/>
      <c r="AG75" s="21">
        <v>0.227356</v>
      </c>
      <c r="AH75" s="21">
        <v>18.838899999999999</v>
      </c>
      <c r="AI75" s="21">
        <v>-1.5008499999999999E-2</v>
      </c>
      <c r="AJ75" s="21">
        <v>65</v>
      </c>
      <c r="AK75" s="21">
        <v>0.226685</v>
      </c>
      <c r="AL75">
        <f t="shared" si="6"/>
        <v>18.529012345679011</v>
      </c>
      <c r="AM75">
        <f t="shared" si="7"/>
        <v>4.2126821308641968</v>
      </c>
      <c r="AP75" s="9"/>
      <c r="AQ75" s="21">
        <v>1.44272</v>
      </c>
      <c r="AR75" s="21">
        <v>24.281400000000001</v>
      </c>
      <c r="AS75" s="21">
        <v>-1.3162200000000001E-2</v>
      </c>
      <c r="AT75" s="21">
        <v>65</v>
      </c>
      <c r="AU75" s="21">
        <v>1.4419599999999999</v>
      </c>
      <c r="AV75">
        <f t="shared" si="8"/>
        <v>16.249629629629627</v>
      </c>
      <c r="AW75">
        <f t="shared" si="9"/>
        <v>23.443665659259256</v>
      </c>
      <c r="AX75" s="9"/>
      <c r="AY75" s="21">
        <v>0.227356</v>
      </c>
      <c r="AZ75" s="21">
        <v>28.040099999999999</v>
      </c>
      <c r="BA75" s="21">
        <v>-1.4993299999999999E-2</v>
      </c>
      <c r="BB75" s="21">
        <v>65</v>
      </c>
      <c r="BC75" s="21">
        <v>0.22683700000000001</v>
      </c>
      <c r="BD75">
        <f t="shared" si="10"/>
        <v>18.510246913580243</v>
      </c>
      <c r="BE75">
        <f t="shared" si="11"/>
        <v>4.2084156972839502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1.4376800000000001</v>
      </c>
      <c r="H76" s="21">
        <v>5.8640100000000004</v>
      </c>
      <c r="I76" s="21">
        <v>-1.31317E-2</v>
      </c>
      <c r="J76" s="21">
        <v>66</v>
      </c>
      <c r="K76" s="21">
        <v>1.4370700000000001</v>
      </c>
      <c r="L76">
        <f t="shared" ref="L76:L139" si="12">-I76/$F$2*1000</f>
        <v>16.211975308641971</v>
      </c>
      <c r="M76">
        <f t="shared" ref="M76:M139" si="13">L76*G76</f>
        <v>23.307632661728391</v>
      </c>
      <c r="N76" s="9"/>
      <c r="O76" s="21">
        <v>0.23239099999999999</v>
      </c>
      <c r="P76" s="21">
        <v>9.6227800000000006</v>
      </c>
      <c r="Q76" s="21">
        <v>-1.4993299999999999E-2</v>
      </c>
      <c r="R76" s="21">
        <v>66</v>
      </c>
      <c r="S76" s="21">
        <v>0.23178099999999999</v>
      </c>
      <c r="T76">
        <f t="shared" ref="T76:T139" si="14">-Q76/$F$2*1000</f>
        <v>18.510246913580243</v>
      </c>
      <c r="U76">
        <f t="shared" ref="U76:U139" si="15">T76*O76</f>
        <v>4.3016147904938258</v>
      </c>
      <c r="X76" s="9"/>
      <c r="Y76" s="21">
        <v>1.4376800000000001</v>
      </c>
      <c r="Z76" s="21">
        <v>15.090199999999999</v>
      </c>
      <c r="AA76" s="21">
        <v>-1.31165E-2</v>
      </c>
      <c r="AB76" s="21">
        <v>66</v>
      </c>
      <c r="AC76" s="21">
        <v>1.4367700000000001</v>
      </c>
      <c r="AD76">
        <f t="shared" ref="AD76:AD139" si="16">-AA76/$F$2*1000</f>
        <v>16.193209876543211</v>
      </c>
      <c r="AE76">
        <f t="shared" ref="AE76:AE139" si="17">AD76*Y76</f>
        <v>23.280653975308645</v>
      </c>
      <c r="AF76" s="9"/>
      <c r="AG76" s="21">
        <v>0.23239099999999999</v>
      </c>
      <c r="AH76" s="21">
        <v>18.849</v>
      </c>
      <c r="AI76" s="21">
        <v>-1.4996300000000001E-2</v>
      </c>
      <c r="AJ76" s="21">
        <v>66</v>
      </c>
      <c r="AK76" s="21">
        <v>0.231903</v>
      </c>
      <c r="AL76">
        <f t="shared" ref="AL76:AL139" si="18">-AI76/$F$2*1000</f>
        <v>18.51395061728395</v>
      </c>
      <c r="AM76">
        <f t="shared" ref="AM76:AM139" si="19">AL76*AG76</f>
        <v>4.3024754979012343</v>
      </c>
      <c r="AP76" s="9"/>
      <c r="AQ76" s="21">
        <v>1.4376800000000001</v>
      </c>
      <c r="AR76" s="21">
        <v>24.291499999999999</v>
      </c>
      <c r="AS76" s="21">
        <v>-1.31866E-2</v>
      </c>
      <c r="AT76" s="21">
        <v>66</v>
      </c>
      <c r="AU76" s="21">
        <v>1.4373800000000001</v>
      </c>
      <c r="AV76">
        <f t="shared" ref="AV76:AV139" si="20">-AS76/$F$2*1000</f>
        <v>16.279753086419749</v>
      </c>
      <c r="AW76">
        <f t="shared" ref="AW76:AW139" si="21">AV76*AQ76</f>
        <v>23.405075417283946</v>
      </c>
      <c r="AX76" s="9"/>
      <c r="AY76" s="21">
        <v>0.23239099999999999</v>
      </c>
      <c r="AZ76" s="21">
        <v>28.0502</v>
      </c>
      <c r="BA76" s="21">
        <v>-1.49994E-2</v>
      </c>
      <c r="BB76" s="21">
        <v>66</v>
      </c>
      <c r="BC76" s="21">
        <v>0.231873</v>
      </c>
      <c r="BD76">
        <f t="shared" ref="BD76:BD139" si="22">-BA76/$F$2*1000</f>
        <v>18.517777777777777</v>
      </c>
      <c r="BE76">
        <f t="shared" ref="BE76:BE139" si="23">BD76*AY76</f>
        <v>4.3033648955555552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1.43265</v>
      </c>
      <c r="H77" s="21">
        <v>5.8740800000000002</v>
      </c>
      <c r="I77" s="21">
        <v>-1.31653E-2</v>
      </c>
      <c r="J77" s="21">
        <v>67</v>
      </c>
      <c r="K77" s="21">
        <v>1.4321900000000001</v>
      </c>
      <c r="L77">
        <f t="shared" si="12"/>
        <v>16.253456790123455</v>
      </c>
      <c r="M77">
        <f t="shared" si="13"/>
        <v>23.285514870370367</v>
      </c>
      <c r="N77" s="9"/>
      <c r="O77" s="21">
        <v>0.237427</v>
      </c>
      <c r="P77" s="21">
        <v>9.6328499999999995</v>
      </c>
      <c r="Q77" s="21">
        <v>-1.49902E-2</v>
      </c>
      <c r="R77" s="21">
        <v>67</v>
      </c>
      <c r="S77" s="21">
        <v>0.236877</v>
      </c>
      <c r="T77">
        <f t="shared" si="14"/>
        <v>18.506419753086419</v>
      </c>
      <c r="U77">
        <f t="shared" si="15"/>
        <v>4.3939237227160488</v>
      </c>
      <c r="X77" s="9"/>
      <c r="Y77" s="21">
        <v>1.43265</v>
      </c>
      <c r="Z77" s="21">
        <v>15.100300000000001</v>
      </c>
      <c r="AA77" s="21">
        <v>-1.3153099999999999E-2</v>
      </c>
      <c r="AB77" s="21">
        <v>67</v>
      </c>
      <c r="AC77" s="21">
        <v>1.43188</v>
      </c>
      <c r="AD77">
        <f t="shared" si="16"/>
        <v>16.238395061728394</v>
      </c>
      <c r="AE77">
        <f t="shared" si="17"/>
        <v>23.263936685185183</v>
      </c>
      <c r="AF77" s="9"/>
      <c r="AG77" s="21">
        <v>0.237427</v>
      </c>
      <c r="AH77" s="21">
        <v>18.859100000000002</v>
      </c>
      <c r="AI77" s="21">
        <v>-1.4996300000000001E-2</v>
      </c>
      <c r="AJ77" s="21">
        <v>67</v>
      </c>
      <c r="AK77" s="21">
        <v>0.23690800000000001</v>
      </c>
      <c r="AL77">
        <f t="shared" si="18"/>
        <v>18.51395061728395</v>
      </c>
      <c r="AM77">
        <f t="shared" si="19"/>
        <v>4.3957117532098762</v>
      </c>
      <c r="AP77" s="9"/>
      <c r="AQ77" s="21">
        <v>1.43265</v>
      </c>
      <c r="AR77" s="21">
        <v>24.301500000000001</v>
      </c>
      <c r="AS77" s="21">
        <v>-1.3207999999999999E-2</v>
      </c>
      <c r="AT77" s="21">
        <v>67</v>
      </c>
      <c r="AU77" s="21">
        <v>1.4315800000000001</v>
      </c>
      <c r="AV77">
        <f t="shared" si="20"/>
        <v>16.306172839506171</v>
      </c>
      <c r="AW77">
        <f t="shared" si="21"/>
        <v>23.361038518518516</v>
      </c>
      <c r="AX77" s="9"/>
      <c r="AY77" s="21">
        <v>0.237427</v>
      </c>
      <c r="AZ77" s="21">
        <v>28.060300000000002</v>
      </c>
      <c r="BA77" s="21">
        <v>-1.4987199999999999E-2</v>
      </c>
      <c r="BB77" s="21">
        <v>67</v>
      </c>
      <c r="BC77" s="21">
        <v>0.23690800000000001</v>
      </c>
      <c r="BD77">
        <f t="shared" si="22"/>
        <v>18.502716049382713</v>
      </c>
      <c r="BE77">
        <f t="shared" si="23"/>
        <v>4.3930443634567888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1.42761</v>
      </c>
      <c r="H78" s="21">
        <v>5.88415</v>
      </c>
      <c r="I78" s="21">
        <v>-1.31927E-2</v>
      </c>
      <c r="J78" s="21">
        <v>68</v>
      </c>
      <c r="K78" s="21">
        <v>1.4267000000000001</v>
      </c>
      <c r="L78">
        <f t="shared" si="12"/>
        <v>16.287283950617283</v>
      </c>
      <c r="M78">
        <f t="shared" si="13"/>
        <v>23.25188944074074</v>
      </c>
      <c r="N78" s="9"/>
      <c r="O78" s="21">
        <v>0.24246200000000001</v>
      </c>
      <c r="P78" s="21">
        <v>9.6429200000000002</v>
      </c>
      <c r="Q78" s="21">
        <v>-1.4981100000000001E-2</v>
      </c>
      <c r="R78" s="21">
        <v>68</v>
      </c>
      <c r="S78" s="21">
        <v>0.24191299999999999</v>
      </c>
      <c r="T78">
        <f t="shared" si="14"/>
        <v>18.495185185185186</v>
      </c>
      <c r="U78">
        <f t="shared" si="15"/>
        <v>4.4843795903703709</v>
      </c>
      <c r="X78" s="9"/>
      <c r="Y78" s="21">
        <v>1.42761</v>
      </c>
      <c r="Z78" s="21">
        <v>15.1104</v>
      </c>
      <c r="AA78" s="21">
        <v>-1.31805E-2</v>
      </c>
      <c r="AB78" s="21">
        <v>68</v>
      </c>
      <c r="AC78" s="21">
        <v>1.427</v>
      </c>
      <c r="AD78">
        <f t="shared" si="16"/>
        <v>16.272222222222219</v>
      </c>
      <c r="AE78">
        <f t="shared" si="17"/>
        <v>23.230387166666663</v>
      </c>
      <c r="AF78" s="9"/>
      <c r="AG78" s="21">
        <v>0.24246200000000001</v>
      </c>
      <c r="AH78" s="21">
        <v>18.8691</v>
      </c>
      <c r="AI78" s="21">
        <v>-1.4996300000000001E-2</v>
      </c>
      <c r="AJ78" s="21">
        <v>68</v>
      </c>
      <c r="AK78" s="21">
        <v>0.24179100000000001</v>
      </c>
      <c r="AL78">
        <f t="shared" si="18"/>
        <v>18.51395061728395</v>
      </c>
      <c r="AM78">
        <f t="shared" si="19"/>
        <v>4.488929494567901</v>
      </c>
      <c r="AP78" s="9"/>
      <c r="AQ78" s="21">
        <v>1.42761</v>
      </c>
      <c r="AR78" s="21">
        <v>24.311599999999999</v>
      </c>
      <c r="AS78" s="21">
        <v>-1.32385E-2</v>
      </c>
      <c r="AT78" s="21">
        <v>68</v>
      </c>
      <c r="AU78" s="21">
        <v>1.4267000000000001</v>
      </c>
      <c r="AV78">
        <f t="shared" si="20"/>
        <v>16.343827160493824</v>
      </c>
      <c r="AW78">
        <f t="shared" si="21"/>
        <v>23.33261109259259</v>
      </c>
      <c r="AX78" s="9"/>
      <c r="AY78" s="21">
        <v>0.24246200000000001</v>
      </c>
      <c r="AZ78" s="21">
        <v>28.070399999999999</v>
      </c>
      <c r="BA78" s="21">
        <v>-1.4987199999999999E-2</v>
      </c>
      <c r="BB78" s="21">
        <v>68</v>
      </c>
      <c r="BC78" s="21">
        <v>0.24194299999999999</v>
      </c>
      <c r="BD78">
        <f t="shared" si="22"/>
        <v>18.502716049382713</v>
      </c>
      <c r="BE78">
        <f t="shared" si="23"/>
        <v>4.4862055387654314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1.42258</v>
      </c>
      <c r="H79" s="21">
        <v>5.8942199999999998</v>
      </c>
      <c r="I79" s="21">
        <v>-1.32172E-2</v>
      </c>
      <c r="J79" s="21">
        <v>69</v>
      </c>
      <c r="K79" s="21">
        <v>1.42181</v>
      </c>
      <c r="L79">
        <f t="shared" si="12"/>
        <v>16.317530864197529</v>
      </c>
      <c r="M79">
        <f t="shared" si="13"/>
        <v>23.212993056790122</v>
      </c>
      <c r="N79" s="9"/>
      <c r="O79" s="21">
        <v>0.247498</v>
      </c>
      <c r="P79" s="21">
        <v>9.6529900000000008</v>
      </c>
      <c r="Q79" s="21">
        <v>-1.4993299999999999E-2</v>
      </c>
      <c r="R79" s="21">
        <v>69</v>
      </c>
      <c r="S79" s="21">
        <v>0.24707000000000001</v>
      </c>
      <c r="T79">
        <f t="shared" si="14"/>
        <v>18.510246913580243</v>
      </c>
      <c r="U79">
        <f t="shared" si="15"/>
        <v>4.5812490906172831</v>
      </c>
      <c r="X79" s="9"/>
      <c r="Y79" s="21">
        <v>1.42258</v>
      </c>
      <c r="Z79" s="21">
        <v>15.1204</v>
      </c>
      <c r="AA79" s="21">
        <v>-1.3214099999999999E-2</v>
      </c>
      <c r="AB79" s="21">
        <v>69</v>
      </c>
      <c r="AC79" s="21">
        <v>1.42181</v>
      </c>
      <c r="AD79">
        <f t="shared" si="16"/>
        <v>16.313703703703702</v>
      </c>
      <c r="AE79">
        <f t="shared" si="17"/>
        <v>23.207548614814812</v>
      </c>
      <c r="AF79" s="9"/>
      <c r="AG79" s="21">
        <v>0.247498</v>
      </c>
      <c r="AH79" s="21">
        <v>18.879200000000001</v>
      </c>
      <c r="AI79" s="21">
        <v>-1.49994E-2</v>
      </c>
      <c r="AJ79" s="21">
        <v>69</v>
      </c>
      <c r="AK79" s="21">
        <v>0.246979</v>
      </c>
      <c r="AL79">
        <f t="shared" si="18"/>
        <v>18.517777777777777</v>
      </c>
      <c r="AM79">
        <f t="shared" si="19"/>
        <v>4.5831129644444442</v>
      </c>
      <c r="AP79" s="9"/>
      <c r="AQ79" s="21">
        <v>1.42258</v>
      </c>
      <c r="AR79" s="21">
        <v>24.3217</v>
      </c>
      <c r="AS79" s="21">
        <v>-1.32751E-2</v>
      </c>
      <c r="AT79" s="21">
        <v>69</v>
      </c>
      <c r="AU79" s="21">
        <v>1.4215100000000001</v>
      </c>
      <c r="AV79">
        <f t="shared" si="20"/>
        <v>16.38901234567901</v>
      </c>
      <c r="AW79">
        <f t="shared" si="21"/>
        <v>23.314681182716047</v>
      </c>
      <c r="AX79" s="9"/>
      <c r="AY79" s="21">
        <v>0.247498</v>
      </c>
      <c r="AZ79" s="21">
        <v>28.080400000000001</v>
      </c>
      <c r="BA79" s="21">
        <v>-1.49841E-2</v>
      </c>
      <c r="BB79" s="21">
        <v>69</v>
      </c>
      <c r="BC79" s="21">
        <v>0.246887</v>
      </c>
      <c r="BD79">
        <f t="shared" si="22"/>
        <v>18.498888888888889</v>
      </c>
      <c r="BE79">
        <f t="shared" si="23"/>
        <v>4.5784380022222217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1.41754</v>
      </c>
      <c r="H80" s="21">
        <v>5.9042899999999996</v>
      </c>
      <c r="I80" s="21">
        <v>-1.32446E-2</v>
      </c>
      <c r="J80" s="21">
        <v>70</v>
      </c>
      <c r="K80" s="21">
        <v>1.41632</v>
      </c>
      <c r="L80">
        <f t="shared" si="12"/>
        <v>16.351358024691358</v>
      </c>
      <c r="M80">
        <f t="shared" si="13"/>
        <v>23.178704054320988</v>
      </c>
      <c r="N80" s="9"/>
      <c r="O80" s="21">
        <v>0.25253300000000001</v>
      </c>
      <c r="P80" s="21">
        <v>9.6630599999999998</v>
      </c>
      <c r="Q80" s="21">
        <v>-1.5002400000000001E-2</v>
      </c>
      <c r="R80" s="21">
        <v>70</v>
      </c>
      <c r="S80" s="21">
        <v>0.25192300000000001</v>
      </c>
      <c r="T80">
        <f t="shared" si="14"/>
        <v>18.521481481481484</v>
      </c>
      <c r="U80">
        <f t="shared" si="15"/>
        <v>4.6772852829629636</v>
      </c>
      <c r="X80" s="9"/>
      <c r="Y80" s="21">
        <v>1.41754</v>
      </c>
      <c r="Z80" s="21">
        <v>15.1305</v>
      </c>
      <c r="AA80" s="21">
        <v>-1.3241599999999999E-2</v>
      </c>
      <c r="AB80" s="21">
        <v>70</v>
      </c>
      <c r="AC80" s="21">
        <v>1.4172400000000001</v>
      </c>
      <c r="AD80">
        <f t="shared" si="16"/>
        <v>16.347654320987651</v>
      </c>
      <c r="AE80">
        <f t="shared" si="17"/>
        <v>23.173453906172835</v>
      </c>
      <c r="AF80" s="9"/>
      <c r="AG80" s="21">
        <v>0.25253300000000001</v>
      </c>
      <c r="AH80" s="21">
        <v>18.889299999999999</v>
      </c>
      <c r="AI80" s="21">
        <v>-1.50116E-2</v>
      </c>
      <c r="AJ80" s="21">
        <v>70</v>
      </c>
      <c r="AK80" s="21">
        <v>0.251892</v>
      </c>
      <c r="AL80">
        <f t="shared" si="18"/>
        <v>18.532839506172838</v>
      </c>
      <c r="AM80">
        <f t="shared" si="19"/>
        <v>4.6801535590123455</v>
      </c>
      <c r="AP80" s="9"/>
      <c r="AQ80" s="21">
        <v>1.41754</v>
      </c>
      <c r="AR80" s="21">
        <v>24.331700000000001</v>
      </c>
      <c r="AS80" s="21">
        <v>-1.33057E-2</v>
      </c>
      <c r="AT80" s="21">
        <v>70</v>
      </c>
      <c r="AU80" s="21">
        <v>1.41632</v>
      </c>
      <c r="AV80">
        <f t="shared" si="20"/>
        <v>16.42679012345679</v>
      </c>
      <c r="AW80">
        <f t="shared" si="21"/>
        <v>23.28563207160494</v>
      </c>
      <c r="AX80" s="9"/>
      <c r="AY80" s="21">
        <v>0.25253300000000001</v>
      </c>
      <c r="AZ80" s="21">
        <v>28.090499999999999</v>
      </c>
      <c r="BA80" s="21">
        <v>-1.49719E-2</v>
      </c>
      <c r="BB80" s="21">
        <v>70</v>
      </c>
      <c r="BC80" s="21">
        <v>0.25183100000000003</v>
      </c>
      <c r="BD80">
        <f t="shared" si="22"/>
        <v>18.483827160493824</v>
      </c>
      <c r="BE80">
        <f t="shared" si="23"/>
        <v>4.6677763243209869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1.4125099999999999</v>
      </c>
      <c r="H81" s="21">
        <v>5.9143600000000003</v>
      </c>
      <c r="I81" s="21">
        <v>-1.3269E-2</v>
      </c>
      <c r="J81" s="21">
        <v>71</v>
      </c>
      <c r="K81" s="21">
        <v>1.41205</v>
      </c>
      <c r="L81">
        <f t="shared" si="12"/>
        <v>16.38148148148148</v>
      </c>
      <c r="M81">
        <f t="shared" si="13"/>
        <v>23.139006407407404</v>
      </c>
      <c r="N81" s="9"/>
      <c r="O81" s="21">
        <v>0.25756800000000002</v>
      </c>
      <c r="P81" s="21">
        <v>9.6731300000000005</v>
      </c>
      <c r="Q81" s="21">
        <v>-1.5008499999999999E-2</v>
      </c>
      <c r="R81" s="21">
        <v>71</v>
      </c>
      <c r="S81" s="21">
        <v>0.25692700000000002</v>
      </c>
      <c r="T81">
        <f t="shared" si="14"/>
        <v>18.529012345679011</v>
      </c>
      <c r="U81">
        <f t="shared" si="15"/>
        <v>4.7724806518518514</v>
      </c>
      <c r="X81" s="9"/>
      <c r="Y81" s="21">
        <v>1.4125099999999999</v>
      </c>
      <c r="Z81" s="21">
        <v>15.140599999999999</v>
      </c>
      <c r="AA81" s="21">
        <v>-1.3269E-2</v>
      </c>
      <c r="AB81" s="21">
        <v>71</v>
      </c>
      <c r="AC81" s="21">
        <v>1.41144</v>
      </c>
      <c r="AD81">
        <f t="shared" si="16"/>
        <v>16.38148148148148</v>
      </c>
      <c r="AE81">
        <f t="shared" si="17"/>
        <v>23.139006407407404</v>
      </c>
      <c r="AF81" s="9"/>
      <c r="AG81" s="21">
        <v>0.25756800000000002</v>
      </c>
      <c r="AH81" s="21">
        <v>18.8993</v>
      </c>
      <c r="AI81" s="21">
        <v>-1.50055E-2</v>
      </c>
      <c r="AJ81" s="21">
        <v>71</v>
      </c>
      <c r="AK81" s="21">
        <v>0.25689699999999999</v>
      </c>
      <c r="AL81">
        <f t="shared" si="18"/>
        <v>18.525308641975307</v>
      </c>
      <c r="AM81">
        <f t="shared" si="19"/>
        <v>4.7715266962962968</v>
      </c>
      <c r="AP81" s="9"/>
      <c r="AQ81" s="21">
        <v>1.4125099999999999</v>
      </c>
      <c r="AR81" s="21">
        <v>24.341799999999999</v>
      </c>
      <c r="AS81" s="21">
        <v>-1.3339200000000001E-2</v>
      </c>
      <c r="AT81" s="21">
        <v>71</v>
      </c>
      <c r="AU81" s="21">
        <v>1.41144</v>
      </c>
      <c r="AV81">
        <f t="shared" si="20"/>
        <v>16.468148148148149</v>
      </c>
      <c r="AW81">
        <f t="shared" si="21"/>
        <v>23.261423940740741</v>
      </c>
      <c r="AX81" s="9"/>
      <c r="AY81" s="21">
        <v>0.25756800000000002</v>
      </c>
      <c r="AZ81" s="21">
        <v>28.1006</v>
      </c>
      <c r="BA81" s="21">
        <v>-1.4978E-2</v>
      </c>
      <c r="BB81" s="21">
        <v>71</v>
      </c>
      <c r="BC81" s="21">
        <v>0.25705</v>
      </c>
      <c r="BD81">
        <f t="shared" si="22"/>
        <v>18.491358024691355</v>
      </c>
      <c r="BE81">
        <f t="shared" si="23"/>
        <v>4.762782103703703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1.40747</v>
      </c>
      <c r="H82" s="21">
        <v>5.9244300000000001</v>
      </c>
      <c r="I82" s="21">
        <v>-1.3290400000000001E-2</v>
      </c>
      <c r="J82" s="21">
        <v>72</v>
      </c>
      <c r="K82" s="21">
        <v>1.40686</v>
      </c>
      <c r="L82">
        <f t="shared" si="12"/>
        <v>16.407901234567902</v>
      </c>
      <c r="M82">
        <f t="shared" si="13"/>
        <v>23.093628750617285</v>
      </c>
      <c r="N82" s="9"/>
      <c r="O82" s="21">
        <v>0.262604</v>
      </c>
      <c r="P82" s="21">
        <v>9.6831999999999994</v>
      </c>
      <c r="Q82" s="21">
        <v>-1.50055E-2</v>
      </c>
      <c r="R82" s="21">
        <v>72</v>
      </c>
      <c r="S82" s="21">
        <v>0.26199299999999998</v>
      </c>
      <c r="T82">
        <f t="shared" si="14"/>
        <v>18.525308641975307</v>
      </c>
      <c r="U82">
        <f t="shared" si="15"/>
        <v>4.8648201506172839</v>
      </c>
      <c r="X82" s="9"/>
      <c r="Y82" s="21">
        <v>1.40747</v>
      </c>
      <c r="Z82" s="21">
        <v>15.150600000000001</v>
      </c>
      <c r="AA82" s="21">
        <v>-1.3296499999999999E-2</v>
      </c>
      <c r="AB82" s="21">
        <v>72</v>
      </c>
      <c r="AC82" s="21">
        <v>1.40717</v>
      </c>
      <c r="AD82">
        <f t="shared" si="16"/>
        <v>16.415432098765429</v>
      </c>
      <c r="AE82">
        <f t="shared" si="17"/>
        <v>23.104228216049378</v>
      </c>
      <c r="AF82" s="9"/>
      <c r="AG82" s="21">
        <v>0.262604</v>
      </c>
      <c r="AH82" s="21">
        <v>18.909400000000002</v>
      </c>
      <c r="AI82" s="21">
        <v>-1.4987199999999999E-2</v>
      </c>
      <c r="AJ82" s="21">
        <v>72</v>
      </c>
      <c r="AK82" s="21">
        <v>0.261963</v>
      </c>
      <c r="AL82">
        <f t="shared" si="18"/>
        <v>18.502716049382713</v>
      </c>
      <c r="AM82">
        <f t="shared" si="19"/>
        <v>4.8588872454320979</v>
      </c>
      <c r="AP82" s="9"/>
      <c r="AQ82" s="21">
        <v>1.40747</v>
      </c>
      <c r="AR82" s="21">
        <v>24.351900000000001</v>
      </c>
      <c r="AS82" s="21">
        <v>-1.3372800000000001E-2</v>
      </c>
      <c r="AT82" s="21">
        <v>72</v>
      </c>
      <c r="AU82" s="21">
        <v>1.40625</v>
      </c>
      <c r="AV82">
        <f t="shared" si="20"/>
        <v>16.509629629629632</v>
      </c>
      <c r="AW82">
        <f t="shared" si="21"/>
        <v>23.236808414814817</v>
      </c>
      <c r="AX82" s="9"/>
      <c r="AY82" s="21">
        <v>0.262604</v>
      </c>
      <c r="AZ82" s="21">
        <v>28.110600000000002</v>
      </c>
      <c r="BA82" s="21">
        <v>-1.49841E-2</v>
      </c>
      <c r="BB82" s="21">
        <v>72</v>
      </c>
      <c r="BC82" s="21">
        <v>0.261932</v>
      </c>
      <c r="BD82">
        <f t="shared" si="22"/>
        <v>18.498888888888889</v>
      </c>
      <c r="BE82">
        <f t="shared" si="23"/>
        <v>4.8578822177777781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1.4024399999999999</v>
      </c>
      <c r="H83" s="21">
        <v>5.9345100000000004</v>
      </c>
      <c r="I83" s="21">
        <v>-1.33209E-2</v>
      </c>
      <c r="J83" s="21">
        <v>73</v>
      </c>
      <c r="K83" s="21">
        <v>1.40137</v>
      </c>
      <c r="L83">
        <f t="shared" si="12"/>
        <v>16.445555555555554</v>
      </c>
      <c r="M83">
        <f t="shared" si="13"/>
        <v>23.06390493333333</v>
      </c>
      <c r="N83" s="9"/>
      <c r="O83" s="21">
        <v>0.26763900000000002</v>
      </c>
      <c r="P83" s="21">
        <v>9.6932700000000001</v>
      </c>
      <c r="Q83" s="21">
        <v>-1.4993299999999999E-2</v>
      </c>
      <c r="R83" s="21">
        <v>73</v>
      </c>
      <c r="S83" s="21">
        <v>0.26702900000000002</v>
      </c>
      <c r="T83">
        <f t="shared" si="14"/>
        <v>18.510246913580243</v>
      </c>
      <c r="U83">
        <f t="shared" si="15"/>
        <v>4.9540639737037031</v>
      </c>
      <c r="X83" s="9"/>
      <c r="Y83" s="21">
        <v>1.4024399999999999</v>
      </c>
      <c r="Z83" s="21">
        <v>15.1607</v>
      </c>
      <c r="AA83" s="21">
        <v>-1.33209E-2</v>
      </c>
      <c r="AB83" s="21">
        <v>73</v>
      </c>
      <c r="AC83" s="21">
        <v>1.40167</v>
      </c>
      <c r="AD83">
        <f t="shared" si="16"/>
        <v>16.445555555555554</v>
      </c>
      <c r="AE83">
        <f t="shared" si="17"/>
        <v>23.06390493333333</v>
      </c>
      <c r="AF83" s="9"/>
      <c r="AG83" s="21">
        <v>0.26763900000000002</v>
      </c>
      <c r="AH83" s="21">
        <v>18.919499999999999</v>
      </c>
      <c r="AI83" s="21">
        <v>-1.49689E-2</v>
      </c>
      <c r="AJ83" s="21">
        <v>73</v>
      </c>
      <c r="AK83" s="21">
        <v>0.26702900000000002</v>
      </c>
      <c r="AL83">
        <f t="shared" si="18"/>
        <v>18.480123456790125</v>
      </c>
      <c r="AM83">
        <f t="shared" si="19"/>
        <v>4.9460017618518526</v>
      </c>
      <c r="AP83" s="9"/>
      <c r="AQ83" s="21">
        <v>1.4024399999999999</v>
      </c>
      <c r="AR83" s="21">
        <v>24.361999999999998</v>
      </c>
      <c r="AS83" s="21">
        <v>-1.34033E-2</v>
      </c>
      <c r="AT83" s="21">
        <v>73</v>
      </c>
      <c r="AU83" s="21">
        <v>1.40198</v>
      </c>
      <c r="AV83">
        <f t="shared" si="20"/>
        <v>16.547283950617281</v>
      </c>
      <c r="AW83">
        <f t="shared" si="21"/>
        <v>23.206572903703698</v>
      </c>
      <c r="AX83" s="9"/>
      <c r="AY83" s="21">
        <v>0.26763900000000002</v>
      </c>
      <c r="AZ83" s="21">
        <v>28.120699999999999</v>
      </c>
      <c r="BA83" s="21">
        <v>-1.4981100000000001E-2</v>
      </c>
      <c r="BB83" s="21">
        <v>73</v>
      </c>
      <c r="BC83" s="21">
        <v>0.26702900000000002</v>
      </c>
      <c r="BD83">
        <f t="shared" si="22"/>
        <v>18.495185185185186</v>
      </c>
      <c r="BE83">
        <f t="shared" si="23"/>
        <v>4.9500328677777778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1.3974</v>
      </c>
      <c r="H84" s="21">
        <v>5.9445800000000002</v>
      </c>
      <c r="I84" s="21">
        <v>-1.33484E-2</v>
      </c>
      <c r="J84" s="21">
        <v>74</v>
      </c>
      <c r="K84" s="21">
        <v>1.3964799999999999</v>
      </c>
      <c r="L84">
        <f t="shared" si="12"/>
        <v>16.479506172839503</v>
      </c>
      <c r="M84">
        <f t="shared" si="13"/>
        <v>23.028461925925921</v>
      </c>
      <c r="N84" s="9"/>
      <c r="O84" s="21">
        <v>0.272675</v>
      </c>
      <c r="P84" s="21">
        <v>9.7033400000000007</v>
      </c>
      <c r="Q84" s="21">
        <v>-1.49841E-2</v>
      </c>
      <c r="R84" s="21">
        <v>74</v>
      </c>
      <c r="S84" s="21">
        <v>0.27212500000000001</v>
      </c>
      <c r="T84">
        <f t="shared" si="14"/>
        <v>18.498888888888889</v>
      </c>
      <c r="U84">
        <f t="shared" si="15"/>
        <v>5.0441845277777775</v>
      </c>
      <c r="X84" s="9"/>
      <c r="Y84" s="21">
        <v>1.3974</v>
      </c>
      <c r="Z84" s="21">
        <v>15.1708</v>
      </c>
      <c r="AA84" s="21">
        <v>-1.33484E-2</v>
      </c>
      <c r="AB84" s="21">
        <v>74</v>
      </c>
      <c r="AC84" s="21">
        <v>1.3964799999999999</v>
      </c>
      <c r="AD84">
        <f t="shared" si="16"/>
        <v>16.479506172839503</v>
      </c>
      <c r="AE84">
        <f t="shared" si="17"/>
        <v>23.028461925925921</v>
      </c>
      <c r="AF84" s="9"/>
      <c r="AG84" s="21">
        <v>0.272675</v>
      </c>
      <c r="AH84" s="21">
        <v>18.929600000000001</v>
      </c>
      <c r="AI84" s="21">
        <v>-1.49719E-2</v>
      </c>
      <c r="AJ84" s="21">
        <v>74</v>
      </c>
      <c r="AK84" s="21">
        <v>0.27200299999999999</v>
      </c>
      <c r="AL84">
        <f t="shared" si="18"/>
        <v>18.483827160493824</v>
      </c>
      <c r="AM84">
        <f t="shared" si="19"/>
        <v>5.0400775709876537</v>
      </c>
      <c r="AP84" s="9"/>
      <c r="AQ84" s="21">
        <v>1.3974</v>
      </c>
      <c r="AR84" s="21">
        <v>24.372</v>
      </c>
      <c r="AS84" s="21">
        <v>-1.34308E-2</v>
      </c>
      <c r="AT84" s="21">
        <v>74</v>
      </c>
      <c r="AU84" s="21">
        <v>1.39618</v>
      </c>
      <c r="AV84">
        <f t="shared" si="20"/>
        <v>16.581234567901234</v>
      </c>
      <c r="AW84">
        <f t="shared" si="21"/>
        <v>23.170617185185183</v>
      </c>
      <c r="AX84" s="9"/>
      <c r="AY84" s="21">
        <v>0.272675</v>
      </c>
      <c r="AZ84" s="21">
        <v>28.130800000000001</v>
      </c>
      <c r="BA84" s="21">
        <v>-1.4975E-2</v>
      </c>
      <c r="BB84" s="21">
        <v>74</v>
      </c>
      <c r="BC84" s="21">
        <v>0.27206399999999997</v>
      </c>
      <c r="BD84">
        <f t="shared" si="22"/>
        <v>18.487654320987652</v>
      </c>
      <c r="BE84">
        <f t="shared" si="23"/>
        <v>5.0411211419753075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1.39236</v>
      </c>
      <c r="H85" s="21">
        <v>5.95465</v>
      </c>
      <c r="I85" s="21">
        <v>-1.3378900000000001E-2</v>
      </c>
      <c r="J85" s="21">
        <v>75</v>
      </c>
      <c r="K85" s="21">
        <v>1.3913</v>
      </c>
      <c r="L85">
        <f t="shared" si="12"/>
        <v>16.517160493827159</v>
      </c>
      <c r="M85">
        <f t="shared" si="13"/>
        <v>22.997833585185184</v>
      </c>
      <c r="N85" s="9"/>
      <c r="O85" s="21">
        <v>0.27771000000000001</v>
      </c>
      <c r="P85" s="21">
        <v>9.7134099999999997</v>
      </c>
      <c r="Q85" s="21">
        <v>-1.49719E-2</v>
      </c>
      <c r="R85" s="21">
        <v>75</v>
      </c>
      <c r="S85" s="21">
        <v>0.27716099999999999</v>
      </c>
      <c r="T85">
        <f t="shared" si="14"/>
        <v>18.483827160493824</v>
      </c>
      <c r="U85">
        <f t="shared" si="15"/>
        <v>5.13314364074074</v>
      </c>
      <c r="X85" s="9"/>
      <c r="Y85" s="21">
        <v>1.39236</v>
      </c>
      <c r="Z85" s="21">
        <v>15.180899999999999</v>
      </c>
      <c r="AA85" s="21">
        <v>-1.3378900000000001E-2</v>
      </c>
      <c r="AB85" s="21">
        <v>75</v>
      </c>
      <c r="AC85" s="21">
        <v>1.39191</v>
      </c>
      <c r="AD85">
        <f t="shared" si="16"/>
        <v>16.517160493827159</v>
      </c>
      <c r="AE85">
        <f t="shared" si="17"/>
        <v>22.997833585185184</v>
      </c>
      <c r="AF85" s="9"/>
      <c r="AG85" s="21">
        <v>0.27771000000000001</v>
      </c>
      <c r="AH85" s="21">
        <v>18.939599999999999</v>
      </c>
      <c r="AI85" s="21">
        <v>-1.4981100000000001E-2</v>
      </c>
      <c r="AJ85" s="21">
        <v>75</v>
      </c>
      <c r="AK85" s="21">
        <v>0.27712999999999999</v>
      </c>
      <c r="AL85">
        <f t="shared" si="18"/>
        <v>18.495185185185186</v>
      </c>
      <c r="AM85">
        <f t="shared" si="19"/>
        <v>5.1362978777777784</v>
      </c>
      <c r="AP85" s="9"/>
      <c r="AQ85" s="21">
        <v>1.39236</v>
      </c>
      <c r="AR85" s="21">
        <v>24.382100000000001</v>
      </c>
      <c r="AS85" s="21">
        <v>-1.34521E-2</v>
      </c>
      <c r="AT85" s="21">
        <v>75</v>
      </c>
      <c r="AU85" s="21">
        <v>1.39069</v>
      </c>
      <c r="AV85">
        <f t="shared" si="20"/>
        <v>16.607530864197528</v>
      </c>
      <c r="AW85">
        <f t="shared" si="21"/>
        <v>23.123661674074071</v>
      </c>
      <c r="AX85" s="9"/>
      <c r="AY85" s="21">
        <v>0.27771000000000001</v>
      </c>
      <c r="AZ85" s="21">
        <v>28.140899999999998</v>
      </c>
      <c r="BA85" s="21">
        <v>-1.4975E-2</v>
      </c>
      <c r="BB85" s="21">
        <v>75</v>
      </c>
      <c r="BC85" s="21">
        <v>0.27712999999999999</v>
      </c>
      <c r="BD85">
        <f t="shared" si="22"/>
        <v>18.487654320987652</v>
      </c>
      <c r="BE85">
        <f t="shared" si="23"/>
        <v>5.1342064814814812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1.38733</v>
      </c>
      <c r="H86" s="21">
        <v>5.9647199999999998</v>
      </c>
      <c r="I86" s="21">
        <v>-1.34003E-2</v>
      </c>
      <c r="J86" s="21">
        <v>76</v>
      </c>
      <c r="K86" s="21">
        <v>1.3864099999999999</v>
      </c>
      <c r="L86">
        <f t="shared" si="12"/>
        <v>16.543580246913578</v>
      </c>
      <c r="M86">
        <f t="shared" si="13"/>
        <v>22.951405183950612</v>
      </c>
      <c r="N86" s="9"/>
      <c r="O86" s="21">
        <v>0.28274500000000002</v>
      </c>
      <c r="P86" s="21">
        <v>9.72349</v>
      </c>
      <c r="Q86" s="21">
        <v>-1.49658E-2</v>
      </c>
      <c r="R86" s="21">
        <v>76</v>
      </c>
      <c r="S86" s="21">
        <v>0.28213500000000002</v>
      </c>
      <c r="T86">
        <f t="shared" si="14"/>
        <v>18.476296296296297</v>
      </c>
      <c r="U86">
        <f t="shared" si="15"/>
        <v>5.2240803962962969</v>
      </c>
      <c r="X86" s="9"/>
      <c r="Y86" s="21">
        <v>1.38733</v>
      </c>
      <c r="Z86" s="21">
        <v>15.190899999999999</v>
      </c>
      <c r="AA86" s="21">
        <v>-1.3406400000000001E-2</v>
      </c>
      <c r="AB86" s="21">
        <v>76</v>
      </c>
      <c r="AC86" s="21">
        <v>1.3870199999999999</v>
      </c>
      <c r="AD86">
        <f t="shared" si="16"/>
        <v>16.551111111111108</v>
      </c>
      <c r="AE86">
        <f t="shared" si="17"/>
        <v>22.961852977777774</v>
      </c>
      <c r="AF86" s="9"/>
      <c r="AG86" s="21">
        <v>0.28274500000000002</v>
      </c>
      <c r="AH86" s="21">
        <v>18.9497</v>
      </c>
      <c r="AI86" s="21">
        <v>-1.49902E-2</v>
      </c>
      <c r="AJ86" s="21">
        <v>76</v>
      </c>
      <c r="AK86" s="21">
        <v>0.28213500000000002</v>
      </c>
      <c r="AL86">
        <f t="shared" si="18"/>
        <v>18.506419753086419</v>
      </c>
      <c r="AM86">
        <f t="shared" si="19"/>
        <v>5.2325976530864198</v>
      </c>
      <c r="AP86" s="9"/>
      <c r="AQ86" s="21">
        <v>1.38733</v>
      </c>
      <c r="AR86" s="21">
        <v>24.392199999999999</v>
      </c>
      <c r="AS86" s="21">
        <v>-1.34766E-2</v>
      </c>
      <c r="AT86" s="21">
        <v>76</v>
      </c>
      <c r="AU86" s="21">
        <v>1.3864099999999999</v>
      </c>
      <c r="AV86">
        <f t="shared" si="20"/>
        <v>16.637777777777774</v>
      </c>
      <c r="AW86">
        <f t="shared" si="21"/>
        <v>23.082088244444439</v>
      </c>
      <c r="AX86" s="9"/>
      <c r="AY86" s="21">
        <v>0.28274500000000002</v>
      </c>
      <c r="AZ86" s="21">
        <v>28.1509</v>
      </c>
      <c r="BA86" s="21">
        <v>-1.49719E-2</v>
      </c>
      <c r="BB86" s="21">
        <v>76</v>
      </c>
      <c r="BC86" s="21">
        <v>0.28222700000000001</v>
      </c>
      <c r="BD86">
        <f t="shared" si="22"/>
        <v>18.483827160493824</v>
      </c>
      <c r="BE86">
        <f t="shared" si="23"/>
        <v>5.2262097104938272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1.38229</v>
      </c>
      <c r="H87" s="21">
        <v>5.9747899999999996</v>
      </c>
      <c r="I87" s="21">
        <v>-1.3427700000000001E-2</v>
      </c>
      <c r="J87" s="21">
        <v>77</v>
      </c>
      <c r="K87" s="21">
        <v>1.38123</v>
      </c>
      <c r="L87">
        <f t="shared" si="12"/>
        <v>16.57740740740741</v>
      </c>
      <c r="M87">
        <f t="shared" si="13"/>
        <v>22.914784485185191</v>
      </c>
      <c r="N87" s="9"/>
      <c r="O87" s="21">
        <v>0.28778100000000001</v>
      </c>
      <c r="P87" s="21">
        <v>9.7335600000000007</v>
      </c>
      <c r="Q87" s="21">
        <v>-1.4959699999999999E-2</v>
      </c>
      <c r="R87" s="21">
        <v>77</v>
      </c>
      <c r="S87" s="21">
        <v>0.28723100000000001</v>
      </c>
      <c r="T87">
        <f t="shared" si="14"/>
        <v>18.468765432098763</v>
      </c>
      <c r="U87">
        <f t="shared" si="15"/>
        <v>5.314959784814814</v>
      </c>
      <c r="X87" s="9"/>
      <c r="Y87" s="21">
        <v>1.38229</v>
      </c>
      <c r="Z87" s="21">
        <v>15.201000000000001</v>
      </c>
      <c r="AA87" s="21">
        <v>-1.3427700000000001E-2</v>
      </c>
      <c r="AB87" s="21">
        <v>77</v>
      </c>
      <c r="AC87" s="21">
        <v>1.38184</v>
      </c>
      <c r="AD87">
        <f t="shared" si="16"/>
        <v>16.57740740740741</v>
      </c>
      <c r="AE87">
        <f t="shared" si="17"/>
        <v>22.914784485185191</v>
      </c>
      <c r="AF87" s="9"/>
      <c r="AG87" s="21">
        <v>0.28778100000000001</v>
      </c>
      <c r="AH87" s="21">
        <v>18.959800000000001</v>
      </c>
      <c r="AI87" s="21">
        <v>-1.4993299999999999E-2</v>
      </c>
      <c r="AJ87" s="21">
        <v>77</v>
      </c>
      <c r="AK87" s="21">
        <v>0.28726200000000002</v>
      </c>
      <c r="AL87">
        <f t="shared" si="18"/>
        <v>18.510246913580243</v>
      </c>
      <c r="AM87">
        <f t="shared" si="19"/>
        <v>5.3268973670370361</v>
      </c>
      <c r="AP87" s="9"/>
      <c r="AQ87" s="21">
        <v>1.38229</v>
      </c>
      <c r="AR87" s="21">
        <v>24.402200000000001</v>
      </c>
      <c r="AS87" s="21">
        <v>-1.34979E-2</v>
      </c>
      <c r="AT87" s="21">
        <v>77</v>
      </c>
      <c r="AU87" s="21">
        <v>1.3815299999999999</v>
      </c>
      <c r="AV87">
        <f t="shared" si="20"/>
        <v>16.664074074074072</v>
      </c>
      <c r="AW87">
        <f t="shared" si="21"/>
        <v>23.034582951851849</v>
      </c>
      <c r="AX87" s="9"/>
      <c r="AY87" s="21">
        <v>0.28778100000000001</v>
      </c>
      <c r="AZ87" s="21">
        <v>28.161000000000001</v>
      </c>
      <c r="BA87" s="21">
        <v>-1.49628E-2</v>
      </c>
      <c r="BB87" s="21">
        <v>77</v>
      </c>
      <c r="BC87" s="21">
        <v>0.28723100000000001</v>
      </c>
      <c r="BD87">
        <f t="shared" si="22"/>
        <v>18.472592592592594</v>
      </c>
      <c r="BE87">
        <f t="shared" si="23"/>
        <v>5.3160611688888899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1.3772599999999999</v>
      </c>
      <c r="H88" s="21">
        <v>5.9848600000000003</v>
      </c>
      <c r="I88" s="21">
        <v>-1.3446E-2</v>
      </c>
      <c r="J88" s="21">
        <v>78</v>
      </c>
      <c r="K88" s="21">
        <v>1.3763399999999999</v>
      </c>
      <c r="L88">
        <f t="shared" si="12"/>
        <v>16.599999999999998</v>
      </c>
      <c r="M88">
        <f t="shared" si="13"/>
        <v>22.862515999999996</v>
      </c>
      <c r="N88" s="9"/>
      <c r="O88" s="21">
        <v>0.29281600000000002</v>
      </c>
      <c r="P88" s="21">
        <v>9.7436299999999996</v>
      </c>
      <c r="Q88" s="21">
        <v>-1.49567E-2</v>
      </c>
      <c r="R88" s="21">
        <v>78</v>
      </c>
      <c r="S88" s="21">
        <v>0.29217500000000002</v>
      </c>
      <c r="T88">
        <f t="shared" si="14"/>
        <v>18.46506172839506</v>
      </c>
      <c r="U88">
        <f t="shared" si="15"/>
        <v>5.4068655150617282</v>
      </c>
      <c r="X88" s="9"/>
      <c r="Y88" s="21">
        <v>1.3772599999999999</v>
      </c>
      <c r="Z88" s="21">
        <v>15.2111</v>
      </c>
      <c r="AA88" s="21">
        <v>-1.34491E-2</v>
      </c>
      <c r="AB88" s="21">
        <v>78</v>
      </c>
      <c r="AC88" s="21">
        <v>1.3763399999999999</v>
      </c>
      <c r="AD88">
        <f t="shared" si="16"/>
        <v>16.603827160493829</v>
      </c>
      <c r="AE88">
        <f t="shared" si="17"/>
        <v>22.867786995061728</v>
      </c>
      <c r="AF88" s="9"/>
      <c r="AG88" s="21">
        <v>0.29281600000000002</v>
      </c>
      <c r="AH88" s="21">
        <v>18.969799999999999</v>
      </c>
      <c r="AI88" s="21">
        <v>-1.4993299999999999E-2</v>
      </c>
      <c r="AJ88" s="21">
        <v>78</v>
      </c>
      <c r="AK88" s="21">
        <v>0.292267</v>
      </c>
      <c r="AL88">
        <f t="shared" si="18"/>
        <v>18.510246913580243</v>
      </c>
      <c r="AM88">
        <f t="shared" si="19"/>
        <v>5.4200964602469126</v>
      </c>
      <c r="AP88" s="9"/>
      <c r="AQ88" s="21">
        <v>1.3772599999999999</v>
      </c>
      <c r="AR88" s="21">
        <v>24.412299999999998</v>
      </c>
      <c r="AS88" s="21">
        <v>-1.35254E-2</v>
      </c>
      <c r="AT88" s="21">
        <v>78</v>
      </c>
      <c r="AU88" s="21">
        <v>1.3760399999999999</v>
      </c>
      <c r="AV88">
        <f t="shared" si="20"/>
        <v>16.698024691358025</v>
      </c>
      <c r="AW88">
        <f t="shared" si="21"/>
        <v>22.997521486419753</v>
      </c>
      <c r="AX88" s="9"/>
      <c r="AY88" s="21">
        <v>0.29281600000000002</v>
      </c>
      <c r="AZ88" s="21">
        <v>28.171099999999999</v>
      </c>
      <c r="BA88" s="21">
        <v>-1.4959699999999999E-2</v>
      </c>
      <c r="BB88" s="21">
        <v>78</v>
      </c>
      <c r="BC88" s="21">
        <v>0.292236</v>
      </c>
      <c r="BD88">
        <f t="shared" si="22"/>
        <v>18.468765432098763</v>
      </c>
      <c r="BE88">
        <f t="shared" si="23"/>
        <v>5.4079500187654315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1.37222</v>
      </c>
      <c r="H89" s="21">
        <v>5.9949300000000001</v>
      </c>
      <c r="I89" s="21">
        <v>-1.34644E-2</v>
      </c>
      <c r="J89" s="21">
        <v>79</v>
      </c>
      <c r="K89" s="21">
        <v>1.3711500000000001</v>
      </c>
      <c r="L89">
        <f t="shared" si="12"/>
        <v>16.622716049382717</v>
      </c>
      <c r="M89">
        <f t="shared" si="13"/>
        <v>22.810023417283951</v>
      </c>
      <c r="N89" s="9"/>
      <c r="O89" s="21">
        <v>0.29785200000000001</v>
      </c>
      <c r="P89" s="21">
        <v>9.7537000000000003</v>
      </c>
      <c r="Q89" s="21">
        <v>-1.4947500000000001E-2</v>
      </c>
      <c r="R89" s="21">
        <v>79</v>
      </c>
      <c r="S89" s="21">
        <v>0.29739399999999999</v>
      </c>
      <c r="T89">
        <f t="shared" si="14"/>
        <v>18.453703703703706</v>
      </c>
      <c r="U89">
        <f t="shared" si="15"/>
        <v>5.496472555555556</v>
      </c>
      <c r="X89" s="9"/>
      <c r="Y89" s="21">
        <v>1.37222</v>
      </c>
      <c r="Z89" s="21">
        <v>15.2211</v>
      </c>
      <c r="AA89" s="21">
        <v>-1.3473499999999999E-2</v>
      </c>
      <c r="AB89" s="21">
        <v>79</v>
      </c>
      <c r="AC89" s="21">
        <v>1.3708499999999999</v>
      </c>
      <c r="AD89">
        <f t="shared" si="16"/>
        <v>16.633950617283947</v>
      </c>
      <c r="AE89">
        <f t="shared" si="17"/>
        <v>22.825439716049377</v>
      </c>
      <c r="AF89" s="9"/>
      <c r="AG89" s="21">
        <v>0.29785200000000001</v>
      </c>
      <c r="AH89" s="21">
        <v>18.979900000000001</v>
      </c>
      <c r="AI89" s="21">
        <v>-1.4993299999999999E-2</v>
      </c>
      <c r="AJ89" s="21">
        <v>79</v>
      </c>
      <c r="AK89" s="21">
        <v>0.29724099999999998</v>
      </c>
      <c r="AL89">
        <f t="shared" si="18"/>
        <v>18.510246913580243</v>
      </c>
      <c r="AM89">
        <f t="shared" si="19"/>
        <v>5.513314063703703</v>
      </c>
      <c r="AP89" s="9"/>
      <c r="AQ89" s="21">
        <v>1.37222</v>
      </c>
      <c r="AR89" s="21">
        <v>24.4224</v>
      </c>
      <c r="AS89" s="21">
        <v>-1.35529E-2</v>
      </c>
      <c r="AT89" s="21">
        <v>79</v>
      </c>
      <c r="AU89" s="21">
        <v>1.3717699999999999</v>
      </c>
      <c r="AV89">
        <f t="shared" si="20"/>
        <v>16.731975308641974</v>
      </c>
      <c r="AW89">
        <f t="shared" si="21"/>
        <v>22.95995115802469</v>
      </c>
      <c r="AX89" s="9"/>
      <c r="AY89" s="21">
        <v>0.29785200000000001</v>
      </c>
      <c r="AZ89" s="21">
        <v>28.181100000000001</v>
      </c>
      <c r="BA89" s="21">
        <v>-1.49658E-2</v>
      </c>
      <c r="BB89" s="21">
        <v>79</v>
      </c>
      <c r="BC89" s="21">
        <v>0.29715000000000003</v>
      </c>
      <c r="BD89">
        <f t="shared" si="22"/>
        <v>18.476296296296297</v>
      </c>
      <c r="BE89">
        <f t="shared" si="23"/>
        <v>5.5032018044444451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1.3671899999999999</v>
      </c>
      <c r="H90" s="21">
        <v>6.0049999999999999</v>
      </c>
      <c r="I90" s="21">
        <v>-1.34827E-2</v>
      </c>
      <c r="J90" s="21">
        <v>80</v>
      </c>
      <c r="K90" s="21">
        <v>1.3662700000000001</v>
      </c>
      <c r="L90">
        <f t="shared" si="12"/>
        <v>16.645308641975308</v>
      </c>
      <c r="M90">
        <f t="shared" si="13"/>
        <v>22.757299522222219</v>
      </c>
      <c r="N90" s="9"/>
      <c r="O90" s="21">
        <v>0.30288700000000002</v>
      </c>
      <c r="P90" s="21">
        <v>9.7637699999999992</v>
      </c>
      <c r="Q90" s="21">
        <v>-1.4938399999999999E-2</v>
      </c>
      <c r="R90" s="21">
        <v>80</v>
      </c>
      <c r="S90" s="21">
        <v>0.30218499999999998</v>
      </c>
      <c r="T90">
        <f t="shared" si="14"/>
        <v>18.442469135802465</v>
      </c>
      <c r="U90">
        <f t="shared" si="15"/>
        <v>5.5859841491358013</v>
      </c>
      <c r="X90" s="9"/>
      <c r="Y90" s="21">
        <v>1.3671899999999999</v>
      </c>
      <c r="Z90" s="21">
        <v>15.231199999999999</v>
      </c>
      <c r="AA90" s="21">
        <v>-1.3494900000000001E-2</v>
      </c>
      <c r="AB90" s="21">
        <v>80</v>
      </c>
      <c r="AC90" s="21">
        <v>1.3662700000000001</v>
      </c>
      <c r="AD90">
        <f t="shared" si="16"/>
        <v>16.660370370370369</v>
      </c>
      <c r="AE90">
        <f t="shared" si="17"/>
        <v>22.777891766666663</v>
      </c>
      <c r="AF90" s="9"/>
      <c r="AG90" s="21">
        <v>0.30288700000000002</v>
      </c>
      <c r="AH90" s="21">
        <v>18.989999999999998</v>
      </c>
      <c r="AI90" s="21">
        <v>-1.49902E-2</v>
      </c>
      <c r="AJ90" s="21">
        <v>80</v>
      </c>
      <c r="AK90" s="21">
        <v>0.30218499999999998</v>
      </c>
      <c r="AL90">
        <f t="shared" si="18"/>
        <v>18.506419753086419</v>
      </c>
      <c r="AM90">
        <f t="shared" si="19"/>
        <v>5.6053539597530868</v>
      </c>
      <c r="AP90" s="9"/>
      <c r="AQ90" s="21">
        <v>1.3671899999999999</v>
      </c>
      <c r="AR90" s="21">
        <v>24.432400000000001</v>
      </c>
      <c r="AS90" s="21">
        <v>-1.35742E-2</v>
      </c>
      <c r="AT90" s="21">
        <v>80</v>
      </c>
      <c r="AU90" s="21">
        <v>1.3662700000000001</v>
      </c>
      <c r="AV90">
        <f t="shared" si="20"/>
        <v>16.758271604938273</v>
      </c>
      <c r="AW90">
        <f t="shared" si="21"/>
        <v>22.911741355555556</v>
      </c>
      <c r="AX90" s="9"/>
      <c r="AY90" s="21">
        <v>0.30288700000000002</v>
      </c>
      <c r="AZ90" s="21">
        <v>28.191199999999998</v>
      </c>
      <c r="BA90" s="21">
        <v>-1.49658E-2</v>
      </c>
      <c r="BB90" s="21">
        <v>80</v>
      </c>
      <c r="BC90" s="21">
        <v>0.30227700000000002</v>
      </c>
      <c r="BD90">
        <f t="shared" si="22"/>
        <v>18.476296296296297</v>
      </c>
      <c r="BE90">
        <f t="shared" si="23"/>
        <v>5.5962299562962965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1.36215</v>
      </c>
      <c r="H91" s="21">
        <v>6.0150699999999997</v>
      </c>
      <c r="I91" s="21">
        <v>-1.3504E-2</v>
      </c>
      <c r="J91" s="21">
        <v>81</v>
      </c>
      <c r="K91" s="21">
        <v>1.3610800000000001</v>
      </c>
      <c r="L91">
        <f t="shared" si="12"/>
        <v>16.671604938271606</v>
      </c>
      <c r="M91">
        <f t="shared" si="13"/>
        <v>22.70922666666667</v>
      </c>
      <c r="N91" s="9"/>
      <c r="O91" s="21">
        <v>0.30792199999999997</v>
      </c>
      <c r="P91" s="21">
        <v>9.7738399999999999</v>
      </c>
      <c r="Q91" s="21">
        <v>-1.49353E-2</v>
      </c>
      <c r="R91" s="21">
        <v>81</v>
      </c>
      <c r="S91" s="21">
        <v>0.30734299999999998</v>
      </c>
      <c r="T91">
        <f t="shared" si="14"/>
        <v>18.438641975308641</v>
      </c>
      <c r="U91">
        <f t="shared" si="15"/>
        <v>5.6776635143209866</v>
      </c>
      <c r="X91" s="9"/>
      <c r="Y91" s="21">
        <v>1.36215</v>
      </c>
      <c r="Z91" s="21">
        <v>15.241300000000001</v>
      </c>
      <c r="AA91" s="21">
        <v>-1.3516200000000001E-2</v>
      </c>
      <c r="AB91" s="21">
        <v>81</v>
      </c>
      <c r="AC91" s="21">
        <v>1.3613900000000001</v>
      </c>
      <c r="AD91">
        <f t="shared" si="16"/>
        <v>16.686666666666664</v>
      </c>
      <c r="AE91">
        <f t="shared" si="17"/>
        <v>22.729742999999996</v>
      </c>
      <c r="AF91" s="9"/>
      <c r="AG91" s="21">
        <v>0.30792199999999997</v>
      </c>
      <c r="AH91" s="21">
        <v>19</v>
      </c>
      <c r="AI91" s="21">
        <v>-1.4975E-2</v>
      </c>
      <c r="AJ91" s="21">
        <v>81</v>
      </c>
      <c r="AK91" s="21">
        <v>0.30734299999999998</v>
      </c>
      <c r="AL91">
        <f t="shared" si="18"/>
        <v>18.487654320987652</v>
      </c>
      <c r="AM91">
        <f t="shared" si="19"/>
        <v>5.6927554938271587</v>
      </c>
      <c r="AP91" s="9"/>
      <c r="AQ91" s="21">
        <v>1.36215</v>
      </c>
      <c r="AR91" s="21">
        <v>24.442499999999999</v>
      </c>
      <c r="AS91" s="21">
        <v>-1.3598600000000001E-2</v>
      </c>
      <c r="AT91" s="21">
        <v>81</v>
      </c>
      <c r="AU91" s="21">
        <v>1.3620000000000001</v>
      </c>
      <c r="AV91">
        <f t="shared" si="20"/>
        <v>16.788395061728394</v>
      </c>
      <c r="AW91">
        <f t="shared" si="21"/>
        <v>22.868312333333332</v>
      </c>
      <c r="AX91" s="9"/>
      <c r="AY91" s="21">
        <v>0.30792199999999997</v>
      </c>
      <c r="AZ91" s="21">
        <v>28.2013</v>
      </c>
      <c r="BA91" s="21">
        <v>-1.49567E-2</v>
      </c>
      <c r="BB91" s="21">
        <v>81</v>
      </c>
      <c r="BC91" s="21">
        <v>0.307251</v>
      </c>
      <c r="BD91">
        <f t="shared" si="22"/>
        <v>18.46506172839506</v>
      </c>
      <c r="BE91">
        <f t="shared" si="23"/>
        <v>5.6857987375308632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1.3571200000000001</v>
      </c>
      <c r="H92" s="21">
        <v>6.0251400000000004</v>
      </c>
      <c r="I92" s="21">
        <v>-1.35254E-2</v>
      </c>
      <c r="J92" s="21">
        <v>82</v>
      </c>
      <c r="K92" s="21">
        <v>1.3565100000000001</v>
      </c>
      <c r="L92">
        <f t="shared" si="12"/>
        <v>16.698024691358025</v>
      </c>
      <c r="M92">
        <f t="shared" si="13"/>
        <v>22.661223269135807</v>
      </c>
      <c r="N92" s="9"/>
      <c r="O92" s="21">
        <v>0.31295800000000001</v>
      </c>
      <c r="P92" s="21">
        <v>9.7839100000000006</v>
      </c>
      <c r="Q92" s="21">
        <v>-1.4932300000000001E-2</v>
      </c>
      <c r="R92" s="21">
        <v>82</v>
      </c>
      <c r="S92" s="21">
        <v>0.31237799999999999</v>
      </c>
      <c r="T92">
        <f t="shared" si="14"/>
        <v>18.434938271604938</v>
      </c>
      <c r="U92">
        <f t="shared" si="15"/>
        <v>5.7693614116049385</v>
      </c>
      <c r="X92" s="9"/>
      <c r="Y92" s="21">
        <v>1.3571200000000001</v>
      </c>
      <c r="Z92" s="21">
        <v>15.2514</v>
      </c>
      <c r="AA92" s="21">
        <v>-1.35376E-2</v>
      </c>
      <c r="AB92" s="21">
        <v>82</v>
      </c>
      <c r="AC92" s="21">
        <v>1.3559000000000001</v>
      </c>
      <c r="AD92">
        <f t="shared" si="16"/>
        <v>16.713086419753086</v>
      </c>
      <c r="AE92">
        <f t="shared" si="17"/>
        <v>22.681663841975311</v>
      </c>
      <c r="AF92" s="9"/>
      <c r="AG92" s="21">
        <v>0.31295800000000001</v>
      </c>
      <c r="AH92" s="21">
        <v>19.010100000000001</v>
      </c>
      <c r="AI92" s="21">
        <v>-1.4975E-2</v>
      </c>
      <c r="AJ92" s="21">
        <v>82</v>
      </c>
      <c r="AK92" s="21">
        <v>0.31234699999999999</v>
      </c>
      <c r="AL92">
        <f t="shared" si="18"/>
        <v>18.487654320987652</v>
      </c>
      <c r="AM92">
        <f t="shared" si="19"/>
        <v>5.7858593209876537</v>
      </c>
      <c r="AP92" s="9"/>
      <c r="AQ92" s="21">
        <v>1.3571200000000001</v>
      </c>
      <c r="AR92" s="21">
        <v>24.4526</v>
      </c>
      <c r="AS92" s="21">
        <v>-1.36139E-2</v>
      </c>
      <c r="AT92" s="21">
        <v>82</v>
      </c>
      <c r="AU92" s="21">
        <v>1.3568100000000001</v>
      </c>
      <c r="AV92">
        <f t="shared" si="20"/>
        <v>16.807283950617283</v>
      </c>
      <c r="AW92">
        <f t="shared" si="21"/>
        <v>22.809501195061728</v>
      </c>
      <c r="AX92" s="9"/>
      <c r="AY92" s="21">
        <v>0.31295800000000001</v>
      </c>
      <c r="AZ92" s="21">
        <v>28.211400000000001</v>
      </c>
      <c r="BA92" s="21">
        <v>-1.4944499999999999E-2</v>
      </c>
      <c r="BB92" s="21">
        <v>82</v>
      </c>
      <c r="BC92" s="21">
        <v>0.31228600000000001</v>
      </c>
      <c r="BD92">
        <f t="shared" si="22"/>
        <v>18.45</v>
      </c>
      <c r="BE92">
        <f t="shared" si="23"/>
        <v>5.7740751000000001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1.3520799999999999</v>
      </c>
      <c r="H93" s="21">
        <v>6.0352199999999998</v>
      </c>
      <c r="I93" s="21">
        <v>-1.3549800000000001E-2</v>
      </c>
      <c r="J93" s="21">
        <v>83</v>
      </c>
      <c r="K93" s="21">
        <v>1.3513200000000001</v>
      </c>
      <c r="L93">
        <f t="shared" si="12"/>
        <v>16.728148148148147</v>
      </c>
      <c r="M93">
        <f t="shared" si="13"/>
        <v>22.617794548148147</v>
      </c>
      <c r="N93" s="9"/>
      <c r="O93" s="21">
        <v>0.31799300000000003</v>
      </c>
      <c r="P93" s="21">
        <v>9.7939799999999995</v>
      </c>
      <c r="Q93" s="21">
        <v>-1.4941400000000001E-2</v>
      </c>
      <c r="R93" s="21">
        <v>83</v>
      </c>
      <c r="S93" s="21">
        <v>0.317444</v>
      </c>
      <c r="T93">
        <f t="shared" si="14"/>
        <v>18.446172839506172</v>
      </c>
      <c r="U93">
        <f t="shared" si="15"/>
        <v>5.8657538397530864</v>
      </c>
      <c r="X93" s="9"/>
      <c r="Y93" s="21">
        <v>1.3520799999999999</v>
      </c>
      <c r="Z93" s="21">
        <v>15.2614</v>
      </c>
      <c r="AA93" s="21">
        <v>-1.3559E-2</v>
      </c>
      <c r="AB93" s="21">
        <v>83</v>
      </c>
      <c r="AC93" s="21">
        <v>1.35162</v>
      </c>
      <c r="AD93">
        <f t="shared" si="16"/>
        <v>16.739506172839505</v>
      </c>
      <c r="AE93">
        <f t="shared" si="17"/>
        <v>22.633151506172837</v>
      </c>
      <c r="AF93" s="9"/>
      <c r="AG93" s="21">
        <v>0.31799300000000003</v>
      </c>
      <c r="AH93" s="21">
        <v>19.020199999999999</v>
      </c>
      <c r="AI93" s="21">
        <v>-1.4978E-2</v>
      </c>
      <c r="AJ93" s="21">
        <v>83</v>
      </c>
      <c r="AK93" s="21">
        <v>0.31735200000000002</v>
      </c>
      <c r="AL93">
        <f t="shared" si="18"/>
        <v>18.491358024691355</v>
      </c>
      <c r="AM93">
        <f t="shared" si="19"/>
        <v>5.8801224123456786</v>
      </c>
      <c r="AP93" s="9"/>
      <c r="AQ93" s="21">
        <v>1.3520799999999999</v>
      </c>
      <c r="AR93" s="21">
        <v>24.462700000000002</v>
      </c>
      <c r="AS93" s="21">
        <v>-1.36353E-2</v>
      </c>
      <c r="AT93" s="21">
        <v>83</v>
      </c>
      <c r="AU93" s="21">
        <v>1.35162</v>
      </c>
      <c r="AV93">
        <f t="shared" si="20"/>
        <v>16.833703703703701</v>
      </c>
      <c r="AW93">
        <f t="shared" si="21"/>
        <v>22.760514103703699</v>
      </c>
      <c r="AX93" s="9"/>
      <c r="AY93" s="21">
        <v>0.31799300000000003</v>
      </c>
      <c r="AZ93" s="21">
        <v>28.221399999999999</v>
      </c>
      <c r="BA93" s="21">
        <v>-1.4932300000000001E-2</v>
      </c>
      <c r="BB93" s="21">
        <v>83</v>
      </c>
      <c r="BC93" s="21">
        <v>0.317413</v>
      </c>
      <c r="BD93">
        <f t="shared" si="22"/>
        <v>18.434938271604938</v>
      </c>
      <c r="BE93">
        <f t="shared" si="23"/>
        <v>5.86218132580247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1.3470500000000001</v>
      </c>
      <c r="H94" s="21">
        <v>6.0452899999999996</v>
      </c>
      <c r="I94" s="21">
        <v>-1.35773E-2</v>
      </c>
      <c r="J94" s="21">
        <v>84</v>
      </c>
      <c r="K94" s="21">
        <v>1.34613</v>
      </c>
      <c r="L94">
        <f t="shared" si="12"/>
        <v>16.7620987654321</v>
      </c>
      <c r="M94">
        <f t="shared" si="13"/>
        <v>22.579385141975312</v>
      </c>
      <c r="N94" s="9"/>
      <c r="O94" s="21">
        <v>0.32302900000000001</v>
      </c>
      <c r="P94" s="21">
        <v>9.8040500000000002</v>
      </c>
      <c r="Q94" s="21">
        <v>-1.4938399999999999E-2</v>
      </c>
      <c r="R94" s="21">
        <v>84</v>
      </c>
      <c r="S94" s="21">
        <v>0.32247900000000002</v>
      </c>
      <c r="T94">
        <f t="shared" si="14"/>
        <v>18.442469135802465</v>
      </c>
      <c r="U94">
        <f t="shared" si="15"/>
        <v>5.9574523624691347</v>
      </c>
      <c r="X94" s="9"/>
      <c r="Y94" s="21">
        <v>1.3470500000000001</v>
      </c>
      <c r="Z94" s="21">
        <v>15.2715</v>
      </c>
      <c r="AA94" s="21">
        <v>-1.35803E-2</v>
      </c>
      <c r="AB94" s="21">
        <v>84</v>
      </c>
      <c r="AC94" s="21">
        <v>1.3458300000000001</v>
      </c>
      <c r="AD94">
        <f t="shared" si="16"/>
        <v>16.765802469135803</v>
      </c>
      <c r="AE94">
        <f t="shared" si="17"/>
        <v>22.584374216049383</v>
      </c>
      <c r="AF94" s="9"/>
      <c r="AG94" s="21">
        <v>0.32302900000000001</v>
      </c>
      <c r="AH94" s="21">
        <v>19.0303</v>
      </c>
      <c r="AI94" s="21">
        <v>-1.4981100000000001E-2</v>
      </c>
      <c r="AJ94" s="21">
        <v>84</v>
      </c>
      <c r="AK94" s="21">
        <v>0.32241799999999998</v>
      </c>
      <c r="AL94">
        <f t="shared" si="18"/>
        <v>18.495185185185186</v>
      </c>
      <c r="AM94">
        <f t="shared" si="19"/>
        <v>5.9744811751851854</v>
      </c>
      <c r="AP94" s="9"/>
      <c r="AQ94" s="21">
        <v>1.3470500000000001</v>
      </c>
      <c r="AR94" s="21">
        <v>24.4727</v>
      </c>
      <c r="AS94" s="21">
        <v>-1.36536E-2</v>
      </c>
      <c r="AT94" s="21">
        <v>84</v>
      </c>
      <c r="AU94" s="21">
        <v>1.34613</v>
      </c>
      <c r="AV94">
        <f t="shared" si="20"/>
        <v>16.856296296296296</v>
      </c>
      <c r="AW94">
        <f t="shared" si="21"/>
        <v>22.706273925925927</v>
      </c>
      <c r="AX94" s="9"/>
      <c r="AY94" s="21">
        <v>0.32302900000000001</v>
      </c>
      <c r="AZ94" s="21">
        <v>28.2315</v>
      </c>
      <c r="BA94" s="21">
        <v>-1.49292E-2</v>
      </c>
      <c r="BB94" s="21">
        <v>84</v>
      </c>
      <c r="BC94" s="21">
        <v>0.322357</v>
      </c>
      <c r="BD94">
        <f t="shared" si="22"/>
        <v>18.431111111111111</v>
      </c>
      <c r="BE94">
        <f t="shared" si="23"/>
        <v>5.9537833911111111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1.3420099999999999</v>
      </c>
      <c r="H95" s="21">
        <v>6.0553600000000003</v>
      </c>
      <c r="I95" s="21">
        <v>-1.3598600000000001E-2</v>
      </c>
      <c r="J95" s="21">
        <v>85</v>
      </c>
      <c r="K95" s="21">
        <v>1.3412500000000001</v>
      </c>
      <c r="L95">
        <f t="shared" si="12"/>
        <v>16.788395061728394</v>
      </c>
      <c r="M95">
        <f t="shared" si="13"/>
        <v>22.530194056790123</v>
      </c>
      <c r="N95" s="9"/>
      <c r="O95" s="21">
        <v>0.32806400000000002</v>
      </c>
      <c r="P95" s="21">
        <v>9.8141200000000008</v>
      </c>
      <c r="Q95" s="21">
        <v>-1.4938399999999999E-2</v>
      </c>
      <c r="R95" s="21">
        <v>85</v>
      </c>
      <c r="S95" s="21">
        <v>0.32739299999999999</v>
      </c>
      <c r="T95">
        <f t="shared" si="14"/>
        <v>18.442469135802465</v>
      </c>
      <c r="U95">
        <f t="shared" si="15"/>
        <v>6.0503101945679001</v>
      </c>
      <c r="X95" s="9"/>
      <c r="Y95" s="21">
        <v>1.3420099999999999</v>
      </c>
      <c r="Z95" s="21">
        <v>15.281599999999999</v>
      </c>
      <c r="AA95" s="21">
        <v>-1.36078E-2</v>
      </c>
      <c r="AB95" s="21">
        <v>85</v>
      </c>
      <c r="AC95" s="21">
        <v>1.34094</v>
      </c>
      <c r="AD95">
        <f t="shared" si="16"/>
        <v>16.799753086419752</v>
      </c>
      <c r="AE95">
        <f t="shared" si="17"/>
        <v>22.545436639506171</v>
      </c>
      <c r="AF95" s="9"/>
      <c r="AG95" s="21">
        <v>0.32806400000000002</v>
      </c>
      <c r="AH95" s="21">
        <v>19.040299999999998</v>
      </c>
      <c r="AI95" s="21">
        <v>-1.4981100000000001E-2</v>
      </c>
      <c r="AJ95" s="21">
        <v>85</v>
      </c>
      <c r="AK95" s="21">
        <v>0.32745400000000002</v>
      </c>
      <c r="AL95">
        <f t="shared" si="18"/>
        <v>18.495185185185186</v>
      </c>
      <c r="AM95">
        <f t="shared" si="19"/>
        <v>6.0676044325925931</v>
      </c>
      <c r="AP95" s="9"/>
      <c r="AQ95" s="21">
        <v>1.3420099999999999</v>
      </c>
      <c r="AR95" s="21">
        <v>24.482800000000001</v>
      </c>
      <c r="AS95" s="21">
        <v>-1.36688E-2</v>
      </c>
      <c r="AT95" s="21">
        <v>85</v>
      </c>
      <c r="AU95" s="21">
        <v>1.34094</v>
      </c>
      <c r="AV95">
        <f t="shared" si="20"/>
        <v>16.87506172839506</v>
      </c>
      <c r="AW95">
        <f t="shared" si="21"/>
        <v>22.646501590123453</v>
      </c>
      <c r="AX95" s="9"/>
      <c r="AY95" s="21">
        <v>0.32806400000000002</v>
      </c>
      <c r="AZ95" s="21">
        <v>28.241599999999998</v>
      </c>
      <c r="BA95" s="21">
        <v>-1.4938399999999999E-2</v>
      </c>
      <c r="BB95" s="21">
        <v>85</v>
      </c>
      <c r="BC95" s="21">
        <v>0.327484</v>
      </c>
      <c r="BD95">
        <f t="shared" si="22"/>
        <v>18.442469135802465</v>
      </c>
      <c r="BE95">
        <f t="shared" si="23"/>
        <v>6.0503101945679001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1.3369800000000001</v>
      </c>
      <c r="H96" s="21">
        <v>6.0654300000000001</v>
      </c>
      <c r="I96" s="21">
        <v>-1.3616899999999999E-2</v>
      </c>
      <c r="J96" s="21">
        <v>86</v>
      </c>
      <c r="K96" s="21">
        <v>1.33606</v>
      </c>
      <c r="L96">
        <f t="shared" si="12"/>
        <v>16.810987654320986</v>
      </c>
      <c r="M96">
        <f t="shared" si="13"/>
        <v>22.475954274074073</v>
      </c>
      <c r="N96" s="9"/>
      <c r="O96" s="21">
        <v>0.33309899999999998</v>
      </c>
      <c r="P96" s="21">
        <v>9.8241999999999994</v>
      </c>
      <c r="Q96" s="21">
        <v>-1.4944499999999999E-2</v>
      </c>
      <c r="R96" s="21">
        <v>86</v>
      </c>
      <c r="S96" s="21">
        <v>0.33251999999999998</v>
      </c>
      <c r="T96">
        <f t="shared" si="14"/>
        <v>18.45</v>
      </c>
      <c r="U96">
        <f t="shared" si="15"/>
        <v>6.1456765499999992</v>
      </c>
      <c r="X96" s="9"/>
      <c r="Y96" s="21">
        <v>1.3369800000000001</v>
      </c>
      <c r="Z96" s="21">
        <v>15.291600000000001</v>
      </c>
      <c r="AA96" s="21">
        <v>-1.3632200000000001E-2</v>
      </c>
      <c r="AB96" s="21">
        <v>86</v>
      </c>
      <c r="AC96" s="21">
        <v>1.33636</v>
      </c>
      <c r="AD96">
        <f t="shared" si="16"/>
        <v>16.829876543209878</v>
      </c>
      <c r="AE96">
        <f t="shared" si="17"/>
        <v>22.501208340740742</v>
      </c>
      <c r="AF96" s="9"/>
      <c r="AG96" s="21">
        <v>0.33309899999999998</v>
      </c>
      <c r="AH96" s="21">
        <v>19.0504</v>
      </c>
      <c r="AI96" s="21">
        <v>-1.4975E-2</v>
      </c>
      <c r="AJ96" s="21">
        <v>86</v>
      </c>
      <c r="AK96" s="21">
        <v>0.332397</v>
      </c>
      <c r="AL96">
        <f t="shared" si="18"/>
        <v>18.487654320987652</v>
      </c>
      <c r="AM96">
        <f t="shared" si="19"/>
        <v>6.1582191666666652</v>
      </c>
      <c r="AP96" s="9"/>
      <c r="AQ96" s="21">
        <v>1.3369800000000001</v>
      </c>
      <c r="AR96" s="21">
        <v>24.492899999999999</v>
      </c>
      <c r="AS96" s="21">
        <v>-1.3681E-2</v>
      </c>
      <c r="AT96" s="21">
        <v>86</v>
      </c>
      <c r="AU96" s="21">
        <v>1.33575</v>
      </c>
      <c r="AV96">
        <f t="shared" si="20"/>
        <v>16.890123456790121</v>
      </c>
      <c r="AW96">
        <f t="shared" si="21"/>
        <v>22.581757259259259</v>
      </c>
      <c r="AX96" s="9"/>
      <c r="AY96" s="21">
        <v>0.33309899999999998</v>
      </c>
      <c r="AZ96" s="21">
        <v>28.2516</v>
      </c>
      <c r="BA96" s="21">
        <v>-1.4944499999999999E-2</v>
      </c>
      <c r="BB96" s="21">
        <v>86</v>
      </c>
      <c r="BC96" s="21">
        <v>0.33258100000000002</v>
      </c>
      <c r="BD96">
        <f t="shared" si="22"/>
        <v>18.45</v>
      </c>
      <c r="BE96">
        <f t="shared" si="23"/>
        <v>6.1456765499999992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1.3319399999999999</v>
      </c>
      <c r="H97" s="21">
        <v>6.0754999999999999</v>
      </c>
      <c r="I97" s="21">
        <v>-1.3632200000000001E-2</v>
      </c>
      <c r="J97" s="21">
        <v>87</v>
      </c>
      <c r="K97" s="21">
        <v>1.33179</v>
      </c>
      <c r="L97">
        <f t="shared" si="12"/>
        <v>16.829876543209878</v>
      </c>
      <c r="M97">
        <f t="shared" si="13"/>
        <v>22.416385762962964</v>
      </c>
      <c r="N97" s="9"/>
      <c r="O97" s="21">
        <v>0.33813500000000002</v>
      </c>
      <c r="P97" s="21">
        <v>9.8342700000000001</v>
      </c>
      <c r="Q97" s="21">
        <v>-1.49353E-2</v>
      </c>
      <c r="R97" s="21">
        <v>87</v>
      </c>
      <c r="S97" s="21">
        <v>0.33749400000000002</v>
      </c>
      <c r="T97">
        <f t="shared" si="14"/>
        <v>18.438641975308641</v>
      </c>
      <c r="U97">
        <f t="shared" si="15"/>
        <v>6.2347502043209877</v>
      </c>
      <c r="X97" s="9"/>
      <c r="Y97" s="21">
        <v>1.3319399999999999</v>
      </c>
      <c r="Z97" s="21">
        <v>15.3017</v>
      </c>
      <c r="AA97" s="21">
        <v>-1.3650499999999999E-2</v>
      </c>
      <c r="AB97" s="21">
        <v>87</v>
      </c>
      <c r="AC97" s="21">
        <v>1.33118</v>
      </c>
      <c r="AD97">
        <f t="shared" si="16"/>
        <v>16.852469135802469</v>
      </c>
      <c r="AE97">
        <f t="shared" si="17"/>
        <v>22.44647774074074</v>
      </c>
      <c r="AF97" s="9"/>
      <c r="AG97" s="21">
        <v>0.33813500000000002</v>
      </c>
      <c r="AH97" s="21">
        <v>19.060500000000001</v>
      </c>
      <c r="AI97" s="21">
        <v>-1.49719E-2</v>
      </c>
      <c r="AJ97" s="21">
        <v>87</v>
      </c>
      <c r="AK97" s="21">
        <v>0.33761600000000003</v>
      </c>
      <c r="AL97">
        <f t="shared" si="18"/>
        <v>18.483827160493824</v>
      </c>
      <c r="AM97">
        <f t="shared" si="19"/>
        <v>6.2500288969135793</v>
      </c>
      <c r="AP97" s="9"/>
      <c r="AQ97" s="21">
        <v>1.3319399999999999</v>
      </c>
      <c r="AR97" s="21">
        <v>24.5029</v>
      </c>
      <c r="AS97" s="21">
        <v>-1.36963E-2</v>
      </c>
      <c r="AT97" s="21">
        <v>87</v>
      </c>
      <c r="AU97" s="21">
        <v>1.33087</v>
      </c>
      <c r="AV97">
        <f t="shared" si="20"/>
        <v>16.90901234567901</v>
      </c>
      <c r="AW97">
        <f t="shared" si="21"/>
        <v>22.521789903703699</v>
      </c>
      <c r="AX97" s="9"/>
      <c r="AY97" s="21">
        <v>0.33813500000000002</v>
      </c>
      <c r="AZ97" s="21">
        <v>28.261700000000001</v>
      </c>
      <c r="BA97" s="21">
        <v>-1.4953599999999999E-2</v>
      </c>
      <c r="BB97" s="21">
        <v>87</v>
      </c>
      <c r="BC97" s="21">
        <v>0.33770800000000001</v>
      </c>
      <c r="BD97">
        <f t="shared" si="22"/>
        <v>18.461234567901233</v>
      </c>
      <c r="BE97">
        <f t="shared" si="23"/>
        <v>6.2423895506172835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1.3269</v>
      </c>
      <c r="H98" s="21">
        <v>6.0855699999999997</v>
      </c>
      <c r="I98" s="21">
        <v>-1.3644399999999999E-2</v>
      </c>
      <c r="J98" s="21">
        <v>88</v>
      </c>
      <c r="K98" s="21">
        <v>1.32629</v>
      </c>
      <c r="L98">
        <f t="shared" si="12"/>
        <v>16.844938271604939</v>
      </c>
      <c r="M98">
        <f t="shared" si="13"/>
        <v>22.351548592592593</v>
      </c>
      <c r="N98" s="9"/>
      <c r="O98" s="21">
        <v>0.34316999999999998</v>
      </c>
      <c r="P98" s="21">
        <v>9.8443400000000008</v>
      </c>
      <c r="Q98" s="21">
        <v>-1.49353E-2</v>
      </c>
      <c r="R98" s="21">
        <v>88</v>
      </c>
      <c r="S98" s="21">
        <v>0.34262100000000001</v>
      </c>
      <c r="T98">
        <f t="shared" si="14"/>
        <v>18.438641975308641</v>
      </c>
      <c r="U98">
        <f t="shared" si="15"/>
        <v>6.3275887666666657</v>
      </c>
      <c r="X98" s="9"/>
      <c r="Y98" s="21">
        <v>1.3269</v>
      </c>
      <c r="Z98" s="21">
        <v>15.3118</v>
      </c>
      <c r="AA98" s="21">
        <v>-1.3665800000000001E-2</v>
      </c>
      <c r="AB98" s="21">
        <v>88</v>
      </c>
      <c r="AC98" s="21">
        <v>1.32629</v>
      </c>
      <c r="AD98">
        <f t="shared" si="16"/>
        <v>16.871358024691357</v>
      </c>
      <c r="AE98">
        <f t="shared" si="17"/>
        <v>22.386604962962963</v>
      </c>
      <c r="AF98" s="9"/>
      <c r="AG98" s="21">
        <v>0.34316999999999998</v>
      </c>
      <c r="AH98" s="21">
        <v>19.070499999999999</v>
      </c>
      <c r="AI98" s="21">
        <v>-1.49719E-2</v>
      </c>
      <c r="AJ98" s="21">
        <v>88</v>
      </c>
      <c r="AK98" s="21">
        <v>0.34255999999999998</v>
      </c>
      <c r="AL98">
        <f t="shared" si="18"/>
        <v>18.483827160493824</v>
      </c>
      <c r="AM98">
        <f t="shared" si="19"/>
        <v>6.3430949666666656</v>
      </c>
      <c r="AP98" s="9"/>
      <c r="AQ98" s="21">
        <v>1.3269</v>
      </c>
      <c r="AR98" s="21">
        <v>24.513000000000002</v>
      </c>
      <c r="AS98" s="21">
        <v>-1.37085E-2</v>
      </c>
      <c r="AT98" s="21">
        <v>88</v>
      </c>
      <c r="AU98" s="21">
        <v>1.32599</v>
      </c>
      <c r="AV98">
        <f t="shared" si="20"/>
        <v>16.924074074074074</v>
      </c>
      <c r="AW98">
        <f t="shared" si="21"/>
        <v>22.456553888888887</v>
      </c>
      <c r="AX98" s="9"/>
      <c r="AY98" s="21">
        <v>0.34316999999999998</v>
      </c>
      <c r="AZ98" s="21">
        <v>28.271799999999999</v>
      </c>
      <c r="BA98" s="21">
        <v>-1.4953599999999999E-2</v>
      </c>
      <c r="BB98" s="21">
        <v>88</v>
      </c>
      <c r="BC98" s="21">
        <v>0.34255999999999998</v>
      </c>
      <c r="BD98">
        <f t="shared" si="22"/>
        <v>18.461234567901233</v>
      </c>
      <c r="BE98">
        <f t="shared" si="23"/>
        <v>6.3353418666666652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1.3218700000000001</v>
      </c>
      <c r="H99" s="21">
        <v>6.0956400000000004</v>
      </c>
      <c r="I99" s="21">
        <v>-1.3665800000000001E-2</v>
      </c>
      <c r="J99" s="21">
        <v>89</v>
      </c>
      <c r="K99" s="21">
        <v>1.32172</v>
      </c>
      <c r="L99">
        <f t="shared" si="12"/>
        <v>16.871358024691357</v>
      </c>
      <c r="M99">
        <f t="shared" si="13"/>
        <v>22.301742032098765</v>
      </c>
      <c r="N99" s="9"/>
      <c r="O99" s="21">
        <v>0.34820600000000002</v>
      </c>
      <c r="P99" s="21">
        <v>9.8544099999999997</v>
      </c>
      <c r="Q99" s="21">
        <v>-1.4938399999999999E-2</v>
      </c>
      <c r="R99" s="21">
        <v>89</v>
      </c>
      <c r="S99" s="21">
        <v>0.34762599999999999</v>
      </c>
      <c r="T99">
        <f t="shared" si="14"/>
        <v>18.442469135802465</v>
      </c>
      <c r="U99">
        <f t="shared" si="15"/>
        <v>6.4217784079012334</v>
      </c>
      <c r="X99" s="9"/>
      <c r="Y99" s="21">
        <v>1.3218700000000001</v>
      </c>
      <c r="Z99" s="21">
        <v>15.321899999999999</v>
      </c>
      <c r="AA99" s="21">
        <v>-1.3681E-2</v>
      </c>
      <c r="AB99" s="21">
        <v>89</v>
      </c>
      <c r="AC99" s="21">
        <v>1.32141</v>
      </c>
      <c r="AD99">
        <f t="shared" si="16"/>
        <v>16.890123456790121</v>
      </c>
      <c r="AE99">
        <f t="shared" si="17"/>
        <v>22.32654749382716</v>
      </c>
      <c r="AF99" s="9"/>
      <c r="AG99" s="21">
        <v>0.34820600000000002</v>
      </c>
      <c r="AH99" s="21">
        <v>19.0806</v>
      </c>
      <c r="AI99" s="21">
        <v>-1.4975E-2</v>
      </c>
      <c r="AJ99" s="21">
        <v>89</v>
      </c>
      <c r="AK99" s="21">
        <v>0.34762599999999999</v>
      </c>
      <c r="AL99">
        <f t="shared" si="18"/>
        <v>18.487654320987652</v>
      </c>
      <c r="AM99">
        <f t="shared" si="19"/>
        <v>6.4375121604938261</v>
      </c>
      <c r="AP99" s="9"/>
      <c r="AQ99" s="21">
        <v>1.3218700000000001</v>
      </c>
      <c r="AR99" s="21">
        <v>24.523099999999999</v>
      </c>
      <c r="AS99" s="21">
        <v>-1.3726800000000001E-2</v>
      </c>
      <c r="AT99" s="21">
        <v>89</v>
      </c>
      <c r="AU99" s="21">
        <v>1.3205</v>
      </c>
      <c r="AV99">
        <f t="shared" si="20"/>
        <v>16.946666666666665</v>
      </c>
      <c r="AW99">
        <f t="shared" si="21"/>
        <v>22.401290266666667</v>
      </c>
      <c r="AX99" s="9"/>
      <c r="AY99" s="21">
        <v>0.34820600000000002</v>
      </c>
      <c r="AZ99" s="21">
        <v>28.2818</v>
      </c>
      <c r="BA99" s="21">
        <v>-1.4947500000000001E-2</v>
      </c>
      <c r="BB99" s="21">
        <v>89</v>
      </c>
      <c r="BC99" s="21">
        <v>0.347717</v>
      </c>
      <c r="BD99">
        <f t="shared" si="22"/>
        <v>18.453703703703706</v>
      </c>
      <c r="BE99">
        <f t="shared" si="23"/>
        <v>6.4256903518518529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1.3168299999999999</v>
      </c>
      <c r="H100" s="21">
        <v>6.1057100000000002</v>
      </c>
      <c r="I100" s="21">
        <v>-1.3684099999999999E-2</v>
      </c>
      <c r="J100" s="21">
        <v>90</v>
      </c>
      <c r="K100" s="21">
        <v>1.3162199999999999</v>
      </c>
      <c r="L100">
        <f t="shared" si="12"/>
        <v>16.893950617283949</v>
      </c>
      <c r="M100">
        <f t="shared" si="13"/>
        <v>22.24646099135802</v>
      </c>
      <c r="N100" s="9"/>
      <c r="O100" s="21">
        <v>0.35324100000000003</v>
      </c>
      <c r="P100" s="21">
        <v>9.8644800000000004</v>
      </c>
      <c r="Q100" s="21">
        <v>-1.49353E-2</v>
      </c>
      <c r="R100" s="21">
        <v>90</v>
      </c>
      <c r="S100" s="21">
        <v>0.35260000000000002</v>
      </c>
      <c r="T100">
        <f t="shared" si="14"/>
        <v>18.438641975308641</v>
      </c>
      <c r="U100">
        <f t="shared" si="15"/>
        <v>6.5132843300000003</v>
      </c>
      <c r="X100" s="9"/>
      <c r="Y100" s="21">
        <v>1.3168299999999999</v>
      </c>
      <c r="Z100" s="21">
        <v>15.331899999999999</v>
      </c>
      <c r="AA100" s="21">
        <v>-1.36963E-2</v>
      </c>
      <c r="AB100" s="21">
        <v>90</v>
      </c>
      <c r="AC100" s="21">
        <v>1.31592</v>
      </c>
      <c r="AD100">
        <f t="shared" si="16"/>
        <v>16.90901234567901</v>
      </c>
      <c r="AE100">
        <f t="shared" si="17"/>
        <v>22.266294727160489</v>
      </c>
      <c r="AF100" s="9"/>
      <c r="AG100" s="21">
        <v>0.35324100000000003</v>
      </c>
      <c r="AH100" s="21">
        <v>19.090699999999998</v>
      </c>
      <c r="AI100" s="21">
        <v>-1.4981100000000001E-2</v>
      </c>
      <c r="AJ100" s="21">
        <v>90</v>
      </c>
      <c r="AK100" s="21">
        <v>0.35260000000000002</v>
      </c>
      <c r="AL100">
        <f t="shared" si="18"/>
        <v>18.495185185185186</v>
      </c>
      <c r="AM100">
        <f t="shared" si="19"/>
        <v>6.5332577100000009</v>
      </c>
      <c r="AP100" s="9"/>
      <c r="AQ100" s="21">
        <v>1.3168299999999999</v>
      </c>
      <c r="AR100" s="21">
        <v>24.533200000000001</v>
      </c>
      <c r="AS100" s="21">
        <v>-1.37421E-2</v>
      </c>
      <c r="AT100" s="21">
        <v>90</v>
      </c>
      <c r="AU100" s="21">
        <v>1.31653</v>
      </c>
      <c r="AV100">
        <f t="shared" si="20"/>
        <v>16.965555555555554</v>
      </c>
      <c r="AW100">
        <f t="shared" si="21"/>
        <v>22.340752522222218</v>
      </c>
      <c r="AX100" s="9"/>
      <c r="AY100" s="21">
        <v>0.35324100000000003</v>
      </c>
      <c r="AZ100" s="21">
        <v>28.291899999999998</v>
      </c>
      <c r="BA100" s="21">
        <v>-1.4938399999999999E-2</v>
      </c>
      <c r="BB100" s="21">
        <v>90</v>
      </c>
      <c r="BC100" s="21">
        <v>0.35253899999999999</v>
      </c>
      <c r="BD100">
        <f t="shared" si="22"/>
        <v>18.442469135802465</v>
      </c>
      <c r="BE100">
        <f t="shared" si="23"/>
        <v>6.5146362399999989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1.3118000000000001</v>
      </c>
      <c r="H101" s="21">
        <v>6.11578</v>
      </c>
      <c r="I101" s="21">
        <v>-1.37024E-2</v>
      </c>
      <c r="J101" s="21">
        <v>91</v>
      </c>
      <c r="K101" s="21">
        <v>1.31073</v>
      </c>
      <c r="L101">
        <f t="shared" si="12"/>
        <v>16.916543209876544</v>
      </c>
      <c r="M101">
        <f t="shared" si="13"/>
        <v>22.191121382716052</v>
      </c>
      <c r="N101" s="9"/>
      <c r="O101" s="21">
        <v>0.35827599999999998</v>
      </c>
      <c r="P101" s="21">
        <v>9.8745499999999993</v>
      </c>
      <c r="Q101" s="21">
        <v>-1.4938399999999999E-2</v>
      </c>
      <c r="R101" s="21">
        <v>91</v>
      </c>
      <c r="S101" s="21">
        <v>0.35763499999999998</v>
      </c>
      <c r="T101">
        <f t="shared" si="14"/>
        <v>18.442469135802465</v>
      </c>
      <c r="U101">
        <f t="shared" si="15"/>
        <v>6.6074940720987634</v>
      </c>
      <c r="X101" s="9"/>
      <c r="Y101" s="21">
        <v>1.3118000000000001</v>
      </c>
      <c r="Z101" s="21">
        <v>15.342000000000001</v>
      </c>
      <c r="AA101" s="21">
        <v>-1.37146E-2</v>
      </c>
      <c r="AB101" s="21">
        <v>91</v>
      </c>
      <c r="AC101" s="21">
        <v>1.31104</v>
      </c>
      <c r="AD101">
        <f t="shared" si="16"/>
        <v>16.931604938271605</v>
      </c>
      <c r="AE101">
        <f t="shared" si="17"/>
        <v>22.210879358024691</v>
      </c>
      <c r="AF101" s="9"/>
      <c r="AG101" s="21">
        <v>0.35827599999999998</v>
      </c>
      <c r="AH101" s="21">
        <v>19.1008</v>
      </c>
      <c r="AI101" s="21">
        <v>-1.4978E-2</v>
      </c>
      <c r="AJ101" s="21">
        <v>91</v>
      </c>
      <c r="AK101" s="21">
        <v>0.35763499999999998</v>
      </c>
      <c r="AL101">
        <f t="shared" si="18"/>
        <v>18.491358024691355</v>
      </c>
      <c r="AM101">
        <f t="shared" si="19"/>
        <v>6.6250097876543199</v>
      </c>
      <c r="AP101" s="9"/>
      <c r="AQ101" s="21">
        <v>1.3118000000000001</v>
      </c>
      <c r="AR101" s="21">
        <v>24.543199999999999</v>
      </c>
      <c r="AS101" s="21">
        <v>-1.37512E-2</v>
      </c>
      <c r="AT101" s="21">
        <v>91</v>
      </c>
      <c r="AU101" s="21">
        <v>1.31165</v>
      </c>
      <c r="AV101">
        <f t="shared" si="20"/>
        <v>16.976790123456787</v>
      </c>
      <c r="AW101">
        <f t="shared" si="21"/>
        <v>22.270153283950616</v>
      </c>
      <c r="AX101" s="9"/>
      <c r="AY101" s="21">
        <v>0.35827599999999998</v>
      </c>
      <c r="AZ101" s="21">
        <v>28.302</v>
      </c>
      <c r="BA101" s="21">
        <v>-1.4926099999999999E-2</v>
      </c>
      <c r="BB101" s="21">
        <v>91</v>
      </c>
      <c r="BC101" s="21">
        <v>0.35772700000000002</v>
      </c>
      <c r="BD101">
        <f t="shared" si="22"/>
        <v>18.427283950617284</v>
      </c>
      <c r="BE101">
        <f t="shared" si="23"/>
        <v>6.6020535846913573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1.3067599999999999</v>
      </c>
      <c r="H102" s="21">
        <v>6.1258499999999998</v>
      </c>
      <c r="I102" s="21">
        <v>-1.3717699999999999E-2</v>
      </c>
      <c r="J102" s="21">
        <v>92</v>
      </c>
      <c r="K102" s="21">
        <v>1.3055399999999999</v>
      </c>
      <c r="L102">
        <f t="shared" si="12"/>
        <v>16.935432098765432</v>
      </c>
      <c r="M102">
        <f t="shared" si="13"/>
        <v>22.130545249382713</v>
      </c>
      <c r="N102" s="9"/>
      <c r="O102" s="21">
        <v>0.36331200000000002</v>
      </c>
      <c r="P102" s="21">
        <v>9.88462</v>
      </c>
      <c r="Q102" s="21">
        <v>-1.49231E-2</v>
      </c>
      <c r="R102" s="21">
        <v>92</v>
      </c>
      <c r="S102" s="21">
        <v>0.36267100000000002</v>
      </c>
      <c r="T102">
        <f t="shared" si="14"/>
        <v>18.423580246913577</v>
      </c>
      <c r="U102">
        <f t="shared" si="15"/>
        <v>6.6935077866666663</v>
      </c>
      <c r="X102" s="9"/>
      <c r="Y102" s="21">
        <v>1.3067599999999999</v>
      </c>
      <c r="Z102" s="21">
        <v>15.3521</v>
      </c>
      <c r="AA102" s="21">
        <v>-1.3736E-2</v>
      </c>
      <c r="AB102" s="21">
        <v>92</v>
      </c>
      <c r="AC102" s="21">
        <v>1.30646</v>
      </c>
      <c r="AD102">
        <f t="shared" si="16"/>
        <v>16.958024691358023</v>
      </c>
      <c r="AE102">
        <f t="shared" si="17"/>
        <v>22.160068345679008</v>
      </c>
      <c r="AF102" s="9"/>
      <c r="AG102" s="21">
        <v>0.36331200000000002</v>
      </c>
      <c r="AH102" s="21">
        <v>19.110800000000001</v>
      </c>
      <c r="AI102" s="21">
        <v>-1.4978E-2</v>
      </c>
      <c r="AJ102" s="21">
        <v>92</v>
      </c>
      <c r="AK102" s="21">
        <v>0.362732</v>
      </c>
      <c r="AL102">
        <f t="shared" si="18"/>
        <v>18.491358024691355</v>
      </c>
      <c r="AM102">
        <f t="shared" si="19"/>
        <v>6.7181322666666663</v>
      </c>
      <c r="AP102" s="9"/>
      <c r="AQ102" s="21">
        <v>1.3067599999999999</v>
      </c>
      <c r="AR102" s="21">
        <v>24.5533</v>
      </c>
      <c r="AS102" s="21">
        <v>-1.37634E-2</v>
      </c>
      <c r="AT102" s="21">
        <v>92</v>
      </c>
      <c r="AU102" s="21">
        <v>1.30585</v>
      </c>
      <c r="AV102">
        <f t="shared" si="20"/>
        <v>16.991851851851852</v>
      </c>
      <c r="AW102">
        <f t="shared" si="21"/>
        <v>22.204272325925924</v>
      </c>
      <c r="AX102" s="9"/>
      <c r="AY102" s="21">
        <v>0.36331200000000002</v>
      </c>
      <c r="AZ102" s="21">
        <v>28.312100000000001</v>
      </c>
      <c r="BA102" s="21">
        <v>-1.4926099999999999E-2</v>
      </c>
      <c r="BB102" s="21">
        <v>92</v>
      </c>
      <c r="BC102" s="21">
        <v>0.362701</v>
      </c>
      <c r="BD102">
        <f t="shared" si="22"/>
        <v>18.427283950617284</v>
      </c>
      <c r="BE102">
        <f t="shared" si="23"/>
        <v>6.6948533866666669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1.3017300000000001</v>
      </c>
      <c r="H103" s="21">
        <v>6.1359300000000001</v>
      </c>
      <c r="I103" s="21">
        <v>-1.3732899999999999E-2</v>
      </c>
      <c r="J103" s="21">
        <v>93</v>
      </c>
      <c r="K103" s="21">
        <v>1.3012699999999999</v>
      </c>
      <c r="L103">
        <f t="shared" si="12"/>
        <v>16.954197530864196</v>
      </c>
      <c r="M103">
        <f t="shared" si="13"/>
        <v>22.069787551851849</v>
      </c>
      <c r="N103" s="9"/>
      <c r="O103" s="21">
        <v>0.36834699999999998</v>
      </c>
      <c r="P103" s="21">
        <v>9.8946900000000007</v>
      </c>
      <c r="Q103" s="21">
        <v>-1.4926099999999999E-2</v>
      </c>
      <c r="R103" s="21">
        <v>93</v>
      </c>
      <c r="S103" s="21">
        <v>0.36773699999999998</v>
      </c>
      <c r="T103">
        <f t="shared" si="14"/>
        <v>18.427283950617284</v>
      </c>
      <c r="U103">
        <f t="shared" si="15"/>
        <v>6.7876347613580243</v>
      </c>
      <c r="X103" s="9"/>
      <c r="Y103" s="21">
        <v>1.3017300000000001</v>
      </c>
      <c r="Z103" s="21">
        <v>15.3621</v>
      </c>
      <c r="AA103" s="21">
        <v>-1.3754300000000001E-2</v>
      </c>
      <c r="AB103" s="21">
        <v>93</v>
      </c>
      <c r="AC103" s="21">
        <v>1.3012699999999999</v>
      </c>
      <c r="AD103">
        <f t="shared" si="16"/>
        <v>16.980617283950615</v>
      </c>
      <c r="AE103">
        <f t="shared" si="17"/>
        <v>22.104178937037034</v>
      </c>
      <c r="AF103" s="9"/>
      <c r="AG103" s="21">
        <v>0.36834699999999998</v>
      </c>
      <c r="AH103" s="21">
        <v>19.120899999999999</v>
      </c>
      <c r="AI103" s="21">
        <v>-1.49658E-2</v>
      </c>
      <c r="AJ103" s="21">
        <v>93</v>
      </c>
      <c r="AK103" s="21">
        <v>0.36770599999999998</v>
      </c>
      <c r="AL103">
        <f t="shared" si="18"/>
        <v>18.476296296296297</v>
      </c>
      <c r="AM103">
        <f t="shared" si="19"/>
        <v>6.8056883118518519</v>
      </c>
      <c r="AP103" s="9"/>
      <c r="AQ103" s="21">
        <v>1.3017300000000001</v>
      </c>
      <c r="AR103" s="21">
        <v>24.563400000000001</v>
      </c>
      <c r="AS103" s="21">
        <v>-1.3775600000000001E-2</v>
      </c>
      <c r="AT103" s="21">
        <v>93</v>
      </c>
      <c r="AU103" s="21">
        <v>1.3009599999999999</v>
      </c>
      <c r="AV103">
        <f t="shared" si="20"/>
        <v>17.006913580246916</v>
      </c>
      <c r="AW103">
        <f t="shared" si="21"/>
        <v>22.138409614814819</v>
      </c>
      <c r="AX103" s="9"/>
      <c r="AY103" s="21">
        <v>0.36834699999999998</v>
      </c>
      <c r="AZ103" s="21">
        <v>28.322099999999999</v>
      </c>
      <c r="BA103" s="21">
        <v>-1.4919999999999999E-2</v>
      </c>
      <c r="BB103" s="21">
        <v>93</v>
      </c>
      <c r="BC103" s="21">
        <v>0.36782799999999999</v>
      </c>
      <c r="BD103">
        <f t="shared" si="22"/>
        <v>18.41975308641975</v>
      </c>
      <c r="BE103">
        <f t="shared" si="23"/>
        <v>6.7848607901234548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1.2966899999999999</v>
      </c>
      <c r="H104" s="21">
        <v>6.1459999999999999</v>
      </c>
      <c r="I104" s="21">
        <v>-1.37451E-2</v>
      </c>
      <c r="J104" s="21">
        <v>94</v>
      </c>
      <c r="K104" s="21">
        <v>1.2960799999999999</v>
      </c>
      <c r="L104">
        <f t="shared" si="12"/>
        <v>16.969259259259257</v>
      </c>
      <c r="M104">
        <f t="shared" si="13"/>
        <v>22.003868788888884</v>
      </c>
      <c r="N104" s="9"/>
      <c r="O104" s="21">
        <v>0.37338300000000002</v>
      </c>
      <c r="P104" s="21">
        <v>9.9047599999999996</v>
      </c>
      <c r="Q104" s="21">
        <v>-1.4932300000000001E-2</v>
      </c>
      <c r="R104" s="21">
        <v>94</v>
      </c>
      <c r="S104" s="21">
        <v>0.37277199999999999</v>
      </c>
      <c r="T104">
        <f t="shared" si="14"/>
        <v>18.434938271604938</v>
      </c>
      <c r="U104">
        <f t="shared" si="15"/>
        <v>6.8832925566666674</v>
      </c>
      <c r="X104" s="9"/>
      <c r="Y104" s="21">
        <v>1.2966899999999999</v>
      </c>
      <c r="Z104" s="21">
        <v>15.372199999999999</v>
      </c>
      <c r="AA104" s="21">
        <v>-1.3766499999999999E-2</v>
      </c>
      <c r="AB104" s="21">
        <v>94</v>
      </c>
      <c r="AC104" s="21">
        <v>1.2951699999999999</v>
      </c>
      <c r="AD104">
        <f t="shared" si="16"/>
        <v>16.995679012345676</v>
      </c>
      <c r="AE104">
        <f t="shared" si="17"/>
        <v>22.038127018518512</v>
      </c>
      <c r="AF104" s="9"/>
      <c r="AG104" s="21">
        <v>0.37338300000000002</v>
      </c>
      <c r="AH104" s="21">
        <v>19.131</v>
      </c>
      <c r="AI104" s="21">
        <v>-1.49567E-2</v>
      </c>
      <c r="AJ104" s="21">
        <v>94</v>
      </c>
      <c r="AK104" s="21">
        <v>0.37277199999999999</v>
      </c>
      <c r="AL104">
        <f t="shared" si="18"/>
        <v>18.46506172839506</v>
      </c>
      <c r="AM104">
        <f t="shared" si="19"/>
        <v>6.8945401433333329</v>
      </c>
      <c r="AP104" s="9"/>
      <c r="AQ104" s="21">
        <v>1.2966899999999999</v>
      </c>
      <c r="AR104" s="21">
        <v>24.573399999999999</v>
      </c>
      <c r="AS104" s="21">
        <v>-1.37939E-2</v>
      </c>
      <c r="AT104" s="21">
        <v>94</v>
      </c>
      <c r="AU104" s="21">
        <v>1.2957799999999999</v>
      </c>
      <c r="AV104">
        <f t="shared" si="20"/>
        <v>17.029506172839504</v>
      </c>
      <c r="AW104">
        <f t="shared" si="21"/>
        <v>22.081990359259255</v>
      </c>
      <c r="AX104" s="9"/>
      <c r="AY104" s="21">
        <v>0.37338300000000002</v>
      </c>
      <c r="AZ104" s="21">
        <v>28.3322</v>
      </c>
      <c r="BA104" s="21">
        <v>-1.4917E-2</v>
      </c>
      <c r="BB104" s="21">
        <v>94</v>
      </c>
      <c r="BC104" s="21">
        <v>0.37283300000000003</v>
      </c>
      <c r="BD104">
        <f t="shared" si="22"/>
        <v>18.416049382716047</v>
      </c>
      <c r="BE104">
        <f t="shared" si="23"/>
        <v>6.8762397666666661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1.29166</v>
      </c>
      <c r="H105" s="21">
        <v>6.1560699999999997</v>
      </c>
      <c r="I105" s="21">
        <v>-1.37573E-2</v>
      </c>
      <c r="J105" s="21">
        <v>95</v>
      </c>
      <c r="K105" s="21">
        <v>1.2918099999999999</v>
      </c>
      <c r="L105">
        <f t="shared" si="12"/>
        <v>16.984320987654321</v>
      </c>
      <c r="M105">
        <f t="shared" si="13"/>
        <v>21.937968046913582</v>
      </c>
      <c r="N105" s="9"/>
      <c r="O105" s="21">
        <v>0.37841799999999998</v>
      </c>
      <c r="P105" s="21">
        <v>9.9148300000000003</v>
      </c>
      <c r="Q105" s="21">
        <v>-1.4944499999999999E-2</v>
      </c>
      <c r="R105" s="21">
        <v>95</v>
      </c>
      <c r="S105" s="21">
        <v>0.377716</v>
      </c>
      <c r="T105">
        <f t="shared" si="14"/>
        <v>18.45</v>
      </c>
      <c r="U105">
        <f t="shared" si="15"/>
        <v>6.9818120999999991</v>
      </c>
      <c r="X105" s="9"/>
      <c r="Y105" s="21">
        <v>1.29166</v>
      </c>
      <c r="Z105" s="21">
        <v>15.382300000000001</v>
      </c>
      <c r="AA105" s="21">
        <v>-1.3781699999999999E-2</v>
      </c>
      <c r="AB105" s="21">
        <v>95</v>
      </c>
      <c r="AC105" s="21">
        <v>1.2911999999999999</v>
      </c>
      <c r="AD105">
        <f t="shared" si="16"/>
        <v>17.014444444444443</v>
      </c>
      <c r="AE105">
        <f t="shared" si="17"/>
        <v>21.97687731111111</v>
      </c>
      <c r="AF105" s="9"/>
      <c r="AG105" s="21">
        <v>0.37841799999999998</v>
      </c>
      <c r="AH105" s="21">
        <v>19.140999999999998</v>
      </c>
      <c r="AI105" s="21">
        <v>-1.4953599999999999E-2</v>
      </c>
      <c r="AJ105" s="21">
        <v>95</v>
      </c>
      <c r="AK105" s="21">
        <v>0.377747</v>
      </c>
      <c r="AL105">
        <f t="shared" si="18"/>
        <v>18.461234567901233</v>
      </c>
      <c r="AM105">
        <f t="shared" si="19"/>
        <v>6.9860634627160483</v>
      </c>
      <c r="AP105" s="9"/>
      <c r="AQ105" s="21">
        <v>1.29166</v>
      </c>
      <c r="AR105" s="21">
        <v>24.583500000000001</v>
      </c>
      <c r="AS105" s="21">
        <v>-1.3809200000000001E-2</v>
      </c>
      <c r="AT105" s="21">
        <v>95</v>
      </c>
      <c r="AU105" s="21">
        <v>1.2902800000000001</v>
      </c>
      <c r="AV105">
        <f t="shared" si="20"/>
        <v>17.048395061728392</v>
      </c>
      <c r="AW105">
        <f t="shared" si="21"/>
        <v>22.020729965432096</v>
      </c>
      <c r="AX105" s="9"/>
      <c r="AY105" s="21">
        <v>0.37841799999999998</v>
      </c>
      <c r="AZ105" s="21">
        <v>28.342300000000002</v>
      </c>
      <c r="BA105" s="21">
        <v>-1.4917E-2</v>
      </c>
      <c r="BB105" s="21">
        <v>95</v>
      </c>
      <c r="BC105" s="21">
        <v>0.37789899999999998</v>
      </c>
      <c r="BD105">
        <f t="shared" si="22"/>
        <v>18.416049382716047</v>
      </c>
      <c r="BE105">
        <f t="shared" si="23"/>
        <v>6.9689645753086404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1.2866200000000001</v>
      </c>
      <c r="H106" s="21">
        <v>6.1661400000000004</v>
      </c>
      <c r="I106" s="21">
        <v>-1.3775600000000001E-2</v>
      </c>
      <c r="J106" s="21">
        <v>96</v>
      </c>
      <c r="K106" s="21">
        <v>1.2860100000000001</v>
      </c>
      <c r="L106">
        <f t="shared" si="12"/>
        <v>17.006913580246916</v>
      </c>
      <c r="M106">
        <f t="shared" si="13"/>
        <v>21.881435150617289</v>
      </c>
      <c r="N106" s="9"/>
      <c r="O106" s="21">
        <v>0.38345299999999999</v>
      </c>
      <c r="P106" s="21">
        <v>9.9249100000000006</v>
      </c>
      <c r="Q106" s="21">
        <v>-1.49353E-2</v>
      </c>
      <c r="R106" s="21">
        <v>96</v>
      </c>
      <c r="S106" s="21">
        <v>0.38284299999999999</v>
      </c>
      <c r="T106">
        <f t="shared" si="14"/>
        <v>18.438641975308641</v>
      </c>
      <c r="U106">
        <f t="shared" si="15"/>
        <v>7.0703525813580246</v>
      </c>
      <c r="X106" s="9"/>
      <c r="Y106" s="21">
        <v>1.2866200000000001</v>
      </c>
      <c r="Z106" s="21">
        <v>15.3924</v>
      </c>
      <c r="AA106" s="21">
        <v>-1.37939E-2</v>
      </c>
      <c r="AB106" s="21">
        <v>96</v>
      </c>
      <c r="AC106" s="21">
        <v>1.2860100000000001</v>
      </c>
      <c r="AD106">
        <f t="shared" si="16"/>
        <v>17.029506172839504</v>
      </c>
      <c r="AE106">
        <f t="shared" si="17"/>
        <v>21.910503232098765</v>
      </c>
      <c r="AF106" s="9"/>
      <c r="AG106" s="21">
        <v>0.38345299999999999</v>
      </c>
      <c r="AH106" s="21">
        <v>19.1511</v>
      </c>
      <c r="AI106" s="21">
        <v>-1.49567E-2</v>
      </c>
      <c r="AJ106" s="21">
        <v>96</v>
      </c>
      <c r="AK106" s="21">
        <v>0.38281300000000001</v>
      </c>
      <c r="AL106">
        <f t="shared" si="18"/>
        <v>18.46506172839506</v>
      </c>
      <c r="AM106">
        <f t="shared" si="19"/>
        <v>7.0804833149382711</v>
      </c>
      <c r="AP106" s="9"/>
      <c r="AQ106" s="21">
        <v>1.2866200000000001</v>
      </c>
      <c r="AR106" s="21">
        <v>24.593599999999999</v>
      </c>
      <c r="AS106" s="21">
        <v>-1.38306E-2</v>
      </c>
      <c r="AT106" s="21">
        <v>96</v>
      </c>
      <c r="AU106" s="21">
        <v>1.2857099999999999</v>
      </c>
      <c r="AV106">
        <f t="shared" si="20"/>
        <v>17.074814814814815</v>
      </c>
      <c r="AW106">
        <f t="shared" si="21"/>
        <v>21.968798237037038</v>
      </c>
      <c r="AX106" s="9"/>
      <c r="AY106" s="21">
        <v>0.38345299999999999</v>
      </c>
      <c r="AZ106" s="21">
        <v>28.3523</v>
      </c>
      <c r="BA106" s="21">
        <v>-1.4904799999999999E-2</v>
      </c>
      <c r="BB106" s="21">
        <v>96</v>
      </c>
      <c r="BC106" s="21">
        <v>0.38281300000000001</v>
      </c>
      <c r="BD106">
        <f t="shared" si="22"/>
        <v>18.400987654320986</v>
      </c>
      <c r="BE106">
        <f t="shared" si="23"/>
        <v>7.0559139190123448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1.28159</v>
      </c>
      <c r="H107" s="21">
        <v>6.1762100000000002</v>
      </c>
      <c r="I107" s="21">
        <v>-1.37909E-2</v>
      </c>
      <c r="J107" s="21">
        <v>97</v>
      </c>
      <c r="K107" s="21">
        <v>1.2811300000000001</v>
      </c>
      <c r="L107">
        <f t="shared" si="12"/>
        <v>17.025802469135801</v>
      </c>
      <c r="M107">
        <f t="shared" si="13"/>
        <v>21.820098186419752</v>
      </c>
      <c r="N107" s="9"/>
      <c r="O107" s="21">
        <v>0.38848899999999997</v>
      </c>
      <c r="P107" s="21">
        <v>9.9349799999999995</v>
      </c>
      <c r="Q107" s="21">
        <v>-1.49231E-2</v>
      </c>
      <c r="R107" s="21">
        <v>97</v>
      </c>
      <c r="S107" s="21">
        <v>0.38793899999999998</v>
      </c>
      <c r="T107">
        <f t="shared" si="14"/>
        <v>18.423580246913577</v>
      </c>
      <c r="U107">
        <f t="shared" si="15"/>
        <v>7.1573582665432083</v>
      </c>
      <c r="X107" s="9"/>
      <c r="Y107" s="21">
        <v>1.28159</v>
      </c>
      <c r="Z107" s="21">
        <v>15.4024</v>
      </c>
      <c r="AA107" s="21">
        <v>-1.3806199999999999E-2</v>
      </c>
      <c r="AB107" s="21">
        <v>97</v>
      </c>
      <c r="AC107" s="21">
        <v>1.2811300000000001</v>
      </c>
      <c r="AD107">
        <f t="shared" si="16"/>
        <v>17.044691358024689</v>
      </c>
      <c r="AE107">
        <f t="shared" si="17"/>
        <v>21.84430599753086</v>
      </c>
      <c r="AF107" s="9"/>
      <c r="AG107" s="21">
        <v>0.38848899999999997</v>
      </c>
      <c r="AH107" s="21">
        <v>19.161200000000001</v>
      </c>
      <c r="AI107" s="21">
        <v>-1.4959699999999999E-2</v>
      </c>
      <c r="AJ107" s="21">
        <v>97</v>
      </c>
      <c r="AK107" s="21">
        <v>0.387909</v>
      </c>
      <c r="AL107">
        <f t="shared" si="18"/>
        <v>18.468765432098763</v>
      </c>
      <c r="AM107">
        <f t="shared" si="19"/>
        <v>7.1749122139506163</v>
      </c>
      <c r="AP107" s="9"/>
      <c r="AQ107" s="21">
        <v>1.28159</v>
      </c>
      <c r="AR107" s="21">
        <v>24.6037</v>
      </c>
      <c r="AS107" s="21">
        <v>-1.38458E-2</v>
      </c>
      <c r="AT107" s="21">
        <v>97</v>
      </c>
      <c r="AU107" s="21">
        <v>1.2808200000000001</v>
      </c>
      <c r="AV107">
        <f t="shared" si="20"/>
        <v>17.093580246913579</v>
      </c>
      <c r="AW107">
        <f t="shared" si="21"/>
        <v>21.906961508641974</v>
      </c>
      <c r="AX107" s="9"/>
      <c r="AY107" s="21">
        <v>0.38848899999999997</v>
      </c>
      <c r="AZ107" s="21">
        <v>28.362400000000001</v>
      </c>
      <c r="BA107" s="21">
        <v>-1.49017E-2</v>
      </c>
      <c r="BB107" s="21">
        <v>97</v>
      </c>
      <c r="BC107" s="21">
        <v>0.38793899999999998</v>
      </c>
      <c r="BD107">
        <f t="shared" si="22"/>
        <v>18.397160493827158</v>
      </c>
      <c r="BE107">
        <f t="shared" si="23"/>
        <v>7.147094483086418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1.2765500000000001</v>
      </c>
      <c r="H108" s="21">
        <v>6.18628</v>
      </c>
      <c r="I108" s="21">
        <v>-1.3809200000000001E-2</v>
      </c>
      <c r="J108" s="21">
        <v>98</v>
      </c>
      <c r="K108" s="21">
        <v>1.2753300000000001</v>
      </c>
      <c r="L108">
        <f t="shared" si="12"/>
        <v>17.048395061728392</v>
      </c>
      <c r="M108">
        <f t="shared" si="13"/>
        <v>21.76312871604938</v>
      </c>
      <c r="N108" s="9"/>
      <c r="O108" s="21">
        <v>0.39352399999999998</v>
      </c>
      <c r="P108" s="21">
        <v>9.9450500000000002</v>
      </c>
      <c r="Q108" s="21">
        <v>-1.4917E-2</v>
      </c>
      <c r="R108" s="21">
        <v>98</v>
      </c>
      <c r="S108" s="21">
        <v>0.39288299999999998</v>
      </c>
      <c r="T108">
        <f t="shared" si="14"/>
        <v>18.416049382716047</v>
      </c>
      <c r="U108">
        <f t="shared" si="15"/>
        <v>7.2471574172839492</v>
      </c>
      <c r="X108" s="9"/>
      <c r="Y108" s="21">
        <v>1.2765500000000001</v>
      </c>
      <c r="Z108" s="21">
        <v>15.4125</v>
      </c>
      <c r="AA108" s="21">
        <v>-1.38123E-2</v>
      </c>
      <c r="AB108" s="21">
        <v>98</v>
      </c>
      <c r="AC108" s="21">
        <v>1.2753300000000001</v>
      </c>
      <c r="AD108">
        <f t="shared" si="16"/>
        <v>17.052222222222223</v>
      </c>
      <c r="AE108">
        <f t="shared" si="17"/>
        <v>21.76801427777778</v>
      </c>
      <c r="AF108" s="9"/>
      <c r="AG108" s="21">
        <v>0.39352399999999998</v>
      </c>
      <c r="AH108" s="21">
        <v>19.171299999999999</v>
      </c>
      <c r="AI108" s="21">
        <v>-1.4953599999999999E-2</v>
      </c>
      <c r="AJ108" s="21">
        <v>98</v>
      </c>
      <c r="AK108" s="21">
        <v>0.39288299999999998</v>
      </c>
      <c r="AL108">
        <f t="shared" si="18"/>
        <v>18.461234567901233</v>
      </c>
      <c r="AM108">
        <f t="shared" si="19"/>
        <v>7.2649388720987647</v>
      </c>
      <c r="AP108" s="9"/>
      <c r="AQ108" s="21">
        <v>1.2765500000000001</v>
      </c>
      <c r="AR108" s="21">
        <v>24.613700000000001</v>
      </c>
      <c r="AS108" s="21">
        <v>-1.3861099999999999E-2</v>
      </c>
      <c r="AT108" s="21">
        <v>98</v>
      </c>
      <c r="AU108" s="21">
        <v>1.2759400000000001</v>
      </c>
      <c r="AV108">
        <f t="shared" si="20"/>
        <v>17.112469135802467</v>
      </c>
      <c r="AW108">
        <f t="shared" si="21"/>
        <v>21.844922475308639</v>
      </c>
      <c r="AX108" s="9"/>
      <c r="AY108" s="21">
        <v>0.39352399999999998</v>
      </c>
      <c r="AZ108" s="21">
        <v>28.372499999999999</v>
      </c>
      <c r="BA108" s="21">
        <v>-1.49017E-2</v>
      </c>
      <c r="BB108" s="21">
        <v>98</v>
      </c>
      <c r="BC108" s="21">
        <v>0.39297500000000002</v>
      </c>
      <c r="BD108">
        <f t="shared" si="22"/>
        <v>18.397160493827158</v>
      </c>
      <c r="BE108">
        <f t="shared" si="23"/>
        <v>7.2397241861728387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1.2715099999999999</v>
      </c>
      <c r="H109" s="21">
        <v>6.1963499999999998</v>
      </c>
      <c r="I109" s="21">
        <v>-1.38397E-2</v>
      </c>
      <c r="J109" s="21">
        <v>99</v>
      </c>
      <c r="K109" s="21">
        <v>1.2704500000000001</v>
      </c>
      <c r="L109">
        <f t="shared" si="12"/>
        <v>17.086049382716048</v>
      </c>
      <c r="M109">
        <f t="shared" si="13"/>
        <v>21.725082650617281</v>
      </c>
      <c r="N109" s="9"/>
      <c r="O109" s="21">
        <v>0.39856000000000003</v>
      </c>
      <c r="P109" s="21">
        <v>9.9551200000000009</v>
      </c>
      <c r="Q109" s="21">
        <v>-1.49017E-2</v>
      </c>
      <c r="R109" s="21">
        <v>99</v>
      </c>
      <c r="S109" s="21">
        <v>0.39807100000000001</v>
      </c>
      <c r="T109">
        <f t="shared" si="14"/>
        <v>18.397160493827158</v>
      </c>
      <c r="U109">
        <f t="shared" si="15"/>
        <v>7.3323722864197522</v>
      </c>
      <c r="X109" s="9"/>
      <c r="Y109" s="21">
        <v>1.2715099999999999</v>
      </c>
      <c r="Z109" s="21">
        <v>15.422599999999999</v>
      </c>
      <c r="AA109" s="21">
        <v>-1.38275E-2</v>
      </c>
      <c r="AB109" s="21">
        <v>99</v>
      </c>
      <c r="AC109" s="21">
        <v>1.2710600000000001</v>
      </c>
      <c r="AD109">
        <f t="shared" si="16"/>
        <v>17.070987654320987</v>
      </c>
      <c r="AE109">
        <f t="shared" si="17"/>
        <v>21.705931512345678</v>
      </c>
      <c r="AF109" s="9"/>
      <c r="AG109" s="21">
        <v>0.39856000000000003</v>
      </c>
      <c r="AH109" s="21">
        <v>19.1813</v>
      </c>
      <c r="AI109" s="21">
        <v>-1.4947500000000001E-2</v>
      </c>
      <c r="AJ109" s="21">
        <v>99</v>
      </c>
      <c r="AK109" s="21">
        <v>0.39791900000000002</v>
      </c>
      <c r="AL109">
        <f t="shared" si="18"/>
        <v>18.453703703703706</v>
      </c>
      <c r="AM109">
        <f t="shared" si="19"/>
        <v>7.3549081481481497</v>
      </c>
      <c r="AP109" s="9"/>
      <c r="AQ109" s="21">
        <v>1.2715099999999999</v>
      </c>
      <c r="AR109" s="21">
        <v>24.623799999999999</v>
      </c>
      <c r="AS109" s="21">
        <v>-1.3876299999999999E-2</v>
      </c>
      <c r="AT109" s="21">
        <v>99</v>
      </c>
      <c r="AU109" s="21">
        <v>1.27136</v>
      </c>
      <c r="AV109">
        <f t="shared" si="20"/>
        <v>17.131234567901231</v>
      </c>
      <c r="AW109">
        <f t="shared" si="21"/>
        <v>21.782536065432094</v>
      </c>
      <c r="AX109" s="9"/>
      <c r="AY109" s="21">
        <v>0.39856000000000003</v>
      </c>
      <c r="AZ109" s="21">
        <v>28.3826</v>
      </c>
      <c r="BA109" s="21">
        <v>-1.4904799999999999E-2</v>
      </c>
      <c r="BB109" s="21">
        <v>99</v>
      </c>
      <c r="BC109" s="21">
        <v>0.39807100000000001</v>
      </c>
      <c r="BD109">
        <f t="shared" si="22"/>
        <v>18.400987654320986</v>
      </c>
      <c r="BE109">
        <f t="shared" si="23"/>
        <v>7.3338976395061728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1.2664800000000001</v>
      </c>
      <c r="H110" s="21">
        <v>6.2064199999999996</v>
      </c>
      <c r="I110" s="21">
        <v>-1.3861099999999999E-2</v>
      </c>
      <c r="J110" s="21">
        <v>100</v>
      </c>
      <c r="K110" s="21">
        <v>1.26556</v>
      </c>
      <c r="L110">
        <f t="shared" si="12"/>
        <v>17.112469135802467</v>
      </c>
      <c r="M110">
        <f t="shared" si="13"/>
        <v>21.67259991111111</v>
      </c>
      <c r="N110" s="9"/>
      <c r="O110" s="21">
        <v>0.40359499999999998</v>
      </c>
      <c r="P110" s="21">
        <v>9.9651899999999998</v>
      </c>
      <c r="Q110" s="21">
        <v>-1.48895E-2</v>
      </c>
      <c r="R110" s="21">
        <v>100</v>
      </c>
      <c r="S110" s="21">
        <v>0.40298499999999998</v>
      </c>
      <c r="T110">
        <f t="shared" si="14"/>
        <v>18.382098765432101</v>
      </c>
      <c r="U110">
        <f t="shared" si="15"/>
        <v>7.4189231512345684</v>
      </c>
      <c r="X110" s="9"/>
      <c r="Y110" s="21">
        <v>1.2664800000000001</v>
      </c>
      <c r="Z110" s="21">
        <v>15.432600000000001</v>
      </c>
      <c r="AA110" s="21">
        <v>-1.3848900000000001E-2</v>
      </c>
      <c r="AB110" s="21">
        <v>100</v>
      </c>
      <c r="AC110" s="21">
        <v>1.26556</v>
      </c>
      <c r="AD110">
        <f t="shared" si="16"/>
        <v>17.09740740740741</v>
      </c>
      <c r="AE110">
        <f t="shared" si="17"/>
        <v>21.653524533333336</v>
      </c>
      <c r="AF110" s="9"/>
      <c r="AG110" s="21">
        <v>0.40359499999999998</v>
      </c>
      <c r="AH110" s="21">
        <v>19.191400000000002</v>
      </c>
      <c r="AI110" s="21">
        <v>-1.4938399999999999E-2</v>
      </c>
      <c r="AJ110" s="21">
        <v>100</v>
      </c>
      <c r="AK110" s="21">
        <v>0.40298499999999998</v>
      </c>
      <c r="AL110">
        <f t="shared" si="18"/>
        <v>18.442469135802465</v>
      </c>
      <c r="AM110">
        <f t="shared" si="19"/>
        <v>7.4432883308641955</v>
      </c>
      <c r="AP110" s="9"/>
      <c r="AQ110" s="21">
        <v>1.2664800000000001</v>
      </c>
      <c r="AR110" s="21">
        <v>24.633900000000001</v>
      </c>
      <c r="AS110" s="21">
        <v>-1.38885E-2</v>
      </c>
      <c r="AT110" s="21">
        <v>100</v>
      </c>
      <c r="AU110" s="21">
        <v>1.26556</v>
      </c>
      <c r="AV110">
        <f t="shared" si="20"/>
        <v>17.146296296296295</v>
      </c>
      <c r="AW110">
        <f t="shared" si="21"/>
        <v>21.715441333333334</v>
      </c>
      <c r="AX110" s="9"/>
      <c r="AY110" s="21">
        <v>0.40359499999999998</v>
      </c>
      <c r="AZ110" s="21">
        <v>28.392600000000002</v>
      </c>
      <c r="BA110" s="21">
        <v>-1.49109E-2</v>
      </c>
      <c r="BB110" s="21">
        <v>100</v>
      </c>
      <c r="BC110" s="21">
        <v>0.40307599999999999</v>
      </c>
      <c r="BD110">
        <f t="shared" si="22"/>
        <v>18.408518518518516</v>
      </c>
      <c r="BE110">
        <f t="shared" si="23"/>
        <v>7.4295860314814801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1.2614399999999999</v>
      </c>
      <c r="H111" s="21">
        <v>6.2164900000000003</v>
      </c>
      <c r="I111" s="21">
        <v>-1.38733E-2</v>
      </c>
      <c r="J111" s="21">
        <v>101</v>
      </c>
      <c r="K111" s="21">
        <v>1.2609900000000001</v>
      </c>
      <c r="L111">
        <f t="shared" si="12"/>
        <v>17.127530864197528</v>
      </c>
      <c r="M111">
        <f t="shared" si="13"/>
        <v>21.605352533333328</v>
      </c>
      <c r="N111" s="9"/>
      <c r="O111" s="21">
        <v>0.40862999999999999</v>
      </c>
      <c r="P111" s="21">
        <v>9.9752600000000005</v>
      </c>
      <c r="Q111" s="21">
        <v>-1.48834E-2</v>
      </c>
      <c r="R111" s="21">
        <v>101</v>
      </c>
      <c r="S111" s="21">
        <v>0.40811199999999997</v>
      </c>
      <c r="T111">
        <f t="shared" si="14"/>
        <v>18.374567901234567</v>
      </c>
      <c r="U111">
        <f t="shared" si="15"/>
        <v>7.5083996814814808</v>
      </c>
      <c r="X111" s="9"/>
      <c r="Y111" s="21">
        <v>1.2614399999999999</v>
      </c>
      <c r="Z111" s="21">
        <v>15.4427</v>
      </c>
      <c r="AA111" s="21">
        <v>-1.3861099999999999E-2</v>
      </c>
      <c r="AB111" s="21">
        <v>101</v>
      </c>
      <c r="AC111" s="21">
        <v>1.26068</v>
      </c>
      <c r="AD111">
        <f t="shared" si="16"/>
        <v>17.112469135802467</v>
      </c>
      <c r="AE111">
        <f t="shared" si="17"/>
        <v>21.586353066666661</v>
      </c>
      <c r="AF111" s="9"/>
      <c r="AG111" s="21">
        <v>0.40862999999999999</v>
      </c>
      <c r="AH111" s="21">
        <v>19.201499999999999</v>
      </c>
      <c r="AI111" s="21">
        <v>-1.4944499999999999E-2</v>
      </c>
      <c r="AJ111" s="21">
        <v>101</v>
      </c>
      <c r="AK111" s="21">
        <v>0.40799000000000002</v>
      </c>
      <c r="AL111">
        <f t="shared" si="18"/>
        <v>18.45</v>
      </c>
      <c r="AM111">
        <f t="shared" si="19"/>
        <v>7.5392234999999994</v>
      </c>
      <c r="AP111" s="9"/>
      <c r="AQ111" s="21">
        <v>1.2614399999999999</v>
      </c>
      <c r="AR111" s="21">
        <v>24.643899999999999</v>
      </c>
      <c r="AS111" s="21">
        <v>-1.3903799999999999E-2</v>
      </c>
      <c r="AT111" s="21">
        <v>101</v>
      </c>
      <c r="AU111" s="21">
        <v>1.2609900000000001</v>
      </c>
      <c r="AV111">
        <f t="shared" si="20"/>
        <v>17.165185185185184</v>
      </c>
      <c r="AW111">
        <f t="shared" si="21"/>
        <v>21.652851199999997</v>
      </c>
      <c r="AX111" s="9"/>
      <c r="AY111" s="21">
        <v>0.40862999999999999</v>
      </c>
      <c r="AZ111" s="21">
        <v>28.402699999999999</v>
      </c>
      <c r="BA111" s="21">
        <v>-1.49109E-2</v>
      </c>
      <c r="BB111" s="21">
        <v>101</v>
      </c>
      <c r="BC111" s="21">
        <v>0.408051</v>
      </c>
      <c r="BD111">
        <f t="shared" si="22"/>
        <v>18.408518518518516</v>
      </c>
      <c r="BE111">
        <f t="shared" si="23"/>
        <v>7.5222729222222213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1.25641</v>
      </c>
      <c r="H112" s="21">
        <v>6.2265600000000001</v>
      </c>
      <c r="I112" s="21">
        <v>-1.3876299999999999E-2</v>
      </c>
      <c r="J112" s="21">
        <v>102</v>
      </c>
      <c r="K112" s="21">
        <v>1.2558</v>
      </c>
      <c r="L112">
        <f t="shared" si="12"/>
        <v>17.131234567901231</v>
      </c>
      <c r="M112">
        <f t="shared" si="13"/>
        <v>21.523854423456786</v>
      </c>
      <c r="N112" s="9"/>
      <c r="O112" s="21">
        <v>0.41366599999999998</v>
      </c>
      <c r="P112" s="21">
        <v>9.9853299999999994</v>
      </c>
      <c r="Q112" s="21">
        <v>-1.48743E-2</v>
      </c>
      <c r="R112" s="21">
        <v>102</v>
      </c>
      <c r="S112" s="21">
        <v>0.41311599999999998</v>
      </c>
      <c r="T112">
        <f t="shared" si="14"/>
        <v>18.363333333333333</v>
      </c>
      <c r="U112">
        <f t="shared" si="15"/>
        <v>7.5962866466666661</v>
      </c>
      <c r="X112" s="9"/>
      <c r="Y112" s="21">
        <v>1.25641</v>
      </c>
      <c r="Z112" s="21">
        <v>15.4528</v>
      </c>
      <c r="AA112" s="21">
        <v>-1.38733E-2</v>
      </c>
      <c r="AB112" s="21">
        <v>102</v>
      </c>
      <c r="AC112" s="21">
        <v>1.2558</v>
      </c>
      <c r="AD112">
        <f t="shared" si="16"/>
        <v>17.127530864197528</v>
      </c>
      <c r="AE112">
        <f t="shared" si="17"/>
        <v>21.519201053086416</v>
      </c>
      <c r="AF112" s="9"/>
      <c r="AG112" s="21">
        <v>0.41366599999999998</v>
      </c>
      <c r="AH112" s="21">
        <v>19.211500000000001</v>
      </c>
      <c r="AI112" s="21">
        <v>-1.4947500000000001E-2</v>
      </c>
      <c r="AJ112" s="21">
        <v>102</v>
      </c>
      <c r="AK112" s="21">
        <v>0.41302499999999998</v>
      </c>
      <c r="AL112">
        <f t="shared" si="18"/>
        <v>18.453703703703706</v>
      </c>
      <c r="AM112">
        <f t="shared" si="19"/>
        <v>7.6336697962962967</v>
      </c>
      <c r="AP112" s="9"/>
      <c r="AQ112" s="21">
        <v>1.25641</v>
      </c>
      <c r="AR112" s="21">
        <v>24.654</v>
      </c>
      <c r="AS112" s="21">
        <v>-1.39221E-2</v>
      </c>
      <c r="AT112" s="21">
        <v>102</v>
      </c>
      <c r="AU112" s="21">
        <v>1.2558</v>
      </c>
      <c r="AV112">
        <f t="shared" si="20"/>
        <v>17.187777777777779</v>
      </c>
      <c r="AW112">
        <f t="shared" si="21"/>
        <v>21.59489587777778</v>
      </c>
      <c r="AX112" s="9"/>
      <c r="AY112" s="21">
        <v>0.41366599999999998</v>
      </c>
      <c r="AZ112" s="21">
        <v>28.412800000000001</v>
      </c>
      <c r="BA112" s="21">
        <v>-1.4913900000000001E-2</v>
      </c>
      <c r="BB112" s="21">
        <v>102</v>
      </c>
      <c r="BC112" s="21">
        <v>0.41308600000000001</v>
      </c>
      <c r="BD112">
        <f t="shared" si="22"/>
        <v>18.412222222222223</v>
      </c>
      <c r="BE112">
        <f t="shared" si="23"/>
        <v>7.6165103177777773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1.2513700000000001</v>
      </c>
      <c r="H113" s="21">
        <v>6.2366400000000004</v>
      </c>
      <c r="I113" s="21">
        <v>-1.38824E-2</v>
      </c>
      <c r="J113" s="21">
        <v>103</v>
      </c>
      <c r="K113" s="21">
        <v>1.25092</v>
      </c>
      <c r="L113">
        <f t="shared" si="12"/>
        <v>17.138765432098765</v>
      </c>
      <c r="M113">
        <f t="shared" si="13"/>
        <v>21.446936898765433</v>
      </c>
      <c r="N113" s="9"/>
      <c r="O113" s="21">
        <v>0.41870099999999999</v>
      </c>
      <c r="P113" s="21">
        <v>9.9954000000000001</v>
      </c>
      <c r="Q113" s="21">
        <v>-1.48773E-2</v>
      </c>
      <c r="R113" s="21">
        <v>103</v>
      </c>
      <c r="S113" s="21">
        <v>0.418182</v>
      </c>
      <c r="T113">
        <f t="shared" si="14"/>
        <v>18.367037037037036</v>
      </c>
      <c r="U113">
        <f t="shared" si="15"/>
        <v>7.6902967744444437</v>
      </c>
      <c r="X113" s="9"/>
      <c r="Y113" s="21">
        <v>1.2513700000000001</v>
      </c>
      <c r="Z113" s="21">
        <v>15.4628</v>
      </c>
      <c r="AA113" s="21">
        <v>-1.38824E-2</v>
      </c>
      <c r="AB113" s="21">
        <v>103</v>
      </c>
      <c r="AC113" s="21">
        <v>1.25061</v>
      </c>
      <c r="AD113">
        <f t="shared" si="16"/>
        <v>17.138765432098765</v>
      </c>
      <c r="AE113">
        <f t="shared" si="17"/>
        <v>21.446936898765433</v>
      </c>
      <c r="AF113" s="9"/>
      <c r="AG113" s="21">
        <v>0.41870099999999999</v>
      </c>
      <c r="AH113" s="21">
        <v>19.221599999999999</v>
      </c>
      <c r="AI113" s="21">
        <v>-1.4947500000000001E-2</v>
      </c>
      <c r="AJ113" s="21">
        <v>103</v>
      </c>
      <c r="AK113" s="21">
        <v>0.41809099999999999</v>
      </c>
      <c r="AL113">
        <f t="shared" si="18"/>
        <v>18.453703703703706</v>
      </c>
      <c r="AM113">
        <f t="shared" si="19"/>
        <v>7.7265841944444453</v>
      </c>
      <c r="AP113" s="9"/>
      <c r="AQ113" s="21">
        <v>1.2513700000000001</v>
      </c>
      <c r="AR113" s="21">
        <v>24.664100000000001</v>
      </c>
      <c r="AS113" s="21">
        <v>-1.39343E-2</v>
      </c>
      <c r="AT113" s="21">
        <v>103</v>
      </c>
      <c r="AU113" s="21">
        <v>1.25061</v>
      </c>
      <c r="AV113">
        <f t="shared" si="20"/>
        <v>17.202839506172836</v>
      </c>
      <c r="AW113">
        <f t="shared" si="21"/>
        <v>21.527117272839504</v>
      </c>
      <c r="AX113" s="9"/>
      <c r="AY113" s="21">
        <v>0.41870099999999999</v>
      </c>
      <c r="AZ113" s="21">
        <v>28.422799999999999</v>
      </c>
      <c r="BA113" s="21">
        <v>-1.49109E-2</v>
      </c>
      <c r="BB113" s="21">
        <v>103</v>
      </c>
      <c r="BC113" s="21">
        <v>0.41809099999999999</v>
      </c>
      <c r="BD113">
        <f t="shared" si="22"/>
        <v>18.408518518518516</v>
      </c>
      <c r="BE113">
        <f t="shared" si="23"/>
        <v>7.7076651122222213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1.24634</v>
      </c>
      <c r="H114" s="21">
        <v>6.2467100000000002</v>
      </c>
      <c r="I114" s="21">
        <v>-1.38916E-2</v>
      </c>
      <c r="J114" s="21">
        <v>104</v>
      </c>
      <c r="K114" s="21">
        <v>1.24573</v>
      </c>
      <c r="L114">
        <f t="shared" si="12"/>
        <v>17.150123456790123</v>
      </c>
      <c r="M114">
        <f t="shared" si="13"/>
        <v>21.374884869135801</v>
      </c>
      <c r="N114" s="9"/>
      <c r="O114" s="21">
        <v>0.42373699999999997</v>
      </c>
      <c r="P114" s="21">
        <v>10.0055</v>
      </c>
      <c r="Q114" s="21">
        <v>-1.48773E-2</v>
      </c>
      <c r="R114" s="21">
        <v>104</v>
      </c>
      <c r="S114" s="21">
        <v>0.42309600000000003</v>
      </c>
      <c r="T114">
        <f t="shared" si="14"/>
        <v>18.367037037037036</v>
      </c>
      <c r="U114">
        <f t="shared" si="15"/>
        <v>7.782793172962962</v>
      </c>
      <c r="X114" s="9"/>
      <c r="Y114" s="21">
        <v>1.24634</v>
      </c>
      <c r="Z114" s="21">
        <v>15.472899999999999</v>
      </c>
      <c r="AA114" s="21">
        <v>-1.38916E-2</v>
      </c>
      <c r="AB114" s="21">
        <v>104</v>
      </c>
      <c r="AC114" s="21">
        <v>1.24512</v>
      </c>
      <c r="AD114">
        <f t="shared" si="16"/>
        <v>17.150123456790123</v>
      </c>
      <c r="AE114">
        <f t="shared" si="17"/>
        <v>21.374884869135801</v>
      </c>
      <c r="AF114" s="9"/>
      <c r="AG114" s="21">
        <v>0.42373699999999997</v>
      </c>
      <c r="AH114" s="21">
        <v>19.2317</v>
      </c>
      <c r="AI114" s="21">
        <v>-1.4941400000000001E-2</v>
      </c>
      <c r="AJ114" s="21">
        <v>104</v>
      </c>
      <c r="AK114" s="21">
        <v>0.42309600000000003</v>
      </c>
      <c r="AL114">
        <f t="shared" si="18"/>
        <v>18.446172839506172</v>
      </c>
      <c r="AM114">
        <f t="shared" si="19"/>
        <v>7.8163259404938259</v>
      </c>
      <c r="AP114" s="9"/>
      <c r="AQ114" s="21">
        <v>1.24634</v>
      </c>
      <c r="AR114" s="21">
        <v>24.674199999999999</v>
      </c>
      <c r="AS114" s="21">
        <v>-1.3946500000000001E-2</v>
      </c>
      <c r="AT114" s="21">
        <v>104</v>
      </c>
      <c r="AU114" s="21">
        <v>1.24542</v>
      </c>
      <c r="AV114">
        <f t="shared" si="20"/>
        <v>17.217901234567901</v>
      </c>
      <c r="AW114">
        <f t="shared" si="21"/>
        <v>21.459359024691356</v>
      </c>
      <c r="AX114" s="9"/>
      <c r="AY114" s="21">
        <v>0.42373699999999997</v>
      </c>
      <c r="AZ114" s="21">
        <v>28.4329</v>
      </c>
      <c r="BA114" s="21">
        <v>-1.4913900000000001E-2</v>
      </c>
      <c r="BB114" s="21">
        <v>104</v>
      </c>
      <c r="BC114" s="21">
        <v>0.42306500000000002</v>
      </c>
      <c r="BD114">
        <f t="shared" si="22"/>
        <v>18.412222222222223</v>
      </c>
      <c r="BE114">
        <f t="shared" si="23"/>
        <v>7.801939807777778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1.2413000000000001</v>
      </c>
      <c r="H115" s="21">
        <v>6.25678</v>
      </c>
      <c r="I115" s="21">
        <v>-1.3903799999999999E-2</v>
      </c>
      <c r="J115" s="21">
        <v>105</v>
      </c>
      <c r="K115" s="21">
        <v>1.2402299999999999</v>
      </c>
      <c r="L115">
        <f t="shared" si="12"/>
        <v>17.165185185185184</v>
      </c>
      <c r="M115">
        <f t="shared" si="13"/>
        <v>21.30714437037037</v>
      </c>
      <c r="N115" s="9"/>
      <c r="O115" s="21">
        <v>0.42877199999999999</v>
      </c>
      <c r="P115" s="21">
        <v>10.015499999999999</v>
      </c>
      <c r="Q115" s="21">
        <v>-1.48804E-2</v>
      </c>
      <c r="R115" s="21">
        <v>105</v>
      </c>
      <c r="S115" s="21">
        <v>0.42816199999999999</v>
      </c>
      <c r="T115">
        <f t="shared" si="14"/>
        <v>18.370864197530864</v>
      </c>
      <c r="U115">
        <f t="shared" si="15"/>
        <v>7.8769121837037028</v>
      </c>
      <c r="X115" s="9"/>
      <c r="Y115" s="21">
        <v>1.2413000000000001</v>
      </c>
      <c r="Z115" s="21">
        <v>15.483000000000001</v>
      </c>
      <c r="AA115" s="21">
        <v>-1.3909899999999999E-2</v>
      </c>
      <c r="AB115" s="21">
        <v>105</v>
      </c>
      <c r="AC115" s="21">
        <v>1.24054</v>
      </c>
      <c r="AD115">
        <f t="shared" si="16"/>
        <v>17.172716049382714</v>
      </c>
      <c r="AE115">
        <f t="shared" si="17"/>
        <v>21.316492432098766</v>
      </c>
      <c r="AF115" s="9"/>
      <c r="AG115" s="21">
        <v>0.42877199999999999</v>
      </c>
      <c r="AH115" s="21">
        <v>19.241800000000001</v>
      </c>
      <c r="AI115" s="21">
        <v>-1.49353E-2</v>
      </c>
      <c r="AJ115" s="21">
        <v>105</v>
      </c>
      <c r="AK115" s="21">
        <v>0.42816199999999999</v>
      </c>
      <c r="AL115">
        <f t="shared" si="18"/>
        <v>18.438641975308641</v>
      </c>
      <c r="AM115">
        <f t="shared" si="19"/>
        <v>7.9059733970370365</v>
      </c>
      <c r="AP115" s="9"/>
      <c r="AQ115" s="21">
        <v>1.2413000000000001</v>
      </c>
      <c r="AR115" s="21">
        <v>24.684200000000001</v>
      </c>
      <c r="AS115" s="21">
        <v>-1.39557E-2</v>
      </c>
      <c r="AT115" s="21">
        <v>105</v>
      </c>
      <c r="AU115" s="21">
        <v>1.23993</v>
      </c>
      <c r="AV115">
        <f t="shared" si="20"/>
        <v>17.229259259259258</v>
      </c>
      <c r="AW115">
        <f t="shared" si="21"/>
        <v>21.38667951851852</v>
      </c>
      <c r="AX115" s="9"/>
      <c r="AY115" s="21">
        <v>0.42877199999999999</v>
      </c>
      <c r="AZ115" s="21">
        <v>28.443000000000001</v>
      </c>
      <c r="BA115" s="21">
        <v>-1.4917E-2</v>
      </c>
      <c r="BB115" s="21">
        <v>105</v>
      </c>
      <c r="BC115" s="21">
        <v>0.42810100000000001</v>
      </c>
      <c r="BD115">
        <f t="shared" si="22"/>
        <v>18.416049382716047</v>
      </c>
      <c r="BE115">
        <f t="shared" si="23"/>
        <v>7.8962863259259244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1.23627</v>
      </c>
      <c r="H116" s="21">
        <v>6.2668499999999998</v>
      </c>
      <c r="I116" s="21">
        <v>-1.39221E-2</v>
      </c>
      <c r="J116" s="21">
        <v>106</v>
      </c>
      <c r="K116" s="21">
        <v>1.2347399999999999</v>
      </c>
      <c r="L116">
        <f t="shared" si="12"/>
        <v>17.187777777777779</v>
      </c>
      <c r="M116">
        <f t="shared" si="13"/>
        <v>21.248734033333335</v>
      </c>
      <c r="N116" s="9"/>
      <c r="O116" s="21">
        <v>0.433807</v>
      </c>
      <c r="P116" s="21">
        <v>10.025600000000001</v>
      </c>
      <c r="Q116" s="21">
        <v>-1.48743E-2</v>
      </c>
      <c r="R116" s="21">
        <v>106</v>
      </c>
      <c r="S116" s="21">
        <v>0.43310500000000002</v>
      </c>
      <c r="T116">
        <f t="shared" si="14"/>
        <v>18.363333333333333</v>
      </c>
      <c r="U116">
        <f t="shared" si="15"/>
        <v>7.9661425433333335</v>
      </c>
      <c r="X116" s="9"/>
      <c r="Y116" s="21">
        <v>1.23627</v>
      </c>
      <c r="Z116" s="21">
        <v>15.4931</v>
      </c>
      <c r="AA116" s="21">
        <v>-1.39191E-2</v>
      </c>
      <c r="AB116" s="21">
        <v>106</v>
      </c>
      <c r="AC116" s="21">
        <v>1.23505</v>
      </c>
      <c r="AD116">
        <f t="shared" si="16"/>
        <v>17.184074074074076</v>
      </c>
      <c r="AE116">
        <f t="shared" si="17"/>
        <v>21.244155255555558</v>
      </c>
      <c r="AF116" s="9"/>
      <c r="AG116" s="21">
        <v>0.433807</v>
      </c>
      <c r="AH116" s="21">
        <v>19.251799999999999</v>
      </c>
      <c r="AI116" s="21">
        <v>-1.49353E-2</v>
      </c>
      <c r="AJ116" s="21">
        <v>106</v>
      </c>
      <c r="AK116" s="21">
        <v>0.433228</v>
      </c>
      <c r="AL116">
        <f t="shared" si="18"/>
        <v>18.438641975308641</v>
      </c>
      <c r="AM116">
        <f t="shared" si="19"/>
        <v>7.9988119593827154</v>
      </c>
      <c r="AP116" s="9"/>
      <c r="AQ116" s="21">
        <v>1.23627</v>
      </c>
      <c r="AR116" s="21">
        <v>24.694299999999998</v>
      </c>
      <c r="AS116" s="21">
        <v>-1.39709E-2</v>
      </c>
      <c r="AT116" s="21">
        <v>106</v>
      </c>
      <c r="AU116" s="21">
        <v>1.23505</v>
      </c>
      <c r="AV116">
        <f t="shared" si="20"/>
        <v>17.248024691358022</v>
      </c>
      <c r="AW116">
        <f t="shared" si="21"/>
        <v>21.32321548518518</v>
      </c>
      <c r="AX116" s="9"/>
      <c r="AY116" s="21">
        <v>0.433807</v>
      </c>
      <c r="AZ116" s="21">
        <v>28.453099999999999</v>
      </c>
      <c r="BA116" s="21">
        <v>-1.4913900000000001E-2</v>
      </c>
      <c r="BB116" s="21">
        <v>106</v>
      </c>
      <c r="BC116" s="21">
        <v>0.433228</v>
      </c>
      <c r="BD116">
        <f t="shared" si="22"/>
        <v>18.412222222222223</v>
      </c>
      <c r="BE116">
        <f t="shared" si="23"/>
        <v>7.9873508855555562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1.23123</v>
      </c>
      <c r="H117" s="21">
        <v>6.2769199999999996</v>
      </c>
      <c r="I117" s="21">
        <v>-1.3943499999999999E-2</v>
      </c>
      <c r="J117" s="21">
        <v>107</v>
      </c>
      <c r="K117" s="21">
        <v>1.2307699999999999</v>
      </c>
      <c r="L117">
        <f t="shared" si="12"/>
        <v>17.214197530864197</v>
      </c>
      <c r="M117">
        <f t="shared" si="13"/>
        <v>21.194636425925928</v>
      </c>
      <c r="N117" s="9"/>
      <c r="O117" s="21">
        <v>0.43884299999999998</v>
      </c>
      <c r="P117" s="21">
        <v>10.0357</v>
      </c>
      <c r="Q117" s="21">
        <v>-1.4871199999999999E-2</v>
      </c>
      <c r="R117" s="21">
        <v>107</v>
      </c>
      <c r="S117" s="21">
        <v>0.43829299999999999</v>
      </c>
      <c r="T117">
        <f t="shared" si="14"/>
        <v>18.359506172839506</v>
      </c>
      <c r="U117">
        <f t="shared" si="15"/>
        <v>8.0569407674074078</v>
      </c>
      <c r="X117" s="9"/>
      <c r="Y117" s="21">
        <v>1.23123</v>
      </c>
      <c r="Z117" s="21">
        <v>15.5031</v>
      </c>
      <c r="AA117" s="21">
        <v>-1.3937400000000001E-2</v>
      </c>
      <c r="AB117" s="21">
        <v>107</v>
      </c>
      <c r="AC117" s="21">
        <v>1.23047</v>
      </c>
      <c r="AD117">
        <f t="shared" si="16"/>
        <v>17.206666666666667</v>
      </c>
      <c r="AE117">
        <f t="shared" si="17"/>
        <v>21.185364200000002</v>
      </c>
      <c r="AF117" s="9"/>
      <c r="AG117" s="21">
        <v>0.43884299999999998</v>
      </c>
      <c r="AH117" s="21">
        <v>19.261900000000001</v>
      </c>
      <c r="AI117" s="21">
        <v>-1.4926099999999999E-2</v>
      </c>
      <c r="AJ117" s="21">
        <v>107</v>
      </c>
      <c r="AK117" s="21">
        <v>0.43820199999999998</v>
      </c>
      <c r="AL117">
        <f t="shared" si="18"/>
        <v>18.427283950617284</v>
      </c>
      <c r="AM117">
        <f t="shared" si="19"/>
        <v>8.08668457074074</v>
      </c>
      <c r="AP117" s="9"/>
      <c r="AQ117" s="21">
        <v>1.23123</v>
      </c>
      <c r="AR117" s="21">
        <v>24.7044</v>
      </c>
      <c r="AS117" s="21">
        <v>-1.3983199999999999E-2</v>
      </c>
      <c r="AT117" s="21">
        <v>107</v>
      </c>
      <c r="AU117" s="21">
        <v>1.22986</v>
      </c>
      <c r="AV117">
        <f t="shared" si="20"/>
        <v>17.263209876543208</v>
      </c>
      <c r="AW117">
        <f t="shared" si="21"/>
        <v>21.254981896296293</v>
      </c>
      <c r="AX117" s="9"/>
      <c r="AY117" s="21">
        <v>0.43884299999999998</v>
      </c>
      <c r="AZ117" s="21">
        <v>28.463100000000001</v>
      </c>
      <c r="BA117" s="21">
        <v>-1.49109E-2</v>
      </c>
      <c r="BB117" s="21">
        <v>107</v>
      </c>
      <c r="BC117" s="21">
        <v>0.43817099999999998</v>
      </c>
      <c r="BD117">
        <f t="shared" si="22"/>
        <v>18.408518518518516</v>
      </c>
      <c r="BE117">
        <f t="shared" si="23"/>
        <v>8.0784494922222212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1.2262</v>
      </c>
      <c r="H118" s="21">
        <v>6.2869900000000003</v>
      </c>
      <c r="I118" s="21">
        <v>-1.3952600000000001E-2</v>
      </c>
      <c r="J118" s="21">
        <v>108</v>
      </c>
      <c r="K118" s="21">
        <v>1.2252799999999999</v>
      </c>
      <c r="L118">
        <f t="shared" si="12"/>
        <v>17.225432098765431</v>
      </c>
      <c r="M118">
        <f t="shared" si="13"/>
        <v>21.121824839506171</v>
      </c>
      <c r="N118" s="9"/>
      <c r="O118" s="21">
        <v>0.44387799999999999</v>
      </c>
      <c r="P118" s="21">
        <v>10.0458</v>
      </c>
      <c r="Q118" s="21">
        <v>-1.4859000000000001E-2</v>
      </c>
      <c r="R118" s="21">
        <v>108</v>
      </c>
      <c r="S118" s="21">
        <v>0.44332899999999997</v>
      </c>
      <c r="T118">
        <f t="shared" si="14"/>
        <v>18.344444444444445</v>
      </c>
      <c r="U118">
        <f t="shared" si="15"/>
        <v>8.1426953111111118</v>
      </c>
      <c r="X118" s="9"/>
      <c r="Y118" s="21">
        <v>1.2262</v>
      </c>
      <c r="Z118" s="21">
        <v>15.513199999999999</v>
      </c>
      <c r="AA118" s="21">
        <v>-1.39496E-2</v>
      </c>
      <c r="AB118" s="21">
        <v>108</v>
      </c>
      <c r="AC118" s="21">
        <v>1.2252799999999999</v>
      </c>
      <c r="AD118">
        <f t="shared" si="16"/>
        <v>17.221728395061724</v>
      </c>
      <c r="AE118">
        <f t="shared" si="17"/>
        <v>21.117283358024686</v>
      </c>
      <c r="AF118" s="9"/>
      <c r="AG118" s="21">
        <v>0.44387799999999999</v>
      </c>
      <c r="AH118" s="21">
        <v>19.271999999999998</v>
      </c>
      <c r="AI118" s="21">
        <v>-1.49231E-2</v>
      </c>
      <c r="AJ118" s="21">
        <v>108</v>
      </c>
      <c r="AK118" s="21">
        <v>0.44332899999999997</v>
      </c>
      <c r="AL118">
        <f t="shared" si="18"/>
        <v>18.423580246913577</v>
      </c>
      <c r="AM118">
        <f t="shared" si="19"/>
        <v>8.1778219528395049</v>
      </c>
      <c r="AP118" s="9"/>
      <c r="AQ118" s="21">
        <v>1.2262</v>
      </c>
      <c r="AR118" s="21">
        <v>24.714400000000001</v>
      </c>
      <c r="AS118" s="21">
        <v>-1.3998399999999999E-2</v>
      </c>
      <c r="AT118" s="21">
        <v>108</v>
      </c>
      <c r="AU118" s="21">
        <v>1.22559</v>
      </c>
      <c r="AV118">
        <f t="shared" si="20"/>
        <v>17.281975308641975</v>
      </c>
      <c r="AW118">
        <f t="shared" si="21"/>
        <v>21.191158123456788</v>
      </c>
      <c r="AX118" s="9"/>
      <c r="AY118" s="21">
        <v>0.44387799999999999</v>
      </c>
      <c r="AZ118" s="21">
        <v>28.473199999999999</v>
      </c>
      <c r="BA118" s="21">
        <v>-1.4907800000000001E-2</v>
      </c>
      <c r="BB118" s="21">
        <v>108</v>
      </c>
      <c r="BC118" s="21">
        <v>0.44339000000000001</v>
      </c>
      <c r="BD118">
        <f t="shared" si="22"/>
        <v>18.404691358024692</v>
      </c>
      <c r="BE118">
        <f t="shared" si="23"/>
        <v>8.1694375906172851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1.22116</v>
      </c>
      <c r="H119" s="21">
        <v>6.2970600000000001</v>
      </c>
      <c r="I119" s="21">
        <v>-1.39618E-2</v>
      </c>
      <c r="J119" s="21">
        <v>109</v>
      </c>
      <c r="K119" s="21">
        <v>1.2203999999999999</v>
      </c>
      <c r="L119">
        <f t="shared" si="12"/>
        <v>17.236790123456789</v>
      </c>
      <c r="M119">
        <f t="shared" si="13"/>
        <v>21.048878627160494</v>
      </c>
      <c r="N119" s="9"/>
      <c r="O119" s="21">
        <v>0.44891399999999998</v>
      </c>
      <c r="P119" s="21">
        <v>10.0558</v>
      </c>
      <c r="Q119" s="21">
        <v>-1.4849899999999999E-2</v>
      </c>
      <c r="R119" s="21">
        <v>109</v>
      </c>
      <c r="S119" s="21">
        <v>0.44830300000000001</v>
      </c>
      <c r="T119">
        <f t="shared" si="14"/>
        <v>18.333209876543208</v>
      </c>
      <c r="U119">
        <f t="shared" si="15"/>
        <v>8.2300345785185165</v>
      </c>
      <c r="X119" s="9"/>
      <c r="Y119" s="21">
        <v>1.22116</v>
      </c>
      <c r="Z119" s="21">
        <v>15.523300000000001</v>
      </c>
      <c r="AA119" s="21">
        <v>-1.39618E-2</v>
      </c>
      <c r="AB119" s="21">
        <v>109</v>
      </c>
      <c r="AC119" s="21">
        <v>1.2203999999999999</v>
      </c>
      <c r="AD119">
        <f t="shared" si="16"/>
        <v>17.236790123456789</v>
      </c>
      <c r="AE119">
        <f t="shared" si="17"/>
        <v>21.048878627160494</v>
      </c>
      <c r="AF119" s="9"/>
      <c r="AG119" s="21">
        <v>0.44891399999999998</v>
      </c>
      <c r="AH119" s="21">
        <v>19.282</v>
      </c>
      <c r="AI119" s="21">
        <v>-1.4917E-2</v>
      </c>
      <c r="AJ119" s="21">
        <v>109</v>
      </c>
      <c r="AK119" s="21">
        <v>0.448212</v>
      </c>
      <c r="AL119">
        <f t="shared" si="18"/>
        <v>18.416049382716047</v>
      </c>
      <c r="AM119">
        <f t="shared" si="19"/>
        <v>8.2672223925925916</v>
      </c>
      <c r="AP119" s="9"/>
      <c r="AQ119" s="21">
        <v>1.22116</v>
      </c>
      <c r="AR119" s="21">
        <v>24.724499999999999</v>
      </c>
      <c r="AS119" s="21">
        <v>-1.40167E-2</v>
      </c>
      <c r="AT119" s="21">
        <v>109</v>
      </c>
      <c r="AU119" s="21">
        <v>1.2206999999999999</v>
      </c>
      <c r="AV119">
        <f t="shared" si="20"/>
        <v>17.304567901234567</v>
      </c>
      <c r="AW119">
        <f t="shared" si="21"/>
        <v>21.131646138271602</v>
      </c>
      <c r="AX119" s="9"/>
      <c r="AY119" s="21">
        <v>0.44891399999999998</v>
      </c>
      <c r="AZ119" s="21">
        <v>28.4833</v>
      </c>
      <c r="BA119" s="21">
        <v>-1.4907800000000001E-2</v>
      </c>
      <c r="BB119" s="21">
        <v>109</v>
      </c>
      <c r="BC119" s="21">
        <v>0.44830300000000001</v>
      </c>
      <c r="BD119">
        <f t="shared" si="22"/>
        <v>18.404691358024692</v>
      </c>
      <c r="BE119">
        <f t="shared" si="23"/>
        <v>8.2621236162962965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1.2161299999999999</v>
      </c>
      <c r="H120" s="21">
        <v>6.3071299999999999</v>
      </c>
      <c r="I120" s="21">
        <v>-1.3974E-2</v>
      </c>
      <c r="J120" s="21">
        <v>110</v>
      </c>
      <c r="K120" s="21">
        <v>1.2152099999999999</v>
      </c>
      <c r="L120">
        <f t="shared" si="12"/>
        <v>17.251851851851853</v>
      </c>
      <c r="M120">
        <f t="shared" si="13"/>
        <v>20.980494592592592</v>
      </c>
      <c r="N120" s="9"/>
      <c r="O120" s="21">
        <v>0.45394899999999999</v>
      </c>
      <c r="P120" s="21">
        <v>10.065899999999999</v>
      </c>
      <c r="Q120" s="21">
        <v>-1.4855999999999999E-2</v>
      </c>
      <c r="R120" s="21">
        <v>110</v>
      </c>
      <c r="S120" s="21">
        <v>0.45327800000000001</v>
      </c>
      <c r="T120">
        <f t="shared" si="14"/>
        <v>18.340740740740738</v>
      </c>
      <c r="U120">
        <f t="shared" si="15"/>
        <v>8.3257609185185171</v>
      </c>
      <c r="X120" s="9"/>
      <c r="Y120" s="21">
        <v>1.2161299999999999</v>
      </c>
      <c r="Z120" s="21">
        <v>15.533300000000001</v>
      </c>
      <c r="AA120" s="21">
        <v>-1.39709E-2</v>
      </c>
      <c r="AB120" s="21">
        <v>110</v>
      </c>
      <c r="AC120" s="21">
        <v>1.2155199999999999</v>
      </c>
      <c r="AD120">
        <f t="shared" si="16"/>
        <v>17.248024691358022</v>
      </c>
      <c r="AE120">
        <f t="shared" si="17"/>
        <v>20.97584026790123</v>
      </c>
      <c r="AF120" s="9"/>
      <c r="AG120" s="21">
        <v>0.45394899999999999</v>
      </c>
      <c r="AH120" s="21">
        <v>19.292100000000001</v>
      </c>
      <c r="AI120" s="21">
        <v>-1.4907800000000001E-2</v>
      </c>
      <c r="AJ120" s="21">
        <v>110</v>
      </c>
      <c r="AK120" s="21">
        <v>0.45330799999999999</v>
      </c>
      <c r="AL120">
        <f t="shared" si="18"/>
        <v>18.404691358024692</v>
      </c>
      <c r="AM120">
        <f t="shared" si="19"/>
        <v>8.3547912372839512</v>
      </c>
      <c r="AP120" s="9"/>
      <c r="AQ120" s="21">
        <v>1.2161299999999999</v>
      </c>
      <c r="AR120" s="21">
        <v>24.7346</v>
      </c>
      <c r="AS120" s="21">
        <v>-1.4035000000000001E-2</v>
      </c>
      <c r="AT120" s="21">
        <v>110</v>
      </c>
      <c r="AU120" s="21">
        <v>1.2149000000000001</v>
      </c>
      <c r="AV120">
        <f t="shared" si="20"/>
        <v>17.327160493827162</v>
      </c>
      <c r="AW120">
        <f t="shared" si="21"/>
        <v>21.072079691358024</v>
      </c>
      <c r="AX120" s="9"/>
      <c r="AY120" s="21">
        <v>0.45394899999999999</v>
      </c>
      <c r="AZ120" s="21">
        <v>28.493300000000001</v>
      </c>
      <c r="BA120" s="21">
        <v>-1.4904799999999999E-2</v>
      </c>
      <c r="BB120" s="21">
        <v>110</v>
      </c>
      <c r="BC120" s="21">
        <v>0.45340000000000003</v>
      </c>
      <c r="BD120">
        <f t="shared" si="22"/>
        <v>18.400987654320986</v>
      </c>
      <c r="BE120">
        <f t="shared" si="23"/>
        <v>8.3531099446913561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1.21109</v>
      </c>
      <c r="H121" s="21">
        <v>6.3171999999999997</v>
      </c>
      <c r="I121" s="21">
        <v>-1.3983199999999999E-2</v>
      </c>
      <c r="J121" s="21">
        <v>111</v>
      </c>
      <c r="K121" s="21">
        <v>1.2103299999999999</v>
      </c>
      <c r="L121">
        <f t="shared" si="12"/>
        <v>17.263209876543208</v>
      </c>
      <c r="M121">
        <f t="shared" si="13"/>
        <v>20.907300849382715</v>
      </c>
      <c r="N121" s="9"/>
      <c r="O121" s="21">
        <v>0.458984</v>
      </c>
      <c r="P121" s="21">
        <v>10.076000000000001</v>
      </c>
      <c r="Q121" s="21">
        <v>-1.4855999999999999E-2</v>
      </c>
      <c r="R121" s="21">
        <v>111</v>
      </c>
      <c r="S121" s="21">
        <v>0.45849600000000001</v>
      </c>
      <c r="T121">
        <f t="shared" si="14"/>
        <v>18.340740740740738</v>
      </c>
      <c r="U121">
        <f t="shared" si="15"/>
        <v>8.4181065481481472</v>
      </c>
      <c r="X121" s="9"/>
      <c r="Y121" s="21">
        <v>1.21109</v>
      </c>
      <c r="Z121" s="21">
        <v>15.5434</v>
      </c>
      <c r="AA121" s="21">
        <v>-1.3980100000000001E-2</v>
      </c>
      <c r="AB121" s="21">
        <v>111</v>
      </c>
      <c r="AC121" s="21">
        <v>1.2103299999999999</v>
      </c>
      <c r="AD121">
        <f t="shared" si="16"/>
        <v>17.259382716049384</v>
      </c>
      <c r="AE121">
        <f t="shared" si="17"/>
        <v>20.902665813580249</v>
      </c>
      <c r="AF121" s="9"/>
      <c r="AG121" s="21">
        <v>0.458984</v>
      </c>
      <c r="AH121" s="21">
        <v>19.302199999999999</v>
      </c>
      <c r="AI121" s="21">
        <v>-1.4904799999999999E-2</v>
      </c>
      <c r="AJ121" s="21">
        <v>111</v>
      </c>
      <c r="AK121" s="21">
        <v>0.45840500000000001</v>
      </c>
      <c r="AL121">
        <f t="shared" si="18"/>
        <v>18.400987654320986</v>
      </c>
      <c r="AM121">
        <f t="shared" si="19"/>
        <v>8.4457589175308634</v>
      </c>
      <c r="AP121" s="9"/>
      <c r="AQ121" s="21">
        <v>1.21109</v>
      </c>
      <c r="AR121" s="21">
        <v>24.744599999999998</v>
      </c>
      <c r="AS121" s="21">
        <v>-1.4053299999999999E-2</v>
      </c>
      <c r="AT121" s="21">
        <v>111</v>
      </c>
      <c r="AU121" s="21">
        <v>1.2103299999999999</v>
      </c>
      <c r="AV121">
        <f t="shared" si="20"/>
        <v>17.349753086419753</v>
      </c>
      <c r="AW121">
        <f t="shared" si="21"/>
        <v>21.0121124654321</v>
      </c>
      <c r="AX121" s="9"/>
      <c r="AY121" s="21">
        <v>0.458984</v>
      </c>
      <c r="AZ121" s="21">
        <v>28.503399999999999</v>
      </c>
      <c r="BA121" s="21">
        <v>-1.49109E-2</v>
      </c>
      <c r="BB121" s="21">
        <v>111</v>
      </c>
      <c r="BC121" s="21">
        <v>0.45831300000000003</v>
      </c>
      <c r="BD121">
        <f t="shared" si="22"/>
        <v>18.408518518518516</v>
      </c>
      <c r="BE121">
        <f t="shared" si="23"/>
        <v>8.4492154637037018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1.2060500000000001</v>
      </c>
      <c r="H122" s="21">
        <v>6.3272700000000004</v>
      </c>
      <c r="I122" s="21">
        <v>-1.3986200000000001E-2</v>
      </c>
      <c r="J122" s="21">
        <v>112</v>
      </c>
      <c r="K122" s="21">
        <v>1.2051400000000001</v>
      </c>
      <c r="L122">
        <f t="shared" si="12"/>
        <v>17.266913580246914</v>
      </c>
      <c r="M122">
        <f t="shared" si="13"/>
        <v>20.824761123456792</v>
      </c>
      <c r="N122" s="9"/>
      <c r="O122" s="21">
        <v>0.46401999999999999</v>
      </c>
      <c r="P122" s="21">
        <v>10.086</v>
      </c>
      <c r="Q122" s="21">
        <v>-1.48529E-2</v>
      </c>
      <c r="R122" s="21">
        <v>112</v>
      </c>
      <c r="S122" s="21">
        <v>0.46344000000000002</v>
      </c>
      <c r="T122">
        <f t="shared" si="14"/>
        <v>18.336913580246915</v>
      </c>
      <c r="U122">
        <f t="shared" si="15"/>
        <v>8.5086946395061727</v>
      </c>
      <c r="X122" s="9"/>
      <c r="Y122" s="21">
        <v>1.2060500000000001</v>
      </c>
      <c r="Z122" s="21">
        <v>15.5535</v>
      </c>
      <c r="AA122" s="21">
        <v>-1.3998399999999999E-2</v>
      </c>
      <c r="AB122" s="21">
        <v>112</v>
      </c>
      <c r="AC122" s="21">
        <v>1.2051400000000001</v>
      </c>
      <c r="AD122">
        <f t="shared" si="16"/>
        <v>17.281975308641975</v>
      </c>
      <c r="AE122">
        <f t="shared" si="17"/>
        <v>20.842926320987655</v>
      </c>
      <c r="AF122" s="9"/>
      <c r="AG122" s="21">
        <v>0.46401999999999999</v>
      </c>
      <c r="AH122" s="21">
        <v>19.3123</v>
      </c>
      <c r="AI122" s="21">
        <v>-1.4898700000000001E-2</v>
      </c>
      <c r="AJ122" s="21">
        <v>112</v>
      </c>
      <c r="AK122" s="21">
        <v>0.46346999999999999</v>
      </c>
      <c r="AL122">
        <f t="shared" si="18"/>
        <v>18.393456790123455</v>
      </c>
      <c r="AM122">
        <f t="shared" si="19"/>
        <v>8.5349318197530852</v>
      </c>
      <c r="AP122" s="9"/>
      <c r="AQ122" s="21">
        <v>1.2060500000000001</v>
      </c>
      <c r="AR122" s="21">
        <v>24.7547</v>
      </c>
      <c r="AS122" s="21">
        <v>-1.4065599999999999E-2</v>
      </c>
      <c r="AT122" s="21">
        <v>112</v>
      </c>
      <c r="AU122" s="21">
        <v>1.2048300000000001</v>
      </c>
      <c r="AV122">
        <f t="shared" si="20"/>
        <v>17.364938271604938</v>
      </c>
      <c r="AW122">
        <f t="shared" si="21"/>
        <v>20.942983802469136</v>
      </c>
      <c r="AX122" s="9"/>
      <c r="AY122" s="21">
        <v>0.46401999999999999</v>
      </c>
      <c r="AZ122" s="21">
        <v>28.513500000000001</v>
      </c>
      <c r="BA122" s="21">
        <v>-1.4913900000000001E-2</v>
      </c>
      <c r="BB122" s="21">
        <v>112</v>
      </c>
      <c r="BC122" s="21">
        <v>0.46325699999999997</v>
      </c>
      <c r="BD122">
        <f t="shared" si="22"/>
        <v>18.412222222222223</v>
      </c>
      <c r="BE122">
        <f t="shared" si="23"/>
        <v>8.5436393555555554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1.20102</v>
      </c>
      <c r="H123" s="21">
        <v>6.3373499999999998</v>
      </c>
      <c r="I123" s="21">
        <v>-1.39954E-2</v>
      </c>
      <c r="J123" s="21">
        <v>113</v>
      </c>
      <c r="K123" s="21">
        <v>1.1999500000000001</v>
      </c>
      <c r="L123">
        <f t="shared" si="12"/>
        <v>17.278271604938272</v>
      </c>
      <c r="M123">
        <f t="shared" si="13"/>
        <v>20.751549762962963</v>
      </c>
      <c r="N123" s="9"/>
      <c r="O123" s="21">
        <v>0.469055</v>
      </c>
      <c r="P123" s="21">
        <v>10.0961</v>
      </c>
      <c r="Q123" s="21">
        <v>-1.4849899999999999E-2</v>
      </c>
      <c r="R123" s="21">
        <v>113</v>
      </c>
      <c r="S123" s="21">
        <v>0.468445</v>
      </c>
      <c r="T123">
        <f t="shared" si="14"/>
        <v>18.333209876543208</v>
      </c>
      <c r="U123">
        <f t="shared" si="15"/>
        <v>8.5992837586419739</v>
      </c>
      <c r="X123" s="9"/>
      <c r="Y123" s="21">
        <v>1.20102</v>
      </c>
      <c r="Z123" s="21">
        <v>15.563599999999999</v>
      </c>
      <c r="AA123" s="21">
        <v>-1.40106E-2</v>
      </c>
      <c r="AB123" s="21">
        <v>113</v>
      </c>
      <c r="AC123" s="21">
        <v>1.2002600000000001</v>
      </c>
      <c r="AD123">
        <f t="shared" si="16"/>
        <v>17.297037037037036</v>
      </c>
      <c r="AE123">
        <f t="shared" si="17"/>
        <v>20.77408742222222</v>
      </c>
      <c r="AF123" s="9"/>
      <c r="AG123" s="21">
        <v>0.469055</v>
      </c>
      <c r="AH123" s="21">
        <v>19.322299999999998</v>
      </c>
      <c r="AI123" s="21">
        <v>-1.48865E-2</v>
      </c>
      <c r="AJ123" s="21">
        <v>113</v>
      </c>
      <c r="AK123" s="21">
        <v>0.468445</v>
      </c>
      <c r="AL123">
        <f t="shared" si="18"/>
        <v>18.378395061728394</v>
      </c>
      <c r="AM123">
        <f t="shared" si="19"/>
        <v>8.6204780956790117</v>
      </c>
      <c r="AP123" s="9"/>
      <c r="AQ123" s="21">
        <v>1.20102</v>
      </c>
      <c r="AR123" s="21">
        <v>24.764800000000001</v>
      </c>
      <c r="AS123" s="21">
        <v>-1.40839E-2</v>
      </c>
      <c r="AT123" s="21">
        <v>113</v>
      </c>
      <c r="AU123" s="21">
        <v>1.2005600000000001</v>
      </c>
      <c r="AV123">
        <f t="shared" si="20"/>
        <v>17.387530864197529</v>
      </c>
      <c r="AW123">
        <f t="shared" si="21"/>
        <v>20.882772318518516</v>
      </c>
      <c r="AX123" s="9"/>
      <c r="AY123" s="21">
        <v>0.469055</v>
      </c>
      <c r="AZ123" s="21">
        <v>28.523599999999998</v>
      </c>
      <c r="BA123" s="21">
        <v>-1.4898700000000001E-2</v>
      </c>
      <c r="BB123" s="21">
        <v>113</v>
      </c>
      <c r="BC123" s="21">
        <v>0.46853600000000001</v>
      </c>
      <c r="BD123">
        <f t="shared" si="22"/>
        <v>18.393456790123455</v>
      </c>
      <c r="BE123">
        <f t="shared" si="23"/>
        <v>8.6275428746913576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1.19598</v>
      </c>
      <c r="H124" s="21">
        <v>6.3474199999999996</v>
      </c>
      <c r="I124" s="21">
        <v>-1.40076E-2</v>
      </c>
      <c r="J124" s="21">
        <v>114</v>
      </c>
      <c r="K124" s="21">
        <v>1.1950700000000001</v>
      </c>
      <c r="L124">
        <f t="shared" si="12"/>
        <v>17.293333333333333</v>
      </c>
      <c r="M124">
        <f t="shared" si="13"/>
        <v>20.6824808</v>
      </c>
      <c r="N124" s="9"/>
      <c r="O124" s="21">
        <v>0.47409099999999998</v>
      </c>
      <c r="P124" s="21">
        <v>10.106199999999999</v>
      </c>
      <c r="Q124" s="21">
        <v>-1.4843800000000001E-2</v>
      </c>
      <c r="R124" s="21">
        <v>114</v>
      </c>
      <c r="S124" s="21">
        <v>0.47344999999999998</v>
      </c>
      <c r="T124">
        <f t="shared" si="14"/>
        <v>18.325679012345677</v>
      </c>
      <c r="U124">
        <f t="shared" si="15"/>
        <v>8.6880394886419747</v>
      </c>
      <c r="X124" s="9"/>
      <c r="Y124" s="21">
        <v>1.19598</v>
      </c>
      <c r="Z124" s="21">
        <v>15.573600000000001</v>
      </c>
      <c r="AA124" s="21">
        <v>-1.4025900000000001E-2</v>
      </c>
      <c r="AB124" s="21">
        <v>114</v>
      </c>
      <c r="AC124" s="21">
        <v>1.19476</v>
      </c>
      <c r="AD124">
        <f t="shared" si="16"/>
        <v>17.315925925925924</v>
      </c>
      <c r="AE124">
        <f t="shared" si="17"/>
        <v>20.709501088888889</v>
      </c>
      <c r="AF124" s="9"/>
      <c r="AG124" s="21">
        <v>0.47409099999999998</v>
      </c>
      <c r="AH124" s="21">
        <v>19.3324</v>
      </c>
      <c r="AI124" s="21">
        <v>-1.48743E-2</v>
      </c>
      <c r="AJ124" s="21">
        <v>114</v>
      </c>
      <c r="AK124" s="21">
        <v>0.47348000000000001</v>
      </c>
      <c r="AL124">
        <f t="shared" si="18"/>
        <v>18.363333333333333</v>
      </c>
      <c r="AM124">
        <f t="shared" si="19"/>
        <v>8.7058910633333326</v>
      </c>
      <c r="AP124" s="9"/>
      <c r="AQ124" s="21">
        <v>1.19598</v>
      </c>
      <c r="AR124" s="21">
        <v>24.774899999999999</v>
      </c>
      <c r="AS124" s="21">
        <v>-1.40961E-2</v>
      </c>
      <c r="AT124" s="21">
        <v>114</v>
      </c>
      <c r="AU124" s="21">
        <v>1.1944600000000001</v>
      </c>
      <c r="AV124">
        <f t="shared" si="20"/>
        <v>17.40259259259259</v>
      </c>
      <c r="AW124">
        <f t="shared" si="21"/>
        <v>20.813152688888888</v>
      </c>
      <c r="AX124" s="9"/>
      <c r="AY124" s="21">
        <v>0.47409099999999998</v>
      </c>
      <c r="AZ124" s="21">
        <v>28.5336</v>
      </c>
      <c r="BA124" s="21">
        <v>-1.48956E-2</v>
      </c>
      <c r="BB124" s="21">
        <v>114</v>
      </c>
      <c r="BC124" s="21">
        <v>0.47351100000000002</v>
      </c>
      <c r="BD124">
        <f t="shared" si="22"/>
        <v>18.389629629629628</v>
      </c>
      <c r="BE124">
        <f t="shared" si="23"/>
        <v>8.7183579007407399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1.19095</v>
      </c>
      <c r="H125" s="21">
        <v>6.3574900000000003</v>
      </c>
      <c r="I125" s="21">
        <v>-1.40167E-2</v>
      </c>
      <c r="J125" s="21">
        <v>115</v>
      </c>
      <c r="K125" s="21">
        <v>1.19049</v>
      </c>
      <c r="L125">
        <f t="shared" si="12"/>
        <v>17.304567901234567</v>
      </c>
      <c r="M125">
        <f t="shared" si="13"/>
        <v>20.608875141975307</v>
      </c>
      <c r="N125" s="9"/>
      <c r="O125" s="21">
        <v>0.479126</v>
      </c>
      <c r="P125" s="21">
        <v>10.116300000000001</v>
      </c>
      <c r="Q125" s="21">
        <v>-1.4837599999999999E-2</v>
      </c>
      <c r="R125" s="21">
        <v>115</v>
      </c>
      <c r="S125" s="21">
        <v>0.478607</v>
      </c>
      <c r="T125">
        <f t="shared" si="14"/>
        <v>18.318024691358023</v>
      </c>
      <c r="U125">
        <f t="shared" si="15"/>
        <v>8.7766418982716043</v>
      </c>
      <c r="X125" s="9"/>
      <c r="Y125" s="21">
        <v>1.19095</v>
      </c>
      <c r="Z125" s="21">
        <v>15.5837</v>
      </c>
      <c r="AA125" s="21">
        <v>-1.40381E-2</v>
      </c>
      <c r="AB125" s="21">
        <v>115</v>
      </c>
      <c r="AC125" s="21">
        <v>1.1895800000000001</v>
      </c>
      <c r="AD125">
        <f t="shared" si="16"/>
        <v>17.330987654320985</v>
      </c>
      <c r="AE125">
        <f t="shared" si="17"/>
        <v>20.640339746913575</v>
      </c>
      <c r="AF125" s="9"/>
      <c r="AG125" s="21">
        <v>0.479126</v>
      </c>
      <c r="AH125" s="21">
        <v>19.342500000000001</v>
      </c>
      <c r="AI125" s="21">
        <v>-1.48773E-2</v>
      </c>
      <c r="AJ125" s="21">
        <v>115</v>
      </c>
      <c r="AK125" s="21">
        <v>0.47848499999999999</v>
      </c>
      <c r="AL125">
        <f t="shared" si="18"/>
        <v>18.367037037037036</v>
      </c>
      <c r="AM125">
        <f t="shared" si="19"/>
        <v>8.8001249874074077</v>
      </c>
      <c r="AP125" s="9"/>
      <c r="AQ125" s="21">
        <v>1.19095</v>
      </c>
      <c r="AR125" s="21">
        <v>24.7849</v>
      </c>
      <c r="AS125" s="21">
        <v>-1.40991E-2</v>
      </c>
      <c r="AT125" s="21">
        <v>115</v>
      </c>
      <c r="AU125" s="21">
        <v>1.18988</v>
      </c>
      <c r="AV125">
        <f t="shared" si="20"/>
        <v>17.406296296296293</v>
      </c>
      <c r="AW125">
        <f t="shared" si="21"/>
        <v>20.730028574074069</v>
      </c>
      <c r="AX125" s="9"/>
      <c r="AY125" s="21">
        <v>0.479126</v>
      </c>
      <c r="AZ125" s="21">
        <v>28.543700000000001</v>
      </c>
      <c r="BA125" s="21">
        <v>-1.48895E-2</v>
      </c>
      <c r="BB125" s="21">
        <v>115</v>
      </c>
      <c r="BC125" s="21">
        <v>0.47845500000000002</v>
      </c>
      <c r="BD125">
        <f t="shared" si="22"/>
        <v>18.382098765432101</v>
      </c>
      <c r="BE125">
        <f t="shared" si="23"/>
        <v>8.8073414530864209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1.18591</v>
      </c>
      <c r="H126" s="21">
        <v>6.3675600000000001</v>
      </c>
      <c r="I126" s="21">
        <v>-1.4025900000000001E-2</v>
      </c>
      <c r="J126" s="21">
        <v>116</v>
      </c>
      <c r="K126" s="21">
        <v>1.1853</v>
      </c>
      <c r="L126">
        <f t="shared" si="12"/>
        <v>17.315925925925924</v>
      </c>
      <c r="M126">
        <f t="shared" si="13"/>
        <v>20.535129714814815</v>
      </c>
      <c r="N126" s="9"/>
      <c r="O126" s="21">
        <v>0.48416100000000001</v>
      </c>
      <c r="P126" s="21">
        <v>10.126300000000001</v>
      </c>
      <c r="Q126" s="21">
        <v>-1.4831499999999999E-2</v>
      </c>
      <c r="R126" s="21">
        <v>116</v>
      </c>
      <c r="S126" s="21">
        <v>0.48348999999999998</v>
      </c>
      <c r="T126">
        <f t="shared" si="14"/>
        <v>18.310493827160489</v>
      </c>
      <c r="U126">
        <f t="shared" si="15"/>
        <v>8.8652270018518493</v>
      </c>
      <c r="X126" s="9"/>
      <c r="Y126" s="21">
        <v>1.18591</v>
      </c>
      <c r="Z126" s="21">
        <v>15.5938</v>
      </c>
      <c r="AA126" s="21">
        <v>-1.4053299999999999E-2</v>
      </c>
      <c r="AB126" s="21">
        <v>116</v>
      </c>
      <c r="AC126" s="21">
        <v>1.1850000000000001</v>
      </c>
      <c r="AD126">
        <f t="shared" si="16"/>
        <v>17.349753086419753</v>
      </c>
      <c r="AE126">
        <f t="shared" si="17"/>
        <v>20.575245682716048</v>
      </c>
      <c r="AF126" s="9"/>
      <c r="AG126" s="21">
        <v>0.48416100000000001</v>
      </c>
      <c r="AH126" s="21">
        <v>19.352499999999999</v>
      </c>
      <c r="AI126" s="21">
        <v>-1.48804E-2</v>
      </c>
      <c r="AJ126" s="21">
        <v>116</v>
      </c>
      <c r="AK126" s="21">
        <v>0.48355100000000001</v>
      </c>
      <c r="AL126">
        <f t="shared" si="18"/>
        <v>18.370864197530864</v>
      </c>
      <c r="AM126">
        <f t="shared" si="19"/>
        <v>8.8944559807407408</v>
      </c>
      <c r="AP126" s="9"/>
      <c r="AQ126" s="21">
        <v>1.18591</v>
      </c>
      <c r="AR126" s="21">
        <v>24.795000000000002</v>
      </c>
      <c r="AS126" s="21">
        <v>-1.40961E-2</v>
      </c>
      <c r="AT126" s="21">
        <v>116</v>
      </c>
      <c r="AU126" s="21">
        <v>1.1853</v>
      </c>
      <c r="AV126">
        <f t="shared" si="20"/>
        <v>17.40259259259259</v>
      </c>
      <c r="AW126">
        <f t="shared" si="21"/>
        <v>20.637908581481479</v>
      </c>
      <c r="AX126" s="9"/>
      <c r="AY126" s="21">
        <v>0.48416100000000001</v>
      </c>
      <c r="AZ126" s="21">
        <v>28.553799999999999</v>
      </c>
      <c r="BA126" s="21">
        <v>-1.48956E-2</v>
      </c>
      <c r="BB126" s="21">
        <v>116</v>
      </c>
      <c r="BC126" s="21">
        <v>0.48361199999999999</v>
      </c>
      <c r="BD126">
        <f t="shared" si="22"/>
        <v>18.389629629629628</v>
      </c>
      <c r="BE126">
        <f t="shared" si="23"/>
        <v>8.9035414711111098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1.1808799999999999</v>
      </c>
      <c r="H127" s="21">
        <v>6.3776299999999999</v>
      </c>
      <c r="I127" s="21">
        <v>-1.4041100000000001E-2</v>
      </c>
      <c r="J127" s="21">
        <v>117</v>
      </c>
      <c r="K127" s="21">
        <v>1.18011</v>
      </c>
      <c r="L127">
        <f t="shared" si="12"/>
        <v>17.334691358024692</v>
      </c>
      <c r="M127">
        <f t="shared" si="13"/>
        <v>20.470190330864195</v>
      </c>
      <c r="N127" s="9"/>
      <c r="O127" s="21">
        <v>0.48919699999999999</v>
      </c>
      <c r="P127" s="21">
        <v>10.1364</v>
      </c>
      <c r="Q127" s="21">
        <v>-1.4825400000000001E-2</v>
      </c>
      <c r="R127" s="21">
        <v>117</v>
      </c>
      <c r="S127" s="21">
        <v>0.48858600000000002</v>
      </c>
      <c r="T127">
        <f t="shared" si="14"/>
        <v>18.302962962962962</v>
      </c>
      <c r="U127">
        <f t="shared" si="15"/>
        <v>8.953754572592592</v>
      </c>
      <c r="X127" s="9"/>
      <c r="Y127" s="21">
        <v>1.1808799999999999</v>
      </c>
      <c r="Z127" s="21">
        <v>15.6038</v>
      </c>
      <c r="AA127" s="21">
        <v>-1.40625E-2</v>
      </c>
      <c r="AB127" s="21">
        <v>117</v>
      </c>
      <c r="AC127" s="21">
        <v>1.18011</v>
      </c>
      <c r="AD127">
        <f t="shared" si="16"/>
        <v>17.361111111111111</v>
      </c>
      <c r="AE127">
        <f t="shared" si="17"/>
        <v>20.501388888888886</v>
      </c>
      <c r="AF127" s="9"/>
      <c r="AG127" s="21">
        <v>0.48919699999999999</v>
      </c>
      <c r="AH127" s="21">
        <v>19.3626</v>
      </c>
      <c r="AI127" s="21">
        <v>-1.48743E-2</v>
      </c>
      <c r="AJ127" s="21">
        <v>117</v>
      </c>
      <c r="AK127" s="21">
        <v>0.488647</v>
      </c>
      <c r="AL127">
        <f t="shared" si="18"/>
        <v>18.363333333333333</v>
      </c>
      <c r="AM127">
        <f t="shared" si="19"/>
        <v>8.9832875766666671</v>
      </c>
      <c r="AP127" s="9"/>
      <c r="AQ127" s="21">
        <v>1.1808799999999999</v>
      </c>
      <c r="AR127" s="21">
        <v>24.805099999999999</v>
      </c>
      <c r="AS127" s="21">
        <v>-1.40961E-2</v>
      </c>
      <c r="AT127" s="21">
        <v>117</v>
      </c>
      <c r="AU127" s="21">
        <v>1.18011</v>
      </c>
      <c r="AV127">
        <f t="shared" si="20"/>
        <v>17.40259259259259</v>
      </c>
      <c r="AW127">
        <f t="shared" si="21"/>
        <v>20.550373540740736</v>
      </c>
      <c r="AX127" s="9"/>
      <c r="AY127" s="21">
        <v>0.48919699999999999</v>
      </c>
      <c r="AZ127" s="21">
        <v>28.563800000000001</v>
      </c>
      <c r="BA127" s="21">
        <v>-1.4904799999999999E-2</v>
      </c>
      <c r="BB127" s="21">
        <v>117</v>
      </c>
      <c r="BC127" s="21">
        <v>0.48858600000000002</v>
      </c>
      <c r="BD127">
        <f t="shared" si="22"/>
        <v>18.400987654320986</v>
      </c>
      <c r="BE127">
        <f t="shared" si="23"/>
        <v>9.0017079575308632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1.17584</v>
      </c>
      <c r="H128" s="21">
        <v>6.3876999999999997</v>
      </c>
      <c r="I128" s="21">
        <v>-1.40503E-2</v>
      </c>
      <c r="J128" s="21">
        <v>118</v>
      </c>
      <c r="K128" s="21">
        <v>1.17493</v>
      </c>
      <c r="L128">
        <f t="shared" si="12"/>
        <v>17.34604938271605</v>
      </c>
      <c r="M128">
        <f t="shared" si="13"/>
        <v>20.39617870617284</v>
      </c>
      <c r="N128" s="9"/>
      <c r="O128" s="21">
        <v>0.494232</v>
      </c>
      <c r="P128" s="21">
        <v>10.1465</v>
      </c>
      <c r="Q128" s="21">
        <v>-1.4822399999999999E-2</v>
      </c>
      <c r="R128" s="21">
        <v>118</v>
      </c>
      <c r="S128" s="21">
        <v>0.49362200000000001</v>
      </c>
      <c r="T128">
        <f t="shared" si="14"/>
        <v>18.299259259259259</v>
      </c>
      <c r="U128">
        <f t="shared" si="15"/>
        <v>9.0440795022222229</v>
      </c>
      <c r="X128" s="9"/>
      <c r="Y128" s="21">
        <v>1.17584</v>
      </c>
      <c r="Z128" s="21">
        <v>15.613899999999999</v>
      </c>
      <c r="AA128" s="21">
        <v>-1.4068600000000001E-2</v>
      </c>
      <c r="AB128" s="21">
        <v>118</v>
      </c>
      <c r="AC128" s="21">
        <v>1.17523</v>
      </c>
      <c r="AD128">
        <f t="shared" si="16"/>
        <v>17.368641975308641</v>
      </c>
      <c r="AE128">
        <f t="shared" si="17"/>
        <v>20.422743980246914</v>
      </c>
      <c r="AF128" s="9"/>
      <c r="AG128" s="21">
        <v>0.494232</v>
      </c>
      <c r="AH128" s="21">
        <v>19.372699999999998</v>
      </c>
      <c r="AI128" s="21">
        <v>-1.48621E-2</v>
      </c>
      <c r="AJ128" s="21">
        <v>118</v>
      </c>
      <c r="AK128" s="21">
        <v>0.49362200000000001</v>
      </c>
      <c r="AL128">
        <f t="shared" si="18"/>
        <v>18.348271604938269</v>
      </c>
      <c r="AM128">
        <f t="shared" si="19"/>
        <v>9.0683029718518497</v>
      </c>
      <c r="AP128" s="9"/>
      <c r="AQ128" s="21">
        <v>1.17584</v>
      </c>
      <c r="AR128" s="21">
        <v>24.815100000000001</v>
      </c>
      <c r="AS128" s="21">
        <v>-1.41052E-2</v>
      </c>
      <c r="AT128" s="21">
        <v>118</v>
      </c>
      <c r="AU128" s="21">
        <v>1.17462</v>
      </c>
      <c r="AV128">
        <f t="shared" si="20"/>
        <v>17.413827160493828</v>
      </c>
      <c r="AW128">
        <f t="shared" si="21"/>
        <v>20.475874528395064</v>
      </c>
      <c r="AX128" s="9"/>
      <c r="AY128" s="21">
        <v>0.494232</v>
      </c>
      <c r="AZ128" s="21">
        <v>28.573899999999998</v>
      </c>
      <c r="BA128" s="21">
        <v>-1.4904799999999999E-2</v>
      </c>
      <c r="BB128" s="21">
        <v>118</v>
      </c>
      <c r="BC128" s="21">
        <v>0.493591</v>
      </c>
      <c r="BD128">
        <f t="shared" si="22"/>
        <v>18.400987654320986</v>
      </c>
      <c r="BE128">
        <f t="shared" si="23"/>
        <v>9.0943569303703686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1.1708099999999999</v>
      </c>
      <c r="H129" s="21">
        <v>6.3977700000000004</v>
      </c>
      <c r="I129" s="21">
        <v>-1.40625E-2</v>
      </c>
      <c r="J129" s="21">
        <v>119</v>
      </c>
      <c r="K129" s="21">
        <v>1.17035</v>
      </c>
      <c r="L129">
        <f t="shared" si="12"/>
        <v>17.361111111111111</v>
      </c>
      <c r="M129">
        <f t="shared" si="13"/>
        <v>20.326562499999998</v>
      </c>
      <c r="N129" s="9"/>
      <c r="O129" s="21">
        <v>0.49926799999999999</v>
      </c>
      <c r="P129" s="21">
        <v>10.156499999999999</v>
      </c>
      <c r="Q129" s="21">
        <v>-1.4825400000000001E-2</v>
      </c>
      <c r="R129" s="21">
        <v>119</v>
      </c>
      <c r="S129" s="21">
        <v>0.49862699999999999</v>
      </c>
      <c r="T129">
        <f t="shared" si="14"/>
        <v>18.302962962962962</v>
      </c>
      <c r="U129">
        <f t="shared" si="15"/>
        <v>9.1380837125925911</v>
      </c>
      <c r="X129" s="9"/>
      <c r="Y129" s="21">
        <v>1.1708099999999999</v>
      </c>
      <c r="Z129" s="21">
        <v>15.624000000000001</v>
      </c>
      <c r="AA129" s="21">
        <v>-1.4074700000000001E-2</v>
      </c>
      <c r="AB129" s="21">
        <v>119</v>
      </c>
      <c r="AC129" s="21">
        <v>1.16974</v>
      </c>
      <c r="AD129">
        <f t="shared" si="16"/>
        <v>17.376172839506172</v>
      </c>
      <c r="AE129">
        <f t="shared" si="17"/>
        <v>20.344196922222221</v>
      </c>
      <c r="AF129" s="9"/>
      <c r="AG129" s="21">
        <v>0.49926799999999999</v>
      </c>
      <c r="AH129" s="21">
        <v>19.3827</v>
      </c>
      <c r="AI129" s="21">
        <v>-1.4855999999999999E-2</v>
      </c>
      <c r="AJ129" s="21">
        <v>119</v>
      </c>
      <c r="AK129" s="21">
        <v>0.498749</v>
      </c>
      <c r="AL129">
        <f t="shared" si="18"/>
        <v>18.340740740740738</v>
      </c>
      <c r="AM129">
        <f t="shared" si="19"/>
        <v>9.156944948148146</v>
      </c>
      <c r="AP129" s="9"/>
      <c r="AQ129" s="21">
        <v>1.1708099999999999</v>
      </c>
      <c r="AR129" s="21">
        <v>24.825199999999999</v>
      </c>
      <c r="AS129" s="21">
        <v>-1.4123500000000001E-2</v>
      </c>
      <c r="AT129" s="21">
        <v>119</v>
      </c>
      <c r="AU129" s="21">
        <v>1.17035</v>
      </c>
      <c r="AV129">
        <f t="shared" si="20"/>
        <v>17.436419753086419</v>
      </c>
      <c r="AW129">
        <f t="shared" si="21"/>
        <v>20.414734611111108</v>
      </c>
      <c r="AX129" s="9"/>
      <c r="AY129" s="21">
        <v>0.49926799999999999</v>
      </c>
      <c r="AZ129" s="21">
        <v>28.584</v>
      </c>
      <c r="BA129" s="21">
        <v>-1.4898700000000001E-2</v>
      </c>
      <c r="BB129" s="21">
        <v>119</v>
      </c>
      <c r="BC129" s="21">
        <v>0.49865700000000002</v>
      </c>
      <c r="BD129">
        <f t="shared" si="22"/>
        <v>18.393456790123455</v>
      </c>
      <c r="BE129">
        <f t="shared" si="23"/>
        <v>9.1832643846913573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1.16577</v>
      </c>
      <c r="H130" s="21">
        <v>6.4078400000000002</v>
      </c>
      <c r="I130" s="21">
        <v>-1.4074700000000001E-2</v>
      </c>
      <c r="J130" s="21">
        <v>120</v>
      </c>
      <c r="K130" s="21">
        <v>1.16486</v>
      </c>
      <c r="L130">
        <f t="shared" si="12"/>
        <v>17.376172839506172</v>
      </c>
      <c r="M130">
        <f t="shared" si="13"/>
        <v>20.256621011111108</v>
      </c>
      <c r="N130" s="9"/>
      <c r="O130" s="21">
        <v>0.50430299999999995</v>
      </c>
      <c r="P130" s="21">
        <v>10.166600000000001</v>
      </c>
      <c r="Q130" s="21">
        <v>-1.4819300000000001E-2</v>
      </c>
      <c r="R130" s="21">
        <v>120</v>
      </c>
      <c r="S130" s="21">
        <v>0.50375400000000004</v>
      </c>
      <c r="T130">
        <f t="shared" si="14"/>
        <v>18.295432098765431</v>
      </c>
      <c r="U130">
        <f t="shared" si="15"/>
        <v>9.2264412937037026</v>
      </c>
      <c r="X130" s="9"/>
      <c r="Y130" s="21">
        <v>1.16577</v>
      </c>
      <c r="Z130" s="21">
        <v>15.6341</v>
      </c>
      <c r="AA130" s="21">
        <v>-1.40778E-2</v>
      </c>
      <c r="AB130" s="21">
        <v>120</v>
      </c>
      <c r="AC130" s="21">
        <v>1.16455</v>
      </c>
      <c r="AD130">
        <f t="shared" si="16"/>
        <v>17.38</v>
      </c>
      <c r="AE130">
        <f t="shared" si="17"/>
        <v>20.261082599999998</v>
      </c>
      <c r="AF130" s="9"/>
      <c r="AG130" s="21">
        <v>0.50430299999999995</v>
      </c>
      <c r="AH130" s="21">
        <v>19.392800000000001</v>
      </c>
      <c r="AI130" s="21">
        <v>-1.48529E-2</v>
      </c>
      <c r="AJ130" s="21">
        <v>120</v>
      </c>
      <c r="AK130" s="21">
        <v>0.50366200000000005</v>
      </c>
      <c r="AL130">
        <f t="shared" si="18"/>
        <v>18.336913580246915</v>
      </c>
      <c r="AM130">
        <f t="shared" si="19"/>
        <v>9.2473605292592591</v>
      </c>
      <c r="AP130" s="9"/>
      <c r="AQ130" s="21">
        <v>1.16577</v>
      </c>
      <c r="AR130" s="21">
        <v>24.8353</v>
      </c>
      <c r="AS130" s="21">
        <v>-1.41388E-2</v>
      </c>
      <c r="AT130" s="21">
        <v>120</v>
      </c>
      <c r="AU130" s="21">
        <v>1.16455</v>
      </c>
      <c r="AV130">
        <f t="shared" si="20"/>
        <v>17.455308641975307</v>
      </c>
      <c r="AW130">
        <f t="shared" si="21"/>
        <v>20.348875155555554</v>
      </c>
      <c r="AX130" s="9"/>
      <c r="AY130" s="21">
        <v>0.50430299999999995</v>
      </c>
      <c r="AZ130" s="21">
        <v>28.594000000000001</v>
      </c>
      <c r="BA130" s="21">
        <v>-1.4898700000000001E-2</v>
      </c>
      <c r="BB130" s="21">
        <v>120</v>
      </c>
      <c r="BC130" s="21">
        <v>0.50357099999999999</v>
      </c>
      <c r="BD130">
        <f t="shared" si="22"/>
        <v>18.393456790123455</v>
      </c>
      <c r="BE130">
        <f t="shared" si="23"/>
        <v>9.2758754396296279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1.1607400000000001</v>
      </c>
      <c r="H131" s="21">
        <v>6.41791</v>
      </c>
      <c r="I131" s="21">
        <v>-1.40839E-2</v>
      </c>
      <c r="J131" s="21">
        <v>121</v>
      </c>
      <c r="K131" s="21">
        <v>1.15967</v>
      </c>
      <c r="L131">
        <f t="shared" si="12"/>
        <v>17.387530864197529</v>
      </c>
      <c r="M131">
        <f t="shared" si="13"/>
        <v>20.182402575308643</v>
      </c>
      <c r="N131" s="9"/>
      <c r="O131" s="21">
        <v>0.50933799999999996</v>
      </c>
      <c r="P131" s="21">
        <v>10.1767</v>
      </c>
      <c r="Q131" s="21">
        <v>-1.4822399999999999E-2</v>
      </c>
      <c r="R131" s="21">
        <v>121</v>
      </c>
      <c r="S131" s="21">
        <v>0.50869799999999998</v>
      </c>
      <c r="T131">
        <f t="shared" si="14"/>
        <v>18.299259259259259</v>
      </c>
      <c r="U131">
        <f t="shared" si="15"/>
        <v>9.3205081125925915</v>
      </c>
      <c r="X131" s="9"/>
      <c r="Y131" s="21">
        <v>1.1607400000000001</v>
      </c>
      <c r="Z131" s="21">
        <v>15.6441</v>
      </c>
      <c r="AA131" s="21">
        <v>-1.40961E-2</v>
      </c>
      <c r="AB131" s="21">
        <v>121</v>
      </c>
      <c r="AC131" s="21">
        <v>1.1599699999999999</v>
      </c>
      <c r="AD131">
        <f t="shared" si="16"/>
        <v>17.40259259259259</v>
      </c>
      <c r="AE131">
        <f t="shared" si="17"/>
        <v>20.199885325925926</v>
      </c>
      <c r="AF131" s="9"/>
      <c r="AG131" s="21">
        <v>0.50933799999999996</v>
      </c>
      <c r="AH131" s="21">
        <v>19.402899999999999</v>
      </c>
      <c r="AI131" s="21">
        <v>-1.4849899999999999E-2</v>
      </c>
      <c r="AJ131" s="21">
        <v>121</v>
      </c>
      <c r="AK131" s="21">
        <v>0.508575</v>
      </c>
      <c r="AL131">
        <f t="shared" si="18"/>
        <v>18.333209876543208</v>
      </c>
      <c r="AM131">
        <f t="shared" si="19"/>
        <v>9.3378004520987634</v>
      </c>
      <c r="AP131" s="9"/>
      <c r="AQ131" s="21">
        <v>1.1607400000000001</v>
      </c>
      <c r="AR131" s="21">
        <v>24.845400000000001</v>
      </c>
      <c r="AS131" s="21">
        <v>-1.41479E-2</v>
      </c>
      <c r="AT131" s="21">
        <v>121</v>
      </c>
      <c r="AU131" s="21">
        <v>1.16028</v>
      </c>
      <c r="AV131">
        <f t="shared" si="20"/>
        <v>17.466543209876541</v>
      </c>
      <c r="AW131">
        <f t="shared" si="21"/>
        <v>20.274115365432099</v>
      </c>
      <c r="AX131" s="9"/>
      <c r="AY131" s="21">
        <v>0.50933799999999996</v>
      </c>
      <c r="AZ131" s="21">
        <v>28.604099999999999</v>
      </c>
      <c r="BA131" s="21">
        <v>-1.4892600000000001E-2</v>
      </c>
      <c r="BB131" s="21">
        <v>121</v>
      </c>
      <c r="BC131" s="21">
        <v>0.50863599999999998</v>
      </c>
      <c r="BD131">
        <f t="shared" si="22"/>
        <v>18.385925925925928</v>
      </c>
      <c r="BE131">
        <f t="shared" si="23"/>
        <v>9.3646507392592593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1.1556999999999999</v>
      </c>
      <c r="H132" s="21">
        <v>6.4279799999999998</v>
      </c>
      <c r="I132" s="21">
        <v>-1.4086899999999999E-2</v>
      </c>
      <c r="J132" s="21">
        <v>122</v>
      </c>
      <c r="K132" s="21">
        <v>1.15479</v>
      </c>
      <c r="L132">
        <f t="shared" si="12"/>
        <v>17.391234567901233</v>
      </c>
      <c r="M132">
        <f t="shared" si="13"/>
        <v>20.099049790123452</v>
      </c>
      <c r="N132" s="9"/>
      <c r="O132" s="21">
        <v>0.514374</v>
      </c>
      <c r="P132" s="21">
        <v>10.1868</v>
      </c>
      <c r="Q132" s="21">
        <v>-1.48285E-2</v>
      </c>
      <c r="R132" s="21">
        <v>122</v>
      </c>
      <c r="S132" s="21">
        <v>0.51370199999999999</v>
      </c>
      <c r="T132">
        <f t="shared" si="14"/>
        <v>18.306790123456789</v>
      </c>
      <c r="U132">
        <f t="shared" si="15"/>
        <v>9.4165368629629622</v>
      </c>
      <c r="X132" s="9"/>
      <c r="Y132" s="21">
        <v>1.1556999999999999</v>
      </c>
      <c r="Z132" s="21">
        <v>15.654199999999999</v>
      </c>
      <c r="AA132" s="21">
        <v>-1.41113E-2</v>
      </c>
      <c r="AB132" s="21">
        <v>122</v>
      </c>
      <c r="AC132" s="21">
        <v>1.15509</v>
      </c>
      <c r="AD132">
        <f t="shared" si="16"/>
        <v>17.421358024691358</v>
      </c>
      <c r="AE132">
        <f t="shared" si="17"/>
        <v>20.1338634691358</v>
      </c>
      <c r="AF132" s="9"/>
      <c r="AG132" s="21">
        <v>0.514374</v>
      </c>
      <c r="AH132" s="21">
        <v>19.413</v>
      </c>
      <c r="AI132" s="21">
        <v>-1.48468E-2</v>
      </c>
      <c r="AJ132" s="21">
        <v>122</v>
      </c>
      <c r="AK132" s="21">
        <v>0.51367200000000002</v>
      </c>
      <c r="AL132">
        <f t="shared" si="18"/>
        <v>18.329382716049381</v>
      </c>
      <c r="AM132">
        <f t="shared" si="19"/>
        <v>9.4281579051851843</v>
      </c>
      <c r="AP132" s="9"/>
      <c r="AQ132" s="21">
        <v>1.1556999999999999</v>
      </c>
      <c r="AR132" s="21">
        <v>24.855399999999999</v>
      </c>
      <c r="AS132" s="21">
        <v>-1.41602E-2</v>
      </c>
      <c r="AT132" s="21">
        <v>122</v>
      </c>
      <c r="AU132" s="21">
        <v>1.1554</v>
      </c>
      <c r="AV132">
        <f t="shared" si="20"/>
        <v>17.481728395061729</v>
      </c>
      <c r="AW132">
        <f t="shared" si="21"/>
        <v>20.203633506172839</v>
      </c>
      <c r="AX132" s="9"/>
      <c r="AY132" s="21">
        <v>0.514374</v>
      </c>
      <c r="AZ132" s="21">
        <v>28.6142</v>
      </c>
      <c r="BA132" s="21">
        <v>-1.48865E-2</v>
      </c>
      <c r="BB132" s="21">
        <v>122</v>
      </c>
      <c r="BC132" s="21">
        <v>0.51379399999999997</v>
      </c>
      <c r="BD132">
        <f t="shared" si="22"/>
        <v>18.378395061728394</v>
      </c>
      <c r="BE132">
        <f t="shared" si="23"/>
        <v>9.453368581481481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1.1506700000000001</v>
      </c>
      <c r="H133" s="21">
        <v>6.4380600000000001</v>
      </c>
      <c r="I133" s="21">
        <v>-1.40961E-2</v>
      </c>
      <c r="J133" s="21">
        <v>123</v>
      </c>
      <c r="K133" s="21">
        <v>1.1496</v>
      </c>
      <c r="L133">
        <f t="shared" si="12"/>
        <v>17.40259259259259</v>
      </c>
      <c r="M133">
        <f t="shared" si="13"/>
        <v>20.024641218518518</v>
      </c>
      <c r="N133" s="9"/>
      <c r="O133" s="21">
        <v>0.51940900000000001</v>
      </c>
      <c r="P133" s="21">
        <v>10.1968</v>
      </c>
      <c r="Q133" s="21">
        <v>-1.4816299999999999E-2</v>
      </c>
      <c r="R133" s="21">
        <v>123</v>
      </c>
      <c r="S133" s="21">
        <v>0.51876800000000001</v>
      </c>
      <c r="T133">
        <f t="shared" si="14"/>
        <v>18.291728395061728</v>
      </c>
      <c r="U133">
        <f t="shared" si="15"/>
        <v>9.5008883539506179</v>
      </c>
      <c r="X133" s="9"/>
      <c r="Y133" s="21">
        <v>1.1506700000000001</v>
      </c>
      <c r="Z133" s="21">
        <v>15.664300000000001</v>
      </c>
      <c r="AA133" s="21">
        <v>-1.4123500000000001E-2</v>
      </c>
      <c r="AB133" s="21">
        <v>123</v>
      </c>
      <c r="AC133" s="21">
        <v>1.1505099999999999</v>
      </c>
      <c r="AD133">
        <f t="shared" si="16"/>
        <v>17.436419753086419</v>
      </c>
      <c r="AE133">
        <f t="shared" si="17"/>
        <v>20.06356511728395</v>
      </c>
      <c r="AF133" s="9"/>
      <c r="AG133" s="21">
        <v>0.51940900000000001</v>
      </c>
      <c r="AH133" s="21">
        <v>19.422999999999998</v>
      </c>
      <c r="AI133" s="21">
        <v>-1.4843800000000001E-2</v>
      </c>
      <c r="AJ133" s="21">
        <v>123</v>
      </c>
      <c r="AK133" s="21">
        <v>0.51876800000000001</v>
      </c>
      <c r="AL133">
        <f t="shared" si="18"/>
        <v>18.325679012345677</v>
      </c>
      <c r="AM133">
        <f t="shared" si="19"/>
        <v>9.5185226101234566</v>
      </c>
      <c r="AP133" s="9"/>
      <c r="AQ133" s="21">
        <v>1.1506700000000001</v>
      </c>
      <c r="AR133" s="21">
        <v>24.865500000000001</v>
      </c>
      <c r="AS133" s="21">
        <v>-1.41724E-2</v>
      </c>
      <c r="AT133" s="21">
        <v>123</v>
      </c>
      <c r="AU133" s="21">
        <v>1.1498999999999999</v>
      </c>
      <c r="AV133">
        <f t="shared" si="20"/>
        <v>17.496790123456787</v>
      </c>
      <c r="AW133">
        <f t="shared" si="21"/>
        <v>20.133031491358022</v>
      </c>
      <c r="AX133" s="9"/>
      <c r="AY133" s="21">
        <v>0.51940900000000001</v>
      </c>
      <c r="AZ133" s="21">
        <v>28.624300000000002</v>
      </c>
      <c r="BA133" s="21">
        <v>-1.48865E-2</v>
      </c>
      <c r="BB133" s="21">
        <v>123</v>
      </c>
      <c r="BC133" s="21">
        <v>0.51876800000000001</v>
      </c>
      <c r="BD133">
        <f t="shared" si="22"/>
        <v>18.378395061728394</v>
      </c>
      <c r="BE133">
        <f t="shared" si="23"/>
        <v>9.5459038006172836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1.1456299999999999</v>
      </c>
      <c r="H134" s="21">
        <v>6.4481299999999999</v>
      </c>
      <c r="I134" s="21">
        <v>-1.41113E-2</v>
      </c>
      <c r="J134" s="21">
        <v>124</v>
      </c>
      <c r="K134" s="21">
        <v>1.1440999999999999</v>
      </c>
      <c r="L134">
        <f t="shared" si="12"/>
        <v>17.421358024691358</v>
      </c>
      <c r="M134">
        <f t="shared" si="13"/>
        <v>19.958430393827157</v>
      </c>
      <c r="N134" s="9"/>
      <c r="O134" s="21">
        <v>0.52444500000000005</v>
      </c>
      <c r="P134" s="21">
        <v>10.206899999999999</v>
      </c>
      <c r="Q134" s="21">
        <v>-1.4810200000000001E-2</v>
      </c>
      <c r="R134" s="21">
        <v>124</v>
      </c>
      <c r="S134" s="21">
        <v>0.523895</v>
      </c>
      <c r="T134">
        <f t="shared" si="14"/>
        <v>18.284197530864198</v>
      </c>
      <c r="U134">
        <f t="shared" si="15"/>
        <v>9.5890559740740748</v>
      </c>
      <c r="X134" s="9"/>
      <c r="Y134" s="21">
        <v>1.1456299999999999</v>
      </c>
      <c r="Z134" s="21">
        <v>15.674300000000001</v>
      </c>
      <c r="AA134" s="21">
        <v>-1.41388E-2</v>
      </c>
      <c r="AB134" s="21">
        <v>124</v>
      </c>
      <c r="AC134" s="21">
        <v>1.1450199999999999</v>
      </c>
      <c r="AD134">
        <f t="shared" si="16"/>
        <v>17.455308641975307</v>
      </c>
      <c r="AE134">
        <f t="shared" si="17"/>
        <v>19.997325239506171</v>
      </c>
      <c r="AF134" s="9"/>
      <c r="AG134" s="21">
        <v>0.52444500000000005</v>
      </c>
      <c r="AH134" s="21">
        <v>19.4331</v>
      </c>
      <c r="AI134" s="21">
        <v>-1.48468E-2</v>
      </c>
      <c r="AJ134" s="21">
        <v>124</v>
      </c>
      <c r="AK134" s="21">
        <v>0.52383400000000002</v>
      </c>
      <c r="AL134">
        <f t="shared" si="18"/>
        <v>18.329382716049381</v>
      </c>
      <c r="AM134">
        <f t="shared" si="19"/>
        <v>9.6127531185185191</v>
      </c>
      <c r="AP134" s="9"/>
      <c r="AQ134" s="21">
        <v>1.1456299999999999</v>
      </c>
      <c r="AR134" s="21">
        <v>24.875599999999999</v>
      </c>
      <c r="AS134" s="21">
        <v>-1.41815E-2</v>
      </c>
      <c r="AT134" s="21">
        <v>124</v>
      </c>
      <c r="AU134" s="21">
        <v>1.1447099999999999</v>
      </c>
      <c r="AV134">
        <f t="shared" si="20"/>
        <v>17.508024691358024</v>
      </c>
      <c r="AW134">
        <f t="shared" si="21"/>
        <v>20.05771832716049</v>
      </c>
      <c r="AX134" s="9"/>
      <c r="AY134" s="21">
        <v>0.52444500000000005</v>
      </c>
      <c r="AZ134" s="21">
        <v>28.6343</v>
      </c>
      <c r="BA134" s="21">
        <v>-1.48773E-2</v>
      </c>
      <c r="BB134" s="21">
        <v>124</v>
      </c>
      <c r="BC134" s="21">
        <v>0.52377300000000004</v>
      </c>
      <c r="BD134">
        <f t="shared" si="22"/>
        <v>18.367037037037036</v>
      </c>
      <c r="BE134">
        <f t="shared" si="23"/>
        <v>9.6325007388888899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1.14059</v>
      </c>
      <c r="H135" s="21">
        <v>6.4581999999999997</v>
      </c>
      <c r="I135" s="21">
        <v>-1.4123500000000001E-2</v>
      </c>
      <c r="J135" s="21">
        <v>125</v>
      </c>
      <c r="K135" s="21">
        <v>1.1398299999999999</v>
      </c>
      <c r="L135">
        <f t="shared" si="12"/>
        <v>17.436419753086419</v>
      </c>
      <c r="M135">
        <f t="shared" si="13"/>
        <v>19.887806006172838</v>
      </c>
      <c r="N135" s="9"/>
      <c r="O135" s="21">
        <v>0.52947999999999995</v>
      </c>
      <c r="P135" s="21">
        <v>10.217000000000001</v>
      </c>
      <c r="Q135" s="21">
        <v>-1.4804100000000001E-2</v>
      </c>
      <c r="R135" s="21">
        <v>125</v>
      </c>
      <c r="S135" s="21">
        <v>0.52890000000000004</v>
      </c>
      <c r="T135">
        <f t="shared" si="14"/>
        <v>18.276666666666667</v>
      </c>
      <c r="U135">
        <f t="shared" si="15"/>
        <v>9.677129466666667</v>
      </c>
      <c r="X135" s="9"/>
      <c r="Y135" s="21">
        <v>1.14059</v>
      </c>
      <c r="Z135" s="21">
        <v>15.6844</v>
      </c>
      <c r="AA135" s="21">
        <v>-1.41479E-2</v>
      </c>
      <c r="AB135" s="21">
        <v>125</v>
      </c>
      <c r="AC135" s="21">
        <v>1.1392199999999999</v>
      </c>
      <c r="AD135">
        <f t="shared" si="16"/>
        <v>17.466543209876541</v>
      </c>
      <c r="AE135">
        <f t="shared" si="17"/>
        <v>19.922164519753082</v>
      </c>
      <c r="AF135" s="9"/>
      <c r="AG135" s="21">
        <v>0.52947999999999995</v>
      </c>
      <c r="AH135" s="21">
        <v>19.443200000000001</v>
      </c>
      <c r="AI135" s="21">
        <v>-1.48529E-2</v>
      </c>
      <c r="AJ135" s="21">
        <v>125</v>
      </c>
      <c r="AK135" s="21">
        <v>0.52883899999999995</v>
      </c>
      <c r="AL135">
        <f t="shared" si="18"/>
        <v>18.336913580246915</v>
      </c>
      <c r="AM135">
        <f t="shared" si="19"/>
        <v>9.7090290024691352</v>
      </c>
      <c r="AP135" s="9"/>
      <c r="AQ135" s="21">
        <v>1.14059</v>
      </c>
      <c r="AR135" s="21">
        <v>24.8856</v>
      </c>
      <c r="AS135" s="21">
        <v>-1.41998E-2</v>
      </c>
      <c r="AT135" s="21">
        <v>125</v>
      </c>
      <c r="AU135" s="21">
        <v>1.1398299999999999</v>
      </c>
      <c r="AV135">
        <f t="shared" si="20"/>
        <v>17.530617283950615</v>
      </c>
      <c r="AW135">
        <f t="shared" si="21"/>
        <v>19.995246767901232</v>
      </c>
      <c r="AX135" s="9"/>
      <c r="AY135" s="21">
        <v>0.52947999999999995</v>
      </c>
      <c r="AZ135" s="21">
        <v>28.644400000000001</v>
      </c>
      <c r="BA135" s="21">
        <v>-1.4871199999999999E-2</v>
      </c>
      <c r="BB135" s="21">
        <v>125</v>
      </c>
      <c r="BC135" s="21">
        <v>0.52886999999999995</v>
      </c>
      <c r="BD135">
        <f t="shared" si="22"/>
        <v>18.359506172839506</v>
      </c>
      <c r="BE135">
        <f t="shared" si="23"/>
        <v>9.7209913283950602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1.1355599999999999</v>
      </c>
      <c r="H136" s="21">
        <v>6.4682700000000004</v>
      </c>
      <c r="I136" s="21">
        <v>-1.41388E-2</v>
      </c>
      <c r="J136" s="21">
        <v>126</v>
      </c>
      <c r="K136" s="21">
        <v>1.1343399999999999</v>
      </c>
      <c r="L136">
        <f t="shared" si="12"/>
        <v>17.455308641975307</v>
      </c>
      <c r="M136">
        <f t="shared" si="13"/>
        <v>19.821550281481478</v>
      </c>
      <c r="N136" s="9"/>
      <c r="O136" s="21">
        <v>0.53451499999999996</v>
      </c>
      <c r="P136" s="21">
        <v>10.227</v>
      </c>
      <c r="Q136" s="21">
        <v>-1.48071E-2</v>
      </c>
      <c r="R136" s="21">
        <v>126</v>
      </c>
      <c r="S136" s="21">
        <v>0.53399700000000005</v>
      </c>
      <c r="T136">
        <f t="shared" si="14"/>
        <v>18.28037037037037</v>
      </c>
      <c r="U136">
        <f t="shared" si="15"/>
        <v>9.771132168518518</v>
      </c>
      <c r="X136" s="9"/>
      <c r="Y136" s="21">
        <v>1.1355599999999999</v>
      </c>
      <c r="Z136" s="21">
        <v>15.6945</v>
      </c>
      <c r="AA136" s="21">
        <v>-1.4157100000000001E-2</v>
      </c>
      <c r="AB136" s="21">
        <v>126</v>
      </c>
      <c r="AC136" s="21">
        <v>1.1343399999999999</v>
      </c>
      <c r="AD136">
        <f t="shared" si="16"/>
        <v>17.477901234567902</v>
      </c>
      <c r="AE136">
        <f t="shared" si="17"/>
        <v>19.847205525925926</v>
      </c>
      <c r="AF136" s="9"/>
      <c r="AG136" s="21">
        <v>0.53451499999999996</v>
      </c>
      <c r="AH136" s="21">
        <v>19.453199999999999</v>
      </c>
      <c r="AI136" s="21">
        <v>-1.48621E-2</v>
      </c>
      <c r="AJ136" s="21">
        <v>126</v>
      </c>
      <c r="AK136" s="21">
        <v>0.533752</v>
      </c>
      <c r="AL136">
        <f t="shared" si="18"/>
        <v>18.348271604938269</v>
      </c>
      <c r="AM136">
        <f t="shared" si="19"/>
        <v>9.8074263969135789</v>
      </c>
      <c r="AP136" s="9"/>
      <c r="AQ136" s="21">
        <v>1.1355599999999999</v>
      </c>
      <c r="AR136" s="21">
        <v>24.895700000000001</v>
      </c>
      <c r="AS136" s="21">
        <v>-1.4212000000000001E-2</v>
      </c>
      <c r="AT136" s="21">
        <v>126</v>
      </c>
      <c r="AU136" s="21">
        <v>1.1346400000000001</v>
      </c>
      <c r="AV136">
        <f t="shared" si="20"/>
        <v>17.54567901234568</v>
      </c>
      <c r="AW136">
        <f t="shared" si="21"/>
        <v>19.924171259259257</v>
      </c>
      <c r="AX136" s="9"/>
      <c r="AY136" s="21">
        <v>0.53451499999999996</v>
      </c>
      <c r="AZ136" s="21">
        <v>28.654499999999999</v>
      </c>
      <c r="BA136" s="21">
        <v>-1.4865099999999999E-2</v>
      </c>
      <c r="BB136" s="21">
        <v>126</v>
      </c>
      <c r="BC136" s="21">
        <v>0.53387499999999999</v>
      </c>
      <c r="BD136">
        <f t="shared" si="22"/>
        <v>18.351975308641972</v>
      </c>
      <c r="BE136">
        <f t="shared" si="23"/>
        <v>9.8094060820987625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1.13052</v>
      </c>
      <c r="H137" s="21">
        <v>6.4783400000000002</v>
      </c>
      <c r="I137" s="21">
        <v>-1.4151E-2</v>
      </c>
      <c r="J137" s="21">
        <v>127</v>
      </c>
      <c r="K137" s="21">
        <v>1.1300699999999999</v>
      </c>
      <c r="L137">
        <f t="shared" si="12"/>
        <v>17.470370370370368</v>
      </c>
      <c r="M137">
        <f t="shared" si="13"/>
        <v>19.750603111111108</v>
      </c>
      <c r="N137" s="9"/>
      <c r="O137" s="21">
        <v>0.539551</v>
      </c>
      <c r="P137" s="21">
        <v>10.2371</v>
      </c>
      <c r="Q137" s="21">
        <v>-1.48071E-2</v>
      </c>
      <c r="R137" s="21">
        <v>127</v>
      </c>
      <c r="S137" s="21">
        <v>0.53891</v>
      </c>
      <c r="T137">
        <f t="shared" si="14"/>
        <v>18.28037037037037</v>
      </c>
      <c r="U137">
        <f t="shared" si="15"/>
        <v>9.863192113703704</v>
      </c>
      <c r="X137" s="9"/>
      <c r="Y137" s="21">
        <v>1.13052</v>
      </c>
      <c r="Z137" s="21">
        <v>15.704599999999999</v>
      </c>
      <c r="AA137" s="21">
        <v>-1.4163200000000001E-2</v>
      </c>
      <c r="AB137" s="21">
        <v>127</v>
      </c>
      <c r="AC137" s="21">
        <v>1.1300699999999999</v>
      </c>
      <c r="AD137">
        <f t="shared" si="16"/>
        <v>17.485432098765433</v>
      </c>
      <c r="AE137">
        <f t="shared" si="17"/>
        <v>19.767630696296298</v>
      </c>
      <c r="AF137" s="9"/>
      <c r="AG137" s="21">
        <v>0.539551</v>
      </c>
      <c r="AH137" s="21">
        <v>19.4633</v>
      </c>
      <c r="AI137" s="21">
        <v>-1.4855999999999999E-2</v>
      </c>
      <c r="AJ137" s="21">
        <v>127</v>
      </c>
      <c r="AK137" s="21">
        <v>0.53891</v>
      </c>
      <c r="AL137">
        <f t="shared" si="18"/>
        <v>18.340740740740738</v>
      </c>
      <c r="AM137">
        <f t="shared" si="19"/>
        <v>9.8957650074074071</v>
      </c>
      <c r="AP137" s="9"/>
      <c r="AQ137" s="21">
        <v>1.13052</v>
      </c>
      <c r="AR137" s="21">
        <v>24.905799999999999</v>
      </c>
      <c r="AS137" s="21">
        <v>-1.4224199999999999E-2</v>
      </c>
      <c r="AT137" s="21">
        <v>127</v>
      </c>
      <c r="AU137" s="21">
        <v>1.1294599999999999</v>
      </c>
      <c r="AV137">
        <f t="shared" si="20"/>
        <v>17.560740740740737</v>
      </c>
      <c r="AW137">
        <f t="shared" si="21"/>
        <v>19.852768622222218</v>
      </c>
      <c r="AX137" s="9"/>
      <c r="AY137" s="21">
        <v>0.539551</v>
      </c>
      <c r="AZ137" s="21">
        <v>28.6645</v>
      </c>
      <c r="BA137" s="21">
        <v>-1.4855999999999999E-2</v>
      </c>
      <c r="BB137" s="21">
        <v>127</v>
      </c>
      <c r="BC137" s="21">
        <v>0.538879</v>
      </c>
      <c r="BD137">
        <f t="shared" si="22"/>
        <v>18.340740740740738</v>
      </c>
      <c r="BE137">
        <f t="shared" si="23"/>
        <v>9.8957650074074071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1.1254900000000001</v>
      </c>
      <c r="H138" s="21">
        <v>6.48841</v>
      </c>
      <c r="I138" s="21">
        <v>-1.4163200000000001E-2</v>
      </c>
      <c r="J138" s="21">
        <v>128</v>
      </c>
      <c r="K138" s="21">
        <v>1.1245700000000001</v>
      </c>
      <c r="L138">
        <f t="shared" si="12"/>
        <v>17.485432098765433</v>
      </c>
      <c r="M138">
        <f t="shared" si="13"/>
        <v>19.679678972839508</v>
      </c>
      <c r="N138" s="9"/>
      <c r="O138" s="21">
        <v>0.54458600000000001</v>
      </c>
      <c r="P138" s="21">
        <v>10.247199999999999</v>
      </c>
      <c r="Q138" s="21">
        <v>-1.4798E-2</v>
      </c>
      <c r="R138" s="21">
        <v>128</v>
      </c>
      <c r="S138" s="21">
        <v>0.54388400000000003</v>
      </c>
      <c r="T138">
        <f t="shared" si="14"/>
        <v>18.269135802469137</v>
      </c>
      <c r="U138">
        <f t="shared" si="15"/>
        <v>9.9491155901234585</v>
      </c>
      <c r="X138" s="9"/>
      <c r="Y138" s="21">
        <v>1.1254900000000001</v>
      </c>
      <c r="Z138" s="21">
        <v>15.714600000000001</v>
      </c>
      <c r="AA138" s="21">
        <v>-1.41785E-2</v>
      </c>
      <c r="AB138" s="21">
        <v>128</v>
      </c>
      <c r="AC138" s="21">
        <v>1.1245700000000001</v>
      </c>
      <c r="AD138">
        <f t="shared" si="16"/>
        <v>17.504320987654321</v>
      </c>
      <c r="AE138">
        <f t="shared" si="17"/>
        <v>19.700938228395064</v>
      </c>
      <c r="AF138" s="9"/>
      <c r="AG138" s="21">
        <v>0.54458600000000001</v>
      </c>
      <c r="AH138" s="21">
        <v>19.473400000000002</v>
      </c>
      <c r="AI138" s="21">
        <v>-1.48468E-2</v>
      </c>
      <c r="AJ138" s="21">
        <v>128</v>
      </c>
      <c r="AK138" s="21">
        <v>0.54394500000000001</v>
      </c>
      <c r="AL138">
        <f t="shared" si="18"/>
        <v>18.329382716049381</v>
      </c>
      <c r="AM138">
        <f t="shared" si="19"/>
        <v>9.9819252158024678</v>
      </c>
      <c r="AP138" s="9"/>
      <c r="AQ138" s="21">
        <v>1.1254900000000001</v>
      </c>
      <c r="AR138" s="21">
        <v>24.915900000000001</v>
      </c>
      <c r="AS138" s="21">
        <v>-1.4236499999999999E-2</v>
      </c>
      <c r="AT138" s="21">
        <v>128</v>
      </c>
      <c r="AU138" s="21">
        <v>1.1248800000000001</v>
      </c>
      <c r="AV138">
        <f t="shared" si="20"/>
        <v>17.575925925925926</v>
      </c>
      <c r="AW138">
        <f t="shared" si="21"/>
        <v>19.781528870370373</v>
      </c>
      <c r="AX138" s="9"/>
      <c r="AY138" s="21">
        <v>0.54458600000000001</v>
      </c>
      <c r="AZ138" s="21">
        <v>28.674600000000002</v>
      </c>
      <c r="BA138" s="21">
        <v>-1.4837599999999999E-2</v>
      </c>
      <c r="BB138" s="21">
        <v>128</v>
      </c>
      <c r="BC138" s="21">
        <v>0.54397600000000002</v>
      </c>
      <c r="BD138">
        <f t="shared" si="22"/>
        <v>18.318024691358023</v>
      </c>
      <c r="BE138">
        <f t="shared" si="23"/>
        <v>9.9757397945679003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1.1204499999999999</v>
      </c>
      <c r="H139" s="21">
        <v>6.4984799999999998</v>
      </c>
      <c r="I139" s="21">
        <v>-1.41724E-2</v>
      </c>
      <c r="J139" s="21">
        <v>129</v>
      </c>
      <c r="K139" s="21">
        <v>1.1196900000000001</v>
      </c>
      <c r="L139">
        <f t="shared" si="12"/>
        <v>17.496790123456787</v>
      </c>
      <c r="M139">
        <f t="shared" si="13"/>
        <v>19.604278493827156</v>
      </c>
      <c r="N139" s="9"/>
      <c r="O139" s="21">
        <v>0.54962200000000005</v>
      </c>
      <c r="P139" s="21">
        <v>10.257199999999999</v>
      </c>
      <c r="Q139" s="21">
        <v>-1.4798E-2</v>
      </c>
      <c r="R139" s="21">
        <v>129</v>
      </c>
      <c r="S139" s="21">
        <v>0.54898100000000005</v>
      </c>
      <c r="T139">
        <f t="shared" si="14"/>
        <v>18.269135802469137</v>
      </c>
      <c r="U139">
        <f t="shared" si="15"/>
        <v>10.041118958024693</v>
      </c>
      <c r="X139" s="9"/>
      <c r="Y139" s="21">
        <v>1.1204499999999999</v>
      </c>
      <c r="Z139" s="21">
        <v>15.7247</v>
      </c>
      <c r="AA139" s="21">
        <v>-1.41876E-2</v>
      </c>
      <c r="AB139" s="21">
        <v>129</v>
      </c>
      <c r="AC139" s="21">
        <v>1.1200000000000001</v>
      </c>
      <c r="AD139">
        <f t="shared" si="16"/>
        <v>17.515555555555554</v>
      </c>
      <c r="AE139">
        <f t="shared" si="17"/>
        <v>19.625304222222219</v>
      </c>
      <c r="AF139" s="9"/>
      <c r="AG139" s="21">
        <v>0.54962200000000005</v>
      </c>
      <c r="AH139" s="21">
        <v>19.483499999999999</v>
      </c>
      <c r="AI139" s="21">
        <v>-1.4837599999999999E-2</v>
      </c>
      <c r="AJ139" s="21">
        <v>129</v>
      </c>
      <c r="AK139" s="21">
        <v>0.54898100000000005</v>
      </c>
      <c r="AL139">
        <f t="shared" si="18"/>
        <v>18.318024691358023</v>
      </c>
      <c r="AM139">
        <f t="shared" si="19"/>
        <v>10.067989366913579</v>
      </c>
      <c r="AP139" s="9"/>
      <c r="AQ139" s="21">
        <v>1.1204499999999999</v>
      </c>
      <c r="AR139" s="21">
        <v>24.925899999999999</v>
      </c>
      <c r="AS139" s="21">
        <v>-1.4242599999999999E-2</v>
      </c>
      <c r="AT139" s="21">
        <v>129</v>
      </c>
      <c r="AU139" s="21">
        <v>1.11938</v>
      </c>
      <c r="AV139">
        <f t="shared" si="20"/>
        <v>17.583456790123453</v>
      </c>
      <c r="AW139">
        <f t="shared" si="21"/>
        <v>19.701384160493824</v>
      </c>
      <c r="AX139" s="9"/>
      <c r="AY139" s="21">
        <v>0.54962200000000005</v>
      </c>
      <c r="AZ139" s="21">
        <v>28.684699999999999</v>
      </c>
      <c r="BA139" s="21">
        <v>-1.4822399999999999E-2</v>
      </c>
      <c r="BB139" s="21">
        <v>129</v>
      </c>
      <c r="BC139" s="21">
        <v>0.54901100000000003</v>
      </c>
      <c r="BD139">
        <f t="shared" si="22"/>
        <v>18.299259259259259</v>
      </c>
      <c r="BE139">
        <f t="shared" si="23"/>
        <v>10.057675472592594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1.1154200000000001</v>
      </c>
      <c r="H140" s="21">
        <v>6.5085499999999996</v>
      </c>
      <c r="I140" s="21">
        <v>-1.41815E-2</v>
      </c>
      <c r="J140" s="21">
        <v>130</v>
      </c>
      <c r="K140" s="21">
        <v>1.1145</v>
      </c>
      <c r="L140">
        <f t="shared" ref="L140:L203" si="24">-I140/$F$2*1000</f>
        <v>17.508024691358024</v>
      </c>
      <c r="M140">
        <f t="shared" ref="M140:M203" si="25">L140*G140</f>
        <v>19.528800901234568</v>
      </c>
      <c r="N140" s="9"/>
      <c r="O140" s="21">
        <v>0.55465699999999996</v>
      </c>
      <c r="P140" s="21">
        <v>10.267300000000001</v>
      </c>
      <c r="Q140" s="21">
        <v>-1.4801E-2</v>
      </c>
      <c r="R140" s="21">
        <v>130</v>
      </c>
      <c r="S140" s="21">
        <v>0.55401599999999995</v>
      </c>
      <c r="T140">
        <f t="shared" ref="T140:T203" si="26">-Q140/$F$2*1000</f>
        <v>18.27283950617284</v>
      </c>
      <c r="U140">
        <f t="shared" ref="U140:U203" si="27">T140*O140</f>
        <v>10.135158341975307</v>
      </c>
      <c r="X140" s="9"/>
      <c r="Y140" s="21">
        <v>1.1154200000000001</v>
      </c>
      <c r="Z140" s="21">
        <v>15.7348</v>
      </c>
      <c r="AA140" s="21">
        <v>-1.41998E-2</v>
      </c>
      <c r="AB140" s="21">
        <v>130</v>
      </c>
      <c r="AC140" s="21">
        <v>1.11511</v>
      </c>
      <c r="AD140">
        <f t="shared" ref="AD140:AD203" si="28">-AA140/$F$2*1000</f>
        <v>17.530617283950615</v>
      </c>
      <c r="AE140">
        <f t="shared" ref="AE140:AE203" si="29">AD140*Y140</f>
        <v>19.554001130864197</v>
      </c>
      <c r="AF140" s="9"/>
      <c r="AG140" s="21">
        <v>0.55465699999999996</v>
      </c>
      <c r="AH140" s="21">
        <v>19.493500000000001</v>
      </c>
      <c r="AI140" s="21">
        <v>-1.48346E-2</v>
      </c>
      <c r="AJ140" s="21">
        <v>130</v>
      </c>
      <c r="AK140" s="21">
        <v>0.55398599999999998</v>
      </c>
      <c r="AL140">
        <f t="shared" ref="AL140:AL203" si="30">-AI140/$F$2*1000</f>
        <v>18.31432098765432</v>
      </c>
      <c r="AM140">
        <f t="shared" ref="AM140:AM203" si="31">AL140*AG140</f>
        <v>10.158166336049382</v>
      </c>
      <c r="AP140" s="9"/>
      <c r="AQ140" s="21">
        <v>1.1154200000000001</v>
      </c>
      <c r="AR140" s="21">
        <v>24.936</v>
      </c>
      <c r="AS140" s="21">
        <v>-1.42548E-2</v>
      </c>
      <c r="AT140" s="21">
        <v>130</v>
      </c>
      <c r="AU140" s="21">
        <v>1.1154200000000001</v>
      </c>
      <c r="AV140">
        <f t="shared" ref="AV140:AV203" si="32">-AS140/$F$2*1000</f>
        <v>17.598518518518517</v>
      </c>
      <c r="AW140">
        <f t="shared" ref="AW140:AW203" si="33">AV140*AQ140</f>
        <v>19.629739525925928</v>
      </c>
      <c r="AX140" s="9"/>
      <c r="AY140" s="21">
        <v>0.55465699999999996</v>
      </c>
      <c r="AZ140" s="21">
        <v>28.694800000000001</v>
      </c>
      <c r="BA140" s="21">
        <v>-1.4819300000000001E-2</v>
      </c>
      <c r="BB140" s="21">
        <v>130</v>
      </c>
      <c r="BC140" s="21">
        <v>0.55395499999999998</v>
      </c>
      <c r="BD140">
        <f t="shared" ref="BD140:BD203" si="34">-BA140/$F$2*1000</f>
        <v>18.295432098765431</v>
      </c>
      <c r="BE140">
        <f t="shared" ref="BE140:BE203" si="35">BD140*AY140</f>
        <v>10.147689481604937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1.1103799999999999</v>
      </c>
      <c r="H141" s="21">
        <v>6.5186200000000003</v>
      </c>
      <c r="I141" s="21">
        <v>-1.41876E-2</v>
      </c>
      <c r="J141" s="21">
        <v>131</v>
      </c>
      <c r="K141" s="21">
        <v>1.10992</v>
      </c>
      <c r="L141">
        <f t="shared" si="24"/>
        <v>17.515555555555554</v>
      </c>
      <c r="M141">
        <f t="shared" si="25"/>
        <v>19.448922577777775</v>
      </c>
      <c r="N141" s="9"/>
      <c r="O141" s="21">
        <v>0.55969199999999997</v>
      </c>
      <c r="P141" s="21">
        <v>10.2774</v>
      </c>
      <c r="Q141" s="21">
        <v>-1.4798E-2</v>
      </c>
      <c r="R141" s="21">
        <v>131</v>
      </c>
      <c r="S141" s="21">
        <v>0.55911299999999997</v>
      </c>
      <c r="T141">
        <f t="shared" si="26"/>
        <v>18.269135802469137</v>
      </c>
      <c r="U141">
        <f t="shared" si="27"/>
        <v>10.225089155555555</v>
      </c>
      <c r="X141" s="9"/>
      <c r="Y141" s="21">
        <v>1.1103799999999999</v>
      </c>
      <c r="Z141" s="21">
        <v>15.7448</v>
      </c>
      <c r="AA141" s="21">
        <v>-1.4208999999999999E-2</v>
      </c>
      <c r="AB141" s="21">
        <v>131</v>
      </c>
      <c r="AC141" s="21">
        <v>1.1096200000000001</v>
      </c>
      <c r="AD141">
        <f t="shared" si="28"/>
        <v>17.541975308641973</v>
      </c>
      <c r="AE141">
        <f t="shared" si="29"/>
        <v>19.478258543209872</v>
      </c>
      <c r="AF141" s="9"/>
      <c r="AG141" s="21">
        <v>0.55969199999999997</v>
      </c>
      <c r="AH141" s="21">
        <v>19.503599999999999</v>
      </c>
      <c r="AI141" s="21">
        <v>-1.48346E-2</v>
      </c>
      <c r="AJ141" s="21">
        <v>131</v>
      </c>
      <c r="AK141" s="21">
        <v>0.55898999999999999</v>
      </c>
      <c r="AL141">
        <f t="shared" si="30"/>
        <v>18.31432098765432</v>
      </c>
      <c r="AM141">
        <f t="shared" si="31"/>
        <v>10.250378942222222</v>
      </c>
      <c r="AP141" s="9"/>
      <c r="AQ141" s="21">
        <v>1.1103799999999999</v>
      </c>
      <c r="AR141" s="21">
        <v>24.946100000000001</v>
      </c>
      <c r="AS141" s="21">
        <v>-1.4267E-2</v>
      </c>
      <c r="AT141" s="21">
        <v>131</v>
      </c>
      <c r="AU141" s="21">
        <v>1.10992</v>
      </c>
      <c r="AV141">
        <f t="shared" si="32"/>
        <v>17.613580246913582</v>
      </c>
      <c r="AW141">
        <f t="shared" si="33"/>
        <v>19.557767234567901</v>
      </c>
      <c r="AX141" s="9"/>
      <c r="AY141" s="21">
        <v>0.55969199999999997</v>
      </c>
      <c r="AZ141" s="21">
        <v>28.704799999999999</v>
      </c>
      <c r="BA141" s="21">
        <v>-1.4816299999999999E-2</v>
      </c>
      <c r="BB141" s="21">
        <v>131</v>
      </c>
      <c r="BC141" s="21">
        <v>0.55911299999999997</v>
      </c>
      <c r="BD141">
        <f t="shared" si="34"/>
        <v>18.291728395061728</v>
      </c>
      <c r="BE141">
        <f t="shared" si="35"/>
        <v>10.237734048888889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1.1053500000000001</v>
      </c>
      <c r="H142" s="21">
        <v>6.5286900000000001</v>
      </c>
      <c r="I142" s="21">
        <v>-1.41937E-2</v>
      </c>
      <c r="J142" s="21">
        <v>132</v>
      </c>
      <c r="K142" s="21">
        <v>1.1047400000000001</v>
      </c>
      <c r="L142">
        <f t="shared" si="24"/>
        <v>17.523086419753085</v>
      </c>
      <c r="M142">
        <f t="shared" si="25"/>
        <v>19.369143574074073</v>
      </c>
      <c r="N142" s="9"/>
      <c r="O142" s="21">
        <v>0.56472800000000001</v>
      </c>
      <c r="P142" s="21">
        <v>10.2875</v>
      </c>
      <c r="Q142" s="21">
        <v>-1.4804100000000001E-2</v>
      </c>
      <c r="R142" s="21">
        <v>132</v>
      </c>
      <c r="S142" s="21">
        <v>0.564056</v>
      </c>
      <c r="T142">
        <f t="shared" si="26"/>
        <v>18.276666666666667</v>
      </c>
      <c r="U142">
        <f t="shared" si="27"/>
        <v>10.321345413333335</v>
      </c>
      <c r="X142" s="9"/>
      <c r="Y142" s="21">
        <v>1.1053500000000001</v>
      </c>
      <c r="Z142" s="21">
        <v>15.754899999999999</v>
      </c>
      <c r="AA142" s="21">
        <v>-1.4218099999999999E-2</v>
      </c>
      <c r="AB142" s="21">
        <v>132</v>
      </c>
      <c r="AC142" s="21">
        <v>1.1041300000000001</v>
      </c>
      <c r="AD142">
        <f t="shared" si="28"/>
        <v>17.553209876543207</v>
      </c>
      <c r="AE142">
        <f t="shared" si="29"/>
        <v>19.402440537037034</v>
      </c>
      <c r="AF142" s="9"/>
      <c r="AG142" s="21">
        <v>0.56472800000000001</v>
      </c>
      <c r="AH142" s="21">
        <v>19.5137</v>
      </c>
      <c r="AI142" s="21">
        <v>-1.4825400000000001E-2</v>
      </c>
      <c r="AJ142" s="21">
        <v>132</v>
      </c>
      <c r="AK142" s="21">
        <v>0.56399500000000002</v>
      </c>
      <c r="AL142">
        <f t="shared" si="30"/>
        <v>18.302962962962962</v>
      </c>
      <c r="AM142">
        <f t="shared" si="31"/>
        <v>10.336195668148148</v>
      </c>
      <c r="AP142" s="9"/>
      <c r="AQ142" s="21">
        <v>1.1053500000000001</v>
      </c>
      <c r="AR142" s="21">
        <v>24.956099999999999</v>
      </c>
      <c r="AS142" s="21">
        <v>-1.42731E-2</v>
      </c>
      <c r="AT142" s="21">
        <v>132</v>
      </c>
      <c r="AU142" s="21">
        <v>1.10443</v>
      </c>
      <c r="AV142">
        <f t="shared" si="32"/>
        <v>17.621111111111112</v>
      </c>
      <c r="AW142">
        <f t="shared" si="33"/>
        <v>19.477495166666667</v>
      </c>
      <c r="AX142" s="9"/>
      <c r="AY142" s="21">
        <v>0.56472800000000001</v>
      </c>
      <c r="AZ142" s="21">
        <v>28.7149</v>
      </c>
      <c r="BA142" s="21">
        <v>-1.48132E-2</v>
      </c>
      <c r="BB142" s="21">
        <v>132</v>
      </c>
      <c r="BC142" s="21">
        <v>0.56411699999999998</v>
      </c>
      <c r="BD142">
        <f t="shared" si="34"/>
        <v>18.287901234567901</v>
      </c>
      <c r="BE142">
        <f t="shared" si="35"/>
        <v>10.327689888395062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1.1003099999999999</v>
      </c>
      <c r="H143" s="21">
        <v>6.5387700000000004</v>
      </c>
      <c r="I143" s="21">
        <v>-1.41937E-2</v>
      </c>
      <c r="J143" s="21">
        <v>133</v>
      </c>
      <c r="K143" s="21">
        <v>1.09955</v>
      </c>
      <c r="L143">
        <f t="shared" si="24"/>
        <v>17.523086419753085</v>
      </c>
      <c r="M143">
        <f t="shared" si="25"/>
        <v>19.280827218518514</v>
      </c>
      <c r="N143" s="9"/>
      <c r="O143" s="21">
        <v>0.56976300000000002</v>
      </c>
      <c r="P143" s="21">
        <v>10.297499999999999</v>
      </c>
      <c r="Q143" s="21">
        <v>-1.48132E-2</v>
      </c>
      <c r="R143" s="21">
        <v>133</v>
      </c>
      <c r="S143" s="21">
        <v>0.56899999999999995</v>
      </c>
      <c r="T143">
        <f t="shared" si="26"/>
        <v>18.287901234567901</v>
      </c>
      <c r="U143">
        <f t="shared" si="27"/>
        <v>10.419769471111112</v>
      </c>
      <c r="X143" s="9"/>
      <c r="Y143" s="21">
        <v>1.1003099999999999</v>
      </c>
      <c r="Z143" s="21">
        <v>15.765000000000001</v>
      </c>
      <c r="AA143" s="21">
        <v>-1.42273E-2</v>
      </c>
      <c r="AB143" s="21">
        <v>133</v>
      </c>
      <c r="AC143" s="21">
        <v>1.09955</v>
      </c>
      <c r="AD143">
        <f t="shared" si="28"/>
        <v>17.564567901234565</v>
      </c>
      <c r="AE143">
        <f t="shared" si="29"/>
        <v>19.326469707407401</v>
      </c>
      <c r="AF143" s="9"/>
      <c r="AG143" s="21">
        <v>0.56976300000000002</v>
      </c>
      <c r="AH143" s="21">
        <v>19.523700000000002</v>
      </c>
      <c r="AI143" s="21">
        <v>-1.4822399999999999E-2</v>
      </c>
      <c r="AJ143" s="21">
        <v>133</v>
      </c>
      <c r="AK143" s="21">
        <v>0.56912200000000002</v>
      </c>
      <c r="AL143">
        <f t="shared" si="30"/>
        <v>18.299259259259259</v>
      </c>
      <c r="AM143">
        <f t="shared" si="31"/>
        <v>10.426240853333333</v>
      </c>
      <c r="AP143" s="9"/>
      <c r="AQ143" s="21">
        <v>1.1003099999999999</v>
      </c>
      <c r="AR143" s="21">
        <v>24.966200000000001</v>
      </c>
      <c r="AS143" s="21">
        <v>-1.4279200000000001E-2</v>
      </c>
      <c r="AT143" s="21">
        <v>133</v>
      </c>
      <c r="AU143" s="21">
        <v>1.09924</v>
      </c>
      <c r="AV143">
        <f t="shared" si="32"/>
        <v>17.628641975308639</v>
      </c>
      <c r="AW143">
        <f t="shared" si="33"/>
        <v>19.396971051851846</v>
      </c>
      <c r="AX143" s="9"/>
      <c r="AY143" s="21">
        <v>0.56976300000000002</v>
      </c>
      <c r="AZ143" s="21">
        <v>28.725000000000001</v>
      </c>
      <c r="BA143" s="21">
        <v>-1.4810200000000001E-2</v>
      </c>
      <c r="BB143" s="21">
        <v>133</v>
      </c>
      <c r="BC143" s="21">
        <v>0.56918299999999999</v>
      </c>
      <c r="BD143">
        <f t="shared" si="34"/>
        <v>18.284197530864198</v>
      </c>
      <c r="BE143">
        <f t="shared" si="35"/>
        <v>10.417659237777778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1.09528</v>
      </c>
      <c r="H144" s="21">
        <v>6.5488400000000002</v>
      </c>
      <c r="I144" s="21">
        <v>-1.41937E-2</v>
      </c>
      <c r="J144" s="21">
        <v>134</v>
      </c>
      <c r="K144" s="21">
        <v>1.09406</v>
      </c>
      <c r="L144">
        <f t="shared" si="24"/>
        <v>17.523086419753085</v>
      </c>
      <c r="M144">
        <f t="shared" si="25"/>
        <v>19.19268609382716</v>
      </c>
      <c r="N144" s="9"/>
      <c r="O144" s="21">
        <v>0.57479899999999995</v>
      </c>
      <c r="P144" s="21">
        <v>10.307600000000001</v>
      </c>
      <c r="Q144" s="21">
        <v>-1.48132E-2</v>
      </c>
      <c r="R144" s="21">
        <v>134</v>
      </c>
      <c r="S144" s="21">
        <v>0.57415799999999995</v>
      </c>
      <c r="T144">
        <f t="shared" si="26"/>
        <v>18.287901234567901</v>
      </c>
      <c r="U144">
        <f t="shared" si="27"/>
        <v>10.511867341728394</v>
      </c>
      <c r="X144" s="9"/>
      <c r="Y144" s="21">
        <v>1.09528</v>
      </c>
      <c r="Z144" s="21">
        <v>15.775</v>
      </c>
      <c r="AA144" s="21">
        <v>-1.42395E-2</v>
      </c>
      <c r="AB144" s="21">
        <v>134</v>
      </c>
      <c r="AC144" s="21">
        <v>1.09436</v>
      </c>
      <c r="AD144">
        <f t="shared" si="28"/>
        <v>17.579629629629629</v>
      </c>
      <c r="AE144">
        <f t="shared" si="29"/>
        <v>19.25461674074074</v>
      </c>
      <c r="AF144" s="9"/>
      <c r="AG144" s="21">
        <v>0.57479899999999995</v>
      </c>
      <c r="AH144" s="21">
        <v>19.533799999999999</v>
      </c>
      <c r="AI144" s="21">
        <v>-1.4831499999999999E-2</v>
      </c>
      <c r="AJ144" s="21">
        <v>134</v>
      </c>
      <c r="AK144" s="21">
        <v>0.57409699999999997</v>
      </c>
      <c r="AL144">
        <f t="shared" si="30"/>
        <v>18.310493827160489</v>
      </c>
      <c r="AM144">
        <f t="shared" si="31"/>
        <v>10.52485354135802</v>
      </c>
      <c r="AP144" s="9"/>
      <c r="AQ144" s="21">
        <v>1.09528</v>
      </c>
      <c r="AR144" s="21">
        <v>24.976299999999998</v>
      </c>
      <c r="AS144" s="21">
        <v>-1.42883E-2</v>
      </c>
      <c r="AT144" s="21">
        <v>134</v>
      </c>
      <c r="AU144" s="21">
        <v>1.09436</v>
      </c>
      <c r="AV144">
        <f t="shared" si="32"/>
        <v>17.639876543209876</v>
      </c>
      <c r="AW144">
        <f t="shared" si="33"/>
        <v>19.320603980246915</v>
      </c>
      <c r="AX144" s="9"/>
      <c r="AY144" s="21">
        <v>0.57479899999999995</v>
      </c>
      <c r="AZ144" s="21">
        <v>28.734999999999999</v>
      </c>
      <c r="BA144" s="21">
        <v>-1.47949E-2</v>
      </c>
      <c r="BB144" s="21">
        <v>134</v>
      </c>
      <c r="BC144" s="21">
        <v>0.57412700000000005</v>
      </c>
      <c r="BD144">
        <f t="shared" si="34"/>
        <v>18.265308641975306</v>
      </c>
      <c r="BE144">
        <f t="shared" si="35"/>
        <v>10.498881142098764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1.0902400000000001</v>
      </c>
      <c r="H145" s="21">
        <v>6.55891</v>
      </c>
      <c r="I145" s="21">
        <v>-1.41998E-2</v>
      </c>
      <c r="J145" s="21">
        <v>135</v>
      </c>
      <c r="K145" s="21">
        <v>1.08917</v>
      </c>
      <c r="L145">
        <f t="shared" si="24"/>
        <v>17.530617283950615</v>
      </c>
      <c r="M145">
        <f t="shared" si="25"/>
        <v>19.11258018765432</v>
      </c>
      <c r="N145" s="9"/>
      <c r="O145" s="21">
        <v>0.57983399999999996</v>
      </c>
      <c r="P145" s="21">
        <v>10.3177</v>
      </c>
      <c r="Q145" s="21">
        <v>-1.4801E-2</v>
      </c>
      <c r="R145" s="21">
        <v>135</v>
      </c>
      <c r="S145" s="21">
        <v>0.57919299999999996</v>
      </c>
      <c r="T145">
        <f t="shared" si="26"/>
        <v>18.27283950617284</v>
      </c>
      <c r="U145">
        <f t="shared" si="27"/>
        <v>10.595213622222222</v>
      </c>
      <c r="X145" s="9"/>
      <c r="Y145" s="21">
        <v>1.0902400000000001</v>
      </c>
      <c r="Z145" s="21">
        <v>15.7851</v>
      </c>
      <c r="AA145" s="21">
        <v>-1.4245600000000001E-2</v>
      </c>
      <c r="AB145" s="21">
        <v>135</v>
      </c>
      <c r="AC145" s="21">
        <v>1.08887</v>
      </c>
      <c r="AD145">
        <f t="shared" si="28"/>
        <v>17.58716049382716</v>
      </c>
      <c r="AE145">
        <f t="shared" si="29"/>
        <v>19.174225856790123</v>
      </c>
      <c r="AF145" s="9"/>
      <c r="AG145" s="21">
        <v>0.57983399999999996</v>
      </c>
      <c r="AH145" s="21">
        <v>19.543900000000001</v>
      </c>
      <c r="AI145" s="21">
        <v>-1.48346E-2</v>
      </c>
      <c r="AJ145" s="21">
        <v>135</v>
      </c>
      <c r="AK145" s="21">
        <v>0.57910200000000001</v>
      </c>
      <c r="AL145">
        <f t="shared" si="30"/>
        <v>18.31432098765432</v>
      </c>
      <c r="AM145">
        <f t="shared" si="31"/>
        <v>10.619265995555555</v>
      </c>
      <c r="AP145" s="9"/>
      <c r="AQ145" s="21">
        <v>1.0902400000000001</v>
      </c>
      <c r="AR145" s="21">
        <v>24.9864</v>
      </c>
      <c r="AS145" s="21">
        <v>-1.4297499999999999E-2</v>
      </c>
      <c r="AT145" s="21">
        <v>135</v>
      </c>
      <c r="AU145" s="21">
        <v>1.08917</v>
      </c>
      <c r="AV145">
        <f t="shared" si="32"/>
        <v>17.651234567901231</v>
      </c>
      <c r="AW145">
        <f t="shared" si="33"/>
        <v>19.244081975308639</v>
      </c>
      <c r="AX145" s="9"/>
      <c r="AY145" s="21">
        <v>0.57983399999999996</v>
      </c>
      <c r="AZ145" s="21">
        <v>28.745100000000001</v>
      </c>
      <c r="BA145" s="21">
        <v>-1.47919E-2</v>
      </c>
      <c r="BB145" s="21">
        <v>135</v>
      </c>
      <c r="BC145" s="21">
        <v>0.57916299999999998</v>
      </c>
      <c r="BD145">
        <f t="shared" si="34"/>
        <v>18.261604938271603</v>
      </c>
      <c r="BE145">
        <f t="shared" si="35"/>
        <v>10.588699437777775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1.08521</v>
      </c>
      <c r="H146" s="21">
        <v>6.5689799999999998</v>
      </c>
      <c r="I146" s="21">
        <v>-1.42059E-2</v>
      </c>
      <c r="J146" s="21">
        <v>136</v>
      </c>
      <c r="K146" s="21">
        <v>1.0839799999999999</v>
      </c>
      <c r="L146">
        <f t="shared" si="24"/>
        <v>17.538148148148146</v>
      </c>
      <c r="M146">
        <f t="shared" si="25"/>
        <v>19.032573751851849</v>
      </c>
      <c r="N146" s="9"/>
      <c r="O146" s="21">
        <v>0.58486899999999997</v>
      </c>
      <c r="P146" s="21">
        <v>10.3277</v>
      </c>
      <c r="Q146" s="21">
        <v>-1.47949E-2</v>
      </c>
      <c r="R146" s="21">
        <v>136</v>
      </c>
      <c r="S146" s="21">
        <v>0.58416699999999999</v>
      </c>
      <c r="T146">
        <f t="shared" si="26"/>
        <v>18.265308641975306</v>
      </c>
      <c r="U146">
        <f t="shared" si="27"/>
        <v>10.682812800123454</v>
      </c>
      <c r="X146" s="9"/>
      <c r="Y146" s="21">
        <v>1.08521</v>
      </c>
      <c r="Z146" s="21">
        <v>15.795199999999999</v>
      </c>
      <c r="AA146" s="21">
        <v>-1.4251700000000001E-2</v>
      </c>
      <c r="AB146" s="21">
        <v>136</v>
      </c>
      <c r="AC146" s="21">
        <v>1.0839799999999999</v>
      </c>
      <c r="AD146">
        <f t="shared" si="28"/>
        <v>17.594691358024694</v>
      </c>
      <c r="AE146">
        <f t="shared" si="29"/>
        <v>19.093935008641978</v>
      </c>
      <c r="AF146" s="9"/>
      <c r="AG146" s="21">
        <v>0.58486899999999997</v>
      </c>
      <c r="AH146" s="21">
        <v>19.553999999999998</v>
      </c>
      <c r="AI146" s="21">
        <v>-1.48285E-2</v>
      </c>
      <c r="AJ146" s="21">
        <v>136</v>
      </c>
      <c r="AK146" s="21">
        <v>0.584198</v>
      </c>
      <c r="AL146">
        <f t="shared" si="30"/>
        <v>18.306790123456789</v>
      </c>
      <c r="AM146">
        <f t="shared" si="31"/>
        <v>10.707074032716049</v>
      </c>
      <c r="AP146" s="9"/>
      <c r="AQ146" s="21">
        <v>1.08521</v>
      </c>
      <c r="AR146" s="21">
        <v>24.996400000000001</v>
      </c>
      <c r="AS146" s="21">
        <v>-1.43097E-2</v>
      </c>
      <c r="AT146" s="21">
        <v>136</v>
      </c>
      <c r="AU146" s="21">
        <v>1.08429</v>
      </c>
      <c r="AV146">
        <f t="shared" si="32"/>
        <v>17.666296296296295</v>
      </c>
      <c r="AW146">
        <f t="shared" si="33"/>
        <v>19.171641403703703</v>
      </c>
      <c r="AX146" s="9"/>
      <c r="AY146" s="21">
        <v>0.58486899999999997</v>
      </c>
      <c r="AZ146" s="21">
        <v>28.755199999999999</v>
      </c>
      <c r="BA146" s="21">
        <v>-1.47949E-2</v>
      </c>
      <c r="BB146" s="21">
        <v>136</v>
      </c>
      <c r="BC146" s="21">
        <v>0.58435099999999995</v>
      </c>
      <c r="BD146">
        <f t="shared" si="34"/>
        <v>18.265308641975306</v>
      </c>
      <c r="BE146">
        <f t="shared" si="35"/>
        <v>10.682812800123454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1.0801700000000001</v>
      </c>
      <c r="H147" s="21">
        <v>6.5790499999999996</v>
      </c>
      <c r="I147" s="21">
        <v>-1.42212E-2</v>
      </c>
      <c r="J147" s="21">
        <v>137</v>
      </c>
      <c r="K147" s="21">
        <v>1.08002</v>
      </c>
      <c r="L147">
        <f t="shared" si="24"/>
        <v>17.557037037037034</v>
      </c>
      <c r="M147">
        <f t="shared" si="25"/>
        <v>18.964584696296296</v>
      </c>
      <c r="N147" s="9"/>
      <c r="O147" s="21">
        <v>0.58990500000000001</v>
      </c>
      <c r="P147" s="21">
        <v>10.3378</v>
      </c>
      <c r="Q147" s="21">
        <v>-1.47858E-2</v>
      </c>
      <c r="R147" s="21">
        <v>137</v>
      </c>
      <c r="S147" s="21">
        <v>0.58926400000000001</v>
      </c>
      <c r="T147">
        <f t="shared" si="26"/>
        <v>18.254074074074072</v>
      </c>
      <c r="U147">
        <f t="shared" si="27"/>
        <v>10.768169566666666</v>
      </c>
      <c r="X147" s="9"/>
      <c r="Y147" s="21">
        <v>1.0801700000000001</v>
      </c>
      <c r="Z147" s="21">
        <v>15.805300000000001</v>
      </c>
      <c r="AA147" s="21">
        <v>-1.4263899999999999E-2</v>
      </c>
      <c r="AB147" s="21">
        <v>137</v>
      </c>
      <c r="AC147" s="21">
        <v>1.0790999999999999</v>
      </c>
      <c r="AD147">
        <f t="shared" si="28"/>
        <v>17.609753086419751</v>
      </c>
      <c r="AE147">
        <f t="shared" si="29"/>
        <v>19.021526991358023</v>
      </c>
      <c r="AF147" s="9"/>
      <c r="AG147" s="21">
        <v>0.58990500000000001</v>
      </c>
      <c r="AH147" s="21">
        <v>19.564</v>
      </c>
      <c r="AI147" s="21">
        <v>-1.4822399999999999E-2</v>
      </c>
      <c r="AJ147" s="21">
        <v>137</v>
      </c>
      <c r="AK147" s="21">
        <v>0.58926400000000001</v>
      </c>
      <c r="AL147">
        <f t="shared" si="30"/>
        <v>18.299259259259259</v>
      </c>
      <c r="AM147">
        <f t="shared" si="31"/>
        <v>10.794824533333333</v>
      </c>
      <c r="AP147" s="9"/>
      <c r="AQ147" s="21">
        <v>1.0801700000000001</v>
      </c>
      <c r="AR147" s="21">
        <v>25.006499999999999</v>
      </c>
      <c r="AS147" s="21">
        <v>-1.4324999999999999E-2</v>
      </c>
      <c r="AT147" s="21">
        <v>137</v>
      </c>
      <c r="AU147" s="21">
        <v>1.0790999999999999</v>
      </c>
      <c r="AV147">
        <f t="shared" si="32"/>
        <v>17.685185185185183</v>
      </c>
      <c r="AW147">
        <f t="shared" si="33"/>
        <v>19.103006481481479</v>
      </c>
      <c r="AX147" s="9"/>
      <c r="AY147" s="21">
        <v>0.58990500000000001</v>
      </c>
      <c r="AZ147" s="21">
        <v>28.7653</v>
      </c>
      <c r="BA147" s="21">
        <v>-1.4798E-2</v>
      </c>
      <c r="BB147" s="21">
        <v>137</v>
      </c>
      <c r="BC147" s="21">
        <v>0.58929399999999998</v>
      </c>
      <c r="BD147">
        <f t="shared" si="34"/>
        <v>18.269135802469137</v>
      </c>
      <c r="BE147">
        <f t="shared" si="35"/>
        <v>10.777054555555557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1.0751299999999999</v>
      </c>
      <c r="H148" s="21">
        <v>6.5891200000000003</v>
      </c>
      <c r="I148" s="21">
        <v>-1.42395E-2</v>
      </c>
      <c r="J148" s="21">
        <v>138</v>
      </c>
      <c r="K148" s="21">
        <v>1.0739099999999999</v>
      </c>
      <c r="L148">
        <f t="shared" si="24"/>
        <v>17.579629629629629</v>
      </c>
      <c r="M148">
        <f t="shared" si="25"/>
        <v>18.900387203703701</v>
      </c>
      <c r="N148" s="9"/>
      <c r="O148" s="21">
        <v>0.59494000000000002</v>
      </c>
      <c r="P148" s="21">
        <v>10.347899999999999</v>
      </c>
      <c r="Q148" s="21">
        <v>-1.4776600000000001E-2</v>
      </c>
      <c r="R148" s="21">
        <v>138</v>
      </c>
      <c r="S148" s="21">
        <v>0.59429900000000002</v>
      </c>
      <c r="T148">
        <f t="shared" si="26"/>
        <v>18.242716049382715</v>
      </c>
      <c r="U148">
        <f t="shared" si="27"/>
        <v>10.853321486419752</v>
      </c>
      <c r="X148" s="9"/>
      <c r="Y148" s="21">
        <v>1.0751299999999999</v>
      </c>
      <c r="Z148" s="21">
        <v>15.815300000000001</v>
      </c>
      <c r="AA148" s="21">
        <v>-1.42731E-2</v>
      </c>
      <c r="AB148" s="21">
        <v>138</v>
      </c>
      <c r="AC148" s="21">
        <v>1.0739099999999999</v>
      </c>
      <c r="AD148">
        <f t="shared" si="28"/>
        <v>17.621111111111112</v>
      </c>
      <c r="AE148">
        <f t="shared" si="29"/>
        <v>18.944985188888889</v>
      </c>
      <c r="AF148" s="9"/>
      <c r="AG148" s="21">
        <v>0.59494000000000002</v>
      </c>
      <c r="AH148" s="21">
        <v>19.574100000000001</v>
      </c>
      <c r="AI148" s="21">
        <v>-1.4816299999999999E-2</v>
      </c>
      <c r="AJ148" s="21">
        <v>138</v>
      </c>
      <c r="AK148" s="21">
        <v>0.59433000000000002</v>
      </c>
      <c r="AL148">
        <f t="shared" si="30"/>
        <v>18.291728395061728</v>
      </c>
      <c r="AM148">
        <f t="shared" si="31"/>
        <v>10.882480891358025</v>
      </c>
      <c r="AP148" s="9"/>
      <c r="AQ148" s="21">
        <v>1.0751299999999999</v>
      </c>
      <c r="AR148" s="21">
        <v>25.0166</v>
      </c>
      <c r="AS148" s="21">
        <v>-1.4331099999999999E-2</v>
      </c>
      <c r="AT148" s="21">
        <v>138</v>
      </c>
      <c r="AU148" s="21">
        <v>1.0739099999999999</v>
      </c>
      <c r="AV148">
        <f t="shared" si="32"/>
        <v>17.692716049382714</v>
      </c>
      <c r="AW148">
        <f t="shared" si="33"/>
        <v>19.021969806172837</v>
      </c>
      <c r="AX148" s="9"/>
      <c r="AY148" s="21">
        <v>0.59494000000000002</v>
      </c>
      <c r="AZ148" s="21">
        <v>28.775300000000001</v>
      </c>
      <c r="BA148" s="21">
        <v>-1.4798E-2</v>
      </c>
      <c r="BB148" s="21">
        <v>138</v>
      </c>
      <c r="BC148" s="21">
        <v>0.59429900000000002</v>
      </c>
      <c r="BD148">
        <f t="shared" si="34"/>
        <v>18.269135802469137</v>
      </c>
      <c r="BE148">
        <f t="shared" si="35"/>
        <v>10.869039654320989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1.0701000000000001</v>
      </c>
      <c r="H149" s="21">
        <v>6.5991900000000001</v>
      </c>
      <c r="I149" s="21">
        <v>-1.42487E-2</v>
      </c>
      <c r="J149" s="21">
        <v>139</v>
      </c>
      <c r="K149" s="21">
        <v>1.0690299999999999</v>
      </c>
      <c r="L149">
        <f t="shared" si="24"/>
        <v>17.590987654320987</v>
      </c>
      <c r="M149">
        <f t="shared" si="25"/>
        <v>18.82411588888889</v>
      </c>
      <c r="N149" s="9"/>
      <c r="O149" s="21">
        <v>0.59997599999999995</v>
      </c>
      <c r="P149" s="21">
        <v>10.358000000000001</v>
      </c>
      <c r="Q149" s="21">
        <v>-1.4767499999999999E-2</v>
      </c>
      <c r="R149" s="21">
        <v>139</v>
      </c>
      <c r="S149" s="21">
        <v>0.59933499999999995</v>
      </c>
      <c r="T149">
        <f t="shared" si="26"/>
        <v>18.231481481481481</v>
      </c>
      <c r="U149">
        <f t="shared" si="27"/>
        <v>10.938451333333331</v>
      </c>
      <c r="X149" s="9"/>
      <c r="Y149" s="21">
        <v>1.0701000000000001</v>
      </c>
      <c r="Z149" s="21">
        <v>15.8254</v>
      </c>
      <c r="AA149" s="21">
        <v>-1.4285300000000001E-2</v>
      </c>
      <c r="AB149" s="21">
        <v>139</v>
      </c>
      <c r="AC149" s="21">
        <v>1.06934</v>
      </c>
      <c r="AD149">
        <f t="shared" si="28"/>
        <v>17.636172839506173</v>
      </c>
      <c r="AE149">
        <f t="shared" si="29"/>
        <v>18.872468555555557</v>
      </c>
      <c r="AF149" s="9"/>
      <c r="AG149" s="21">
        <v>0.59997599999999995</v>
      </c>
      <c r="AH149" s="21">
        <v>19.584199999999999</v>
      </c>
      <c r="AI149" s="21">
        <v>-1.48071E-2</v>
      </c>
      <c r="AJ149" s="21">
        <v>139</v>
      </c>
      <c r="AK149" s="21">
        <v>0.59936500000000004</v>
      </c>
      <c r="AL149">
        <f t="shared" si="30"/>
        <v>18.28037037037037</v>
      </c>
      <c r="AM149">
        <f t="shared" si="31"/>
        <v>10.967783493333332</v>
      </c>
      <c r="AP149" s="9"/>
      <c r="AQ149" s="21">
        <v>1.0701000000000001</v>
      </c>
      <c r="AR149" s="21">
        <v>25.026599999999998</v>
      </c>
      <c r="AS149" s="21">
        <v>-1.4340200000000001E-2</v>
      </c>
      <c r="AT149" s="21">
        <v>139</v>
      </c>
      <c r="AU149" s="21">
        <v>1.0690299999999999</v>
      </c>
      <c r="AV149">
        <f t="shared" si="32"/>
        <v>17.703950617283951</v>
      </c>
      <c r="AW149">
        <f t="shared" si="33"/>
        <v>18.944997555555556</v>
      </c>
      <c r="AX149" s="9"/>
      <c r="AY149" s="21">
        <v>0.59997599999999995</v>
      </c>
      <c r="AZ149" s="21">
        <v>28.785399999999999</v>
      </c>
      <c r="BA149" s="21">
        <v>-1.47949E-2</v>
      </c>
      <c r="BB149" s="21">
        <v>139</v>
      </c>
      <c r="BC149" s="21">
        <v>0.59930399999999995</v>
      </c>
      <c r="BD149">
        <f t="shared" si="34"/>
        <v>18.265308641975306</v>
      </c>
      <c r="BE149">
        <f t="shared" si="35"/>
        <v>10.958746817777776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1.0650599999999999</v>
      </c>
      <c r="H150" s="21">
        <v>6.6092599999999999</v>
      </c>
      <c r="I150" s="21">
        <v>-1.4263899999999999E-2</v>
      </c>
      <c r="J150" s="21">
        <v>140</v>
      </c>
      <c r="K150" s="21">
        <v>1.0641499999999999</v>
      </c>
      <c r="L150">
        <f t="shared" si="24"/>
        <v>17.609753086419751</v>
      </c>
      <c r="M150">
        <f t="shared" si="25"/>
        <v>18.755443622222217</v>
      </c>
      <c r="N150" s="9"/>
      <c r="O150" s="21">
        <v>0.60501099999999997</v>
      </c>
      <c r="P150" s="21">
        <v>10.368</v>
      </c>
      <c r="Q150" s="21">
        <v>-1.47552E-2</v>
      </c>
      <c r="R150" s="21">
        <v>140</v>
      </c>
      <c r="S150" s="21">
        <v>0.60430899999999999</v>
      </c>
      <c r="T150">
        <f t="shared" si="26"/>
        <v>18.216296296296292</v>
      </c>
      <c r="U150">
        <f t="shared" si="27"/>
        <v>11.021059638518516</v>
      </c>
      <c r="X150" s="9"/>
      <c r="Y150" s="21">
        <v>1.0650599999999999</v>
      </c>
      <c r="Z150" s="21">
        <v>15.8355</v>
      </c>
      <c r="AA150" s="21">
        <v>-1.4291399999999999E-2</v>
      </c>
      <c r="AB150" s="21">
        <v>140</v>
      </c>
      <c r="AC150" s="21">
        <v>1.0635399999999999</v>
      </c>
      <c r="AD150">
        <f t="shared" si="28"/>
        <v>17.643703703703704</v>
      </c>
      <c r="AE150">
        <f t="shared" si="29"/>
        <v>18.791603066666664</v>
      </c>
      <c r="AF150" s="9"/>
      <c r="AG150" s="21">
        <v>0.60501099999999997</v>
      </c>
      <c r="AH150" s="21">
        <v>19.594200000000001</v>
      </c>
      <c r="AI150" s="21">
        <v>-1.4804100000000001E-2</v>
      </c>
      <c r="AJ150" s="21">
        <v>140</v>
      </c>
      <c r="AK150" s="21">
        <v>0.60443100000000005</v>
      </c>
      <c r="AL150">
        <f t="shared" si="30"/>
        <v>18.276666666666667</v>
      </c>
      <c r="AM150">
        <f t="shared" si="31"/>
        <v>11.057584376666666</v>
      </c>
      <c r="AP150" s="9"/>
      <c r="AQ150" s="21">
        <v>1.0650599999999999</v>
      </c>
      <c r="AR150" s="21">
        <v>25.0367</v>
      </c>
      <c r="AS150" s="21">
        <v>-1.4346299999999999E-2</v>
      </c>
      <c r="AT150" s="21">
        <v>140</v>
      </c>
      <c r="AU150" s="21">
        <v>1.0641499999999999</v>
      </c>
      <c r="AV150">
        <f t="shared" si="32"/>
        <v>17.711481481481481</v>
      </c>
      <c r="AW150">
        <f t="shared" si="33"/>
        <v>18.863790466666664</v>
      </c>
      <c r="AX150" s="9"/>
      <c r="AY150" s="21">
        <v>0.60501099999999997</v>
      </c>
      <c r="AZ150" s="21">
        <v>28.795500000000001</v>
      </c>
      <c r="BA150" s="21">
        <v>-1.4801E-2</v>
      </c>
      <c r="BB150" s="21">
        <v>140</v>
      </c>
      <c r="BC150" s="21">
        <v>0.60430899999999999</v>
      </c>
      <c r="BD150">
        <f t="shared" si="34"/>
        <v>18.27283950617284</v>
      </c>
      <c r="BE150">
        <f t="shared" si="35"/>
        <v>11.055268902469136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1.06003</v>
      </c>
      <c r="H151" s="21">
        <v>6.6193299999999997</v>
      </c>
      <c r="I151" s="21">
        <v>-1.4267E-2</v>
      </c>
      <c r="J151" s="21">
        <v>141</v>
      </c>
      <c r="K151" s="21">
        <v>1.0592699999999999</v>
      </c>
      <c r="L151">
        <f t="shared" si="24"/>
        <v>17.613580246913582</v>
      </c>
      <c r="M151">
        <f t="shared" si="25"/>
        <v>18.670923469135804</v>
      </c>
      <c r="N151" s="9"/>
      <c r="O151" s="21">
        <v>0.61004599999999998</v>
      </c>
      <c r="P151" s="21">
        <v>10.3781</v>
      </c>
      <c r="Q151" s="21">
        <v>-1.47461E-2</v>
      </c>
      <c r="R151" s="21">
        <v>141</v>
      </c>
      <c r="S151" s="21">
        <v>0.609375</v>
      </c>
      <c r="T151">
        <f t="shared" si="26"/>
        <v>18.205061728395062</v>
      </c>
      <c r="U151">
        <f t="shared" si="27"/>
        <v>11.105925087160493</v>
      </c>
      <c r="X151" s="9"/>
      <c r="Y151" s="21">
        <v>1.06003</v>
      </c>
      <c r="Z151" s="21">
        <v>15.845499999999999</v>
      </c>
      <c r="AA151" s="21">
        <v>-1.4300500000000001E-2</v>
      </c>
      <c r="AB151" s="21">
        <v>141</v>
      </c>
      <c r="AC151" s="21">
        <v>1.0592699999999999</v>
      </c>
      <c r="AD151">
        <f t="shared" si="28"/>
        <v>17.654938271604937</v>
      </c>
      <c r="AE151">
        <f t="shared" si="29"/>
        <v>18.714764216049382</v>
      </c>
      <c r="AF151" s="9"/>
      <c r="AG151" s="21">
        <v>0.61004599999999998</v>
      </c>
      <c r="AH151" s="21">
        <v>19.604299999999999</v>
      </c>
      <c r="AI151" s="21">
        <v>-1.48071E-2</v>
      </c>
      <c r="AJ151" s="21">
        <v>141</v>
      </c>
      <c r="AK151" s="21">
        <v>0.609375</v>
      </c>
      <c r="AL151">
        <f t="shared" si="30"/>
        <v>18.28037037037037</v>
      </c>
      <c r="AM151">
        <f t="shared" si="31"/>
        <v>11.151866822962962</v>
      </c>
      <c r="AP151" s="9"/>
      <c r="AQ151" s="21">
        <v>1.06003</v>
      </c>
      <c r="AR151" s="21">
        <v>25.046800000000001</v>
      </c>
      <c r="AS151" s="21">
        <v>-1.43524E-2</v>
      </c>
      <c r="AT151" s="21">
        <v>141</v>
      </c>
      <c r="AU151" s="21">
        <v>1.0592699999999999</v>
      </c>
      <c r="AV151">
        <f t="shared" si="32"/>
        <v>17.719012345679008</v>
      </c>
      <c r="AW151">
        <f t="shared" si="33"/>
        <v>18.782684656790121</v>
      </c>
      <c r="AX151" s="9"/>
      <c r="AY151" s="21">
        <v>0.61004599999999998</v>
      </c>
      <c r="AZ151" s="21">
        <v>28.805499999999999</v>
      </c>
      <c r="BA151" s="21">
        <v>-1.4804100000000001E-2</v>
      </c>
      <c r="BB151" s="21">
        <v>141</v>
      </c>
      <c r="BC151" s="21">
        <v>0.60946699999999998</v>
      </c>
      <c r="BD151">
        <f t="shared" si="34"/>
        <v>18.276666666666667</v>
      </c>
      <c r="BE151">
        <f t="shared" si="35"/>
        <v>11.149607393333334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1.0549900000000001</v>
      </c>
      <c r="H152" s="21">
        <v>6.6294000000000004</v>
      </c>
      <c r="I152" s="21">
        <v>-1.42761E-2</v>
      </c>
      <c r="J152" s="21">
        <v>142</v>
      </c>
      <c r="K152" s="21">
        <v>1.0546899999999999</v>
      </c>
      <c r="L152">
        <f t="shared" si="24"/>
        <v>17.624814814814812</v>
      </c>
      <c r="M152">
        <f t="shared" si="25"/>
        <v>18.594003381481478</v>
      </c>
      <c r="N152" s="9"/>
      <c r="O152" s="21">
        <v>0.61508200000000002</v>
      </c>
      <c r="P152" s="21">
        <v>10.388199999999999</v>
      </c>
      <c r="Q152" s="21">
        <v>-1.4736900000000001E-2</v>
      </c>
      <c r="R152" s="21">
        <v>142</v>
      </c>
      <c r="S152" s="21">
        <v>0.61447099999999999</v>
      </c>
      <c r="T152">
        <f t="shared" si="26"/>
        <v>18.193703703703704</v>
      </c>
      <c r="U152">
        <f t="shared" si="27"/>
        <v>11.190619661481483</v>
      </c>
      <c r="X152" s="9"/>
      <c r="Y152" s="21">
        <v>1.0549900000000001</v>
      </c>
      <c r="Z152" s="21">
        <v>15.855600000000001</v>
      </c>
      <c r="AA152" s="21">
        <v>-1.43097E-2</v>
      </c>
      <c r="AB152" s="21">
        <v>142</v>
      </c>
      <c r="AC152" s="21">
        <v>1.0540799999999999</v>
      </c>
      <c r="AD152">
        <f t="shared" si="28"/>
        <v>17.666296296296295</v>
      </c>
      <c r="AE152">
        <f t="shared" si="29"/>
        <v>18.63776592962963</v>
      </c>
      <c r="AF152" s="9"/>
      <c r="AG152" s="21">
        <v>0.61508200000000002</v>
      </c>
      <c r="AH152" s="21">
        <v>19.6144</v>
      </c>
      <c r="AI152" s="21">
        <v>-1.4801E-2</v>
      </c>
      <c r="AJ152" s="21">
        <v>142</v>
      </c>
      <c r="AK152" s="21">
        <v>0.61447099999999999</v>
      </c>
      <c r="AL152">
        <f t="shared" si="30"/>
        <v>18.27283950617284</v>
      </c>
      <c r="AM152">
        <f t="shared" si="31"/>
        <v>11.239294669135804</v>
      </c>
      <c r="AP152" s="9"/>
      <c r="AQ152" s="21">
        <v>1.0549900000000001</v>
      </c>
      <c r="AR152" s="21">
        <v>25.056799999999999</v>
      </c>
      <c r="AS152" s="21">
        <v>-1.43616E-2</v>
      </c>
      <c r="AT152" s="21">
        <v>142</v>
      </c>
      <c r="AU152" s="21">
        <v>1.0537700000000001</v>
      </c>
      <c r="AV152">
        <f t="shared" si="32"/>
        <v>17.73037037037037</v>
      </c>
      <c r="AW152">
        <f t="shared" si="33"/>
        <v>18.70536343703704</v>
      </c>
      <c r="AX152" s="9"/>
      <c r="AY152" s="21">
        <v>0.61508200000000002</v>
      </c>
      <c r="AZ152" s="21">
        <v>28.8156</v>
      </c>
      <c r="BA152" s="21">
        <v>-1.4810200000000001E-2</v>
      </c>
      <c r="BB152" s="21">
        <v>142</v>
      </c>
      <c r="BC152" s="21">
        <v>0.61428799999999995</v>
      </c>
      <c r="BD152">
        <f t="shared" si="34"/>
        <v>18.284197530864198</v>
      </c>
      <c r="BE152">
        <f t="shared" si="35"/>
        <v>11.246280785679012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1.04996</v>
      </c>
      <c r="H153" s="21">
        <v>6.6394799999999998</v>
      </c>
      <c r="I153" s="21">
        <v>-1.42883E-2</v>
      </c>
      <c r="J153" s="21">
        <v>143</v>
      </c>
      <c r="K153" s="21">
        <v>1.0491900000000001</v>
      </c>
      <c r="L153">
        <f t="shared" si="24"/>
        <v>17.639876543209876</v>
      </c>
      <c r="M153">
        <f t="shared" si="25"/>
        <v>18.521164775308641</v>
      </c>
      <c r="N153" s="9"/>
      <c r="O153" s="21">
        <v>0.62011700000000003</v>
      </c>
      <c r="P153" s="21">
        <v>10.398199999999999</v>
      </c>
      <c r="Q153" s="21">
        <v>-1.4727799999999999E-2</v>
      </c>
      <c r="R153" s="21">
        <v>143</v>
      </c>
      <c r="S153" s="21">
        <v>0.61950700000000003</v>
      </c>
      <c r="T153">
        <f t="shared" si="26"/>
        <v>18.182469135802467</v>
      </c>
      <c r="U153">
        <f t="shared" si="27"/>
        <v>11.275258213086419</v>
      </c>
      <c r="X153" s="9"/>
      <c r="Y153" s="21">
        <v>1.04996</v>
      </c>
      <c r="Z153" s="21">
        <v>15.8657</v>
      </c>
      <c r="AA153" s="21">
        <v>-1.43188E-2</v>
      </c>
      <c r="AB153" s="21">
        <v>143</v>
      </c>
      <c r="AC153" s="21">
        <v>1.0488900000000001</v>
      </c>
      <c r="AD153">
        <f t="shared" si="28"/>
        <v>17.677530864197529</v>
      </c>
      <c r="AE153">
        <f t="shared" si="29"/>
        <v>18.560700306172837</v>
      </c>
      <c r="AF153" s="9"/>
      <c r="AG153" s="21">
        <v>0.62011700000000003</v>
      </c>
      <c r="AH153" s="21">
        <v>19.624500000000001</v>
      </c>
      <c r="AI153" s="21">
        <v>-1.47888E-2</v>
      </c>
      <c r="AJ153" s="21">
        <v>143</v>
      </c>
      <c r="AK153" s="21">
        <v>0.61944600000000005</v>
      </c>
      <c r="AL153">
        <f t="shared" si="30"/>
        <v>18.257777777777775</v>
      </c>
      <c r="AM153">
        <f t="shared" si="31"/>
        <v>11.321958382222221</v>
      </c>
      <c r="AP153" s="9"/>
      <c r="AQ153" s="21">
        <v>1.04996</v>
      </c>
      <c r="AR153" s="21">
        <v>25.0669</v>
      </c>
      <c r="AS153" s="21">
        <v>-1.4367700000000001E-2</v>
      </c>
      <c r="AT153" s="21">
        <v>143</v>
      </c>
      <c r="AU153" s="21">
        <v>1.0488900000000001</v>
      </c>
      <c r="AV153">
        <f t="shared" si="32"/>
        <v>17.7379012345679</v>
      </c>
      <c r="AW153">
        <f t="shared" si="33"/>
        <v>18.624086780246913</v>
      </c>
      <c r="AX153" s="9"/>
      <c r="AY153" s="21">
        <v>0.62011700000000003</v>
      </c>
      <c r="AZ153" s="21">
        <v>28.825700000000001</v>
      </c>
      <c r="BA153" s="21">
        <v>-1.4810200000000001E-2</v>
      </c>
      <c r="BB153" s="21">
        <v>143</v>
      </c>
      <c r="BC153" s="21">
        <v>0.61944600000000005</v>
      </c>
      <c r="BD153">
        <f t="shared" si="34"/>
        <v>18.284197530864198</v>
      </c>
      <c r="BE153">
        <f t="shared" si="35"/>
        <v>11.338341720246914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1.0449200000000001</v>
      </c>
      <c r="H154" s="21">
        <v>6.6495499999999996</v>
      </c>
      <c r="I154" s="21">
        <v>-1.4294400000000001E-2</v>
      </c>
      <c r="J154" s="21">
        <v>144</v>
      </c>
      <c r="K154" s="21">
        <v>1.0440100000000001</v>
      </c>
      <c r="L154">
        <f t="shared" si="24"/>
        <v>17.647407407407407</v>
      </c>
      <c r="M154">
        <f t="shared" si="25"/>
        <v>18.44012894814815</v>
      </c>
      <c r="N154" s="9"/>
      <c r="O154" s="21">
        <v>0.62515299999999996</v>
      </c>
      <c r="P154" s="21">
        <v>10.408300000000001</v>
      </c>
      <c r="Q154" s="21">
        <v>-1.47186E-2</v>
      </c>
      <c r="R154" s="21">
        <v>144</v>
      </c>
      <c r="S154" s="21">
        <v>0.62463400000000002</v>
      </c>
      <c r="T154">
        <f t="shared" si="26"/>
        <v>18.171111111111109</v>
      </c>
      <c r="U154">
        <f t="shared" si="27"/>
        <v>11.359724624444443</v>
      </c>
      <c r="X154" s="9"/>
      <c r="Y154" s="21">
        <v>1.0449200000000001</v>
      </c>
      <c r="Z154" s="21">
        <v>15.8758</v>
      </c>
      <c r="AA154" s="21">
        <v>-1.4334100000000001E-2</v>
      </c>
      <c r="AB154" s="21">
        <v>144</v>
      </c>
      <c r="AC154" s="21">
        <v>1.0446200000000001</v>
      </c>
      <c r="AD154">
        <f t="shared" si="28"/>
        <v>17.69641975308642</v>
      </c>
      <c r="AE154">
        <f t="shared" si="29"/>
        <v>18.491342928395063</v>
      </c>
      <c r="AF154" s="9"/>
      <c r="AG154" s="21">
        <v>0.62515299999999996</v>
      </c>
      <c r="AH154" s="21">
        <v>19.634499999999999</v>
      </c>
      <c r="AI154" s="21">
        <v>-1.47858E-2</v>
      </c>
      <c r="AJ154" s="21">
        <v>144</v>
      </c>
      <c r="AK154" s="21">
        <v>0.62454200000000004</v>
      </c>
      <c r="AL154">
        <f t="shared" si="30"/>
        <v>18.254074074074072</v>
      </c>
      <c r="AM154">
        <f t="shared" si="31"/>
        <v>11.411589169629627</v>
      </c>
      <c r="AP154" s="9"/>
      <c r="AQ154" s="21">
        <v>1.0449200000000001</v>
      </c>
      <c r="AR154" s="21">
        <v>25.077000000000002</v>
      </c>
      <c r="AS154" s="21">
        <v>-1.43768E-2</v>
      </c>
      <c r="AT154" s="21">
        <v>144</v>
      </c>
      <c r="AU154" s="21">
        <v>1.0437000000000001</v>
      </c>
      <c r="AV154">
        <f t="shared" si="32"/>
        <v>17.749135802469137</v>
      </c>
      <c r="AW154">
        <f t="shared" si="33"/>
        <v>18.546426982716053</v>
      </c>
      <c r="AX154" s="9"/>
      <c r="AY154" s="21">
        <v>0.62515299999999996</v>
      </c>
      <c r="AZ154" s="21">
        <v>28.835799999999999</v>
      </c>
      <c r="BA154" s="21">
        <v>-1.4804100000000001E-2</v>
      </c>
      <c r="BB154" s="21">
        <v>144</v>
      </c>
      <c r="BC154" s="21">
        <v>0.62445099999999998</v>
      </c>
      <c r="BD154">
        <f t="shared" si="34"/>
        <v>18.276666666666667</v>
      </c>
      <c r="BE154">
        <f t="shared" si="35"/>
        <v>11.425712996666666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1.03989</v>
      </c>
      <c r="H155" s="21">
        <v>6.6596200000000003</v>
      </c>
      <c r="I155" s="21">
        <v>-1.43036E-2</v>
      </c>
      <c r="J155" s="21">
        <v>145</v>
      </c>
      <c r="K155" s="21">
        <v>1.0388200000000001</v>
      </c>
      <c r="L155">
        <f t="shared" si="24"/>
        <v>17.658765432098765</v>
      </c>
      <c r="M155">
        <f t="shared" si="25"/>
        <v>18.363173585185184</v>
      </c>
      <c r="N155" s="9"/>
      <c r="O155" s="21">
        <v>0.63018799999999997</v>
      </c>
      <c r="P155" s="21">
        <v>10.4184</v>
      </c>
      <c r="Q155" s="21">
        <v>-1.47186E-2</v>
      </c>
      <c r="R155" s="21">
        <v>145</v>
      </c>
      <c r="S155" s="21">
        <v>0.62945600000000002</v>
      </c>
      <c r="T155">
        <f t="shared" si="26"/>
        <v>18.171111111111109</v>
      </c>
      <c r="U155">
        <f t="shared" si="27"/>
        <v>11.451216168888887</v>
      </c>
      <c r="X155" s="9"/>
      <c r="Y155" s="21">
        <v>1.03989</v>
      </c>
      <c r="Z155" s="21">
        <v>15.8858</v>
      </c>
      <c r="AA155" s="21">
        <v>-1.43494E-2</v>
      </c>
      <c r="AB155" s="21">
        <v>145</v>
      </c>
      <c r="AC155" s="21">
        <v>1.0394300000000001</v>
      </c>
      <c r="AD155">
        <f t="shared" si="28"/>
        <v>17.715308641975309</v>
      </c>
      <c r="AE155">
        <f t="shared" si="29"/>
        <v>18.421972303703704</v>
      </c>
      <c r="AF155" s="9"/>
      <c r="AG155" s="21">
        <v>0.63018799999999997</v>
      </c>
      <c r="AH155" s="21">
        <v>19.644600000000001</v>
      </c>
      <c r="AI155" s="21">
        <v>-1.47919E-2</v>
      </c>
      <c r="AJ155" s="21">
        <v>145</v>
      </c>
      <c r="AK155" s="21">
        <v>0.62960799999999995</v>
      </c>
      <c r="AL155">
        <f t="shared" si="30"/>
        <v>18.261604938271603</v>
      </c>
      <c r="AM155">
        <f t="shared" si="31"/>
        <v>11.508244292839505</v>
      </c>
      <c r="AP155" s="9"/>
      <c r="AQ155" s="21">
        <v>1.03989</v>
      </c>
      <c r="AR155" s="21">
        <v>25.0871</v>
      </c>
      <c r="AS155" s="21">
        <v>-1.43768E-2</v>
      </c>
      <c r="AT155" s="21">
        <v>145</v>
      </c>
      <c r="AU155" s="21">
        <v>1.03912</v>
      </c>
      <c r="AV155">
        <f t="shared" si="32"/>
        <v>17.749135802469137</v>
      </c>
      <c r="AW155">
        <f t="shared" si="33"/>
        <v>18.457148829629631</v>
      </c>
      <c r="AX155" s="9"/>
      <c r="AY155" s="21">
        <v>0.63018799999999997</v>
      </c>
      <c r="AZ155" s="21">
        <v>28.845800000000001</v>
      </c>
      <c r="BA155" s="21">
        <v>-1.4804100000000001E-2</v>
      </c>
      <c r="BB155" s="21">
        <v>145</v>
      </c>
      <c r="BC155" s="21">
        <v>0.62939500000000004</v>
      </c>
      <c r="BD155">
        <f t="shared" si="34"/>
        <v>18.276666666666667</v>
      </c>
      <c r="BE155">
        <f t="shared" si="35"/>
        <v>11.517736013333334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1.03485</v>
      </c>
      <c r="H156" s="21">
        <v>6.6696900000000001</v>
      </c>
      <c r="I156" s="21">
        <v>-1.4306599999999999E-2</v>
      </c>
      <c r="J156" s="21">
        <v>146</v>
      </c>
      <c r="K156" s="21">
        <v>1.03424</v>
      </c>
      <c r="L156">
        <f t="shared" si="24"/>
        <v>17.662469135802468</v>
      </c>
      <c r="M156">
        <f t="shared" si="25"/>
        <v>18.278006185185184</v>
      </c>
      <c r="N156" s="9"/>
      <c r="O156" s="21">
        <v>0.63522299999999998</v>
      </c>
      <c r="P156" s="21">
        <v>10.4285</v>
      </c>
      <c r="Q156" s="21">
        <v>-1.4715600000000001E-2</v>
      </c>
      <c r="R156" s="21">
        <v>146</v>
      </c>
      <c r="S156" s="21">
        <v>0.634552</v>
      </c>
      <c r="T156">
        <f t="shared" si="26"/>
        <v>18.167407407407406</v>
      </c>
      <c r="U156">
        <f t="shared" si="27"/>
        <v>11.540355035555555</v>
      </c>
      <c r="X156" s="9"/>
      <c r="Y156" s="21">
        <v>1.03485</v>
      </c>
      <c r="Z156" s="21">
        <v>15.895899999999999</v>
      </c>
      <c r="AA156" s="21">
        <v>-1.43616E-2</v>
      </c>
      <c r="AB156" s="21">
        <v>146</v>
      </c>
      <c r="AC156" s="21">
        <v>1.0339400000000001</v>
      </c>
      <c r="AD156">
        <f t="shared" si="28"/>
        <v>17.73037037037037</v>
      </c>
      <c r="AE156">
        <f t="shared" si="29"/>
        <v>18.348273777777777</v>
      </c>
      <c r="AF156" s="9"/>
      <c r="AG156" s="21">
        <v>0.63522299999999998</v>
      </c>
      <c r="AH156" s="21">
        <v>19.654699999999998</v>
      </c>
      <c r="AI156" s="21">
        <v>-1.47949E-2</v>
      </c>
      <c r="AJ156" s="21">
        <v>146</v>
      </c>
      <c r="AK156" s="21">
        <v>0.634521</v>
      </c>
      <c r="AL156">
        <f t="shared" si="30"/>
        <v>18.265308641975306</v>
      </c>
      <c r="AM156">
        <f t="shared" si="31"/>
        <v>11.60254415148148</v>
      </c>
      <c r="AP156" s="9"/>
      <c r="AQ156" s="21">
        <v>1.03485</v>
      </c>
      <c r="AR156" s="21">
        <v>25.097100000000001</v>
      </c>
      <c r="AS156" s="21">
        <v>-1.4389000000000001E-2</v>
      </c>
      <c r="AT156" s="21">
        <v>146</v>
      </c>
      <c r="AU156" s="21">
        <v>1.0339400000000001</v>
      </c>
      <c r="AV156">
        <f t="shared" si="32"/>
        <v>17.764197530864198</v>
      </c>
      <c r="AW156">
        <f t="shared" si="33"/>
        <v>18.383279814814816</v>
      </c>
      <c r="AX156" s="9"/>
      <c r="AY156" s="21">
        <v>0.63522299999999998</v>
      </c>
      <c r="AZ156" s="21">
        <v>28.855899999999998</v>
      </c>
      <c r="BA156" s="21">
        <v>-1.4804100000000001E-2</v>
      </c>
      <c r="BB156" s="21">
        <v>146</v>
      </c>
      <c r="BC156" s="21">
        <v>0.63461299999999998</v>
      </c>
      <c r="BD156">
        <f t="shared" si="34"/>
        <v>18.276666666666667</v>
      </c>
      <c r="BE156">
        <f t="shared" si="35"/>
        <v>11.609759029999999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1.02982</v>
      </c>
      <c r="H157" s="21">
        <v>6.6797599999999999</v>
      </c>
      <c r="I157" s="21">
        <v>-1.4312699999999999E-2</v>
      </c>
      <c r="J157" s="21">
        <v>147</v>
      </c>
      <c r="K157" s="21">
        <v>1.02844</v>
      </c>
      <c r="L157">
        <f t="shared" si="24"/>
        <v>17.669999999999998</v>
      </c>
      <c r="M157">
        <f t="shared" si="25"/>
        <v>18.196919399999999</v>
      </c>
      <c r="N157" s="9"/>
      <c r="O157" s="21">
        <v>0.64025900000000002</v>
      </c>
      <c r="P157" s="21">
        <v>10.438499999999999</v>
      </c>
      <c r="Q157" s="21">
        <v>-1.47125E-2</v>
      </c>
      <c r="R157" s="21">
        <v>147</v>
      </c>
      <c r="S157" s="21">
        <v>0.63964799999999999</v>
      </c>
      <c r="T157">
        <f t="shared" si="26"/>
        <v>18.163580246913579</v>
      </c>
      <c r="U157">
        <f t="shared" si="27"/>
        <v>11.629395725308642</v>
      </c>
      <c r="X157" s="9"/>
      <c r="Y157" s="21">
        <v>1.02982</v>
      </c>
      <c r="Z157" s="21">
        <v>15.906000000000001</v>
      </c>
      <c r="AA157" s="21">
        <v>-1.43646E-2</v>
      </c>
      <c r="AB157" s="21">
        <v>147</v>
      </c>
      <c r="AC157" s="21">
        <v>1.02905</v>
      </c>
      <c r="AD157">
        <f t="shared" si="28"/>
        <v>17.734074074074073</v>
      </c>
      <c r="AE157">
        <f t="shared" si="29"/>
        <v>18.262904162962961</v>
      </c>
      <c r="AF157" s="9"/>
      <c r="AG157" s="21">
        <v>0.64025900000000002</v>
      </c>
      <c r="AH157" s="21">
        <v>19.6647</v>
      </c>
      <c r="AI157" s="21">
        <v>-1.4798E-2</v>
      </c>
      <c r="AJ157" s="21">
        <v>147</v>
      </c>
      <c r="AK157" s="21">
        <v>0.63970899999999997</v>
      </c>
      <c r="AL157">
        <f t="shared" si="30"/>
        <v>18.269135802469137</v>
      </c>
      <c r="AM157">
        <f t="shared" si="31"/>
        <v>11.696978619753088</v>
      </c>
      <c r="AP157" s="9"/>
      <c r="AQ157" s="21">
        <v>1.02982</v>
      </c>
      <c r="AR157" s="21">
        <v>25.107199999999999</v>
      </c>
      <c r="AS157" s="21">
        <v>-1.4389000000000001E-2</v>
      </c>
      <c r="AT157" s="21">
        <v>147</v>
      </c>
      <c r="AU157" s="21">
        <v>1.02966</v>
      </c>
      <c r="AV157">
        <f t="shared" si="32"/>
        <v>17.764197530864198</v>
      </c>
      <c r="AW157">
        <f t="shared" si="33"/>
        <v>18.293925901234569</v>
      </c>
      <c r="AX157" s="9"/>
      <c r="AY157" s="21">
        <v>0.64025900000000002</v>
      </c>
      <c r="AZ157" s="21">
        <v>28.866</v>
      </c>
      <c r="BA157" s="21">
        <v>-1.4798E-2</v>
      </c>
      <c r="BB157" s="21">
        <v>147</v>
      </c>
      <c r="BC157" s="21">
        <v>0.63961800000000002</v>
      </c>
      <c r="BD157">
        <f t="shared" si="34"/>
        <v>18.269135802469137</v>
      </c>
      <c r="BE157">
        <f t="shared" si="35"/>
        <v>11.696978619753088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1.02478</v>
      </c>
      <c r="H158" s="21">
        <v>6.6898299999999997</v>
      </c>
      <c r="I158" s="21">
        <v>-1.4312699999999999E-2</v>
      </c>
      <c r="J158" s="21">
        <v>148</v>
      </c>
      <c r="K158" s="21">
        <v>1.02417</v>
      </c>
      <c r="L158">
        <f t="shared" si="24"/>
        <v>17.669999999999998</v>
      </c>
      <c r="M158">
        <f t="shared" si="25"/>
        <v>18.107862599999997</v>
      </c>
      <c r="N158" s="9"/>
      <c r="O158" s="21">
        <v>0.64529400000000003</v>
      </c>
      <c r="P158" s="21">
        <v>10.448600000000001</v>
      </c>
      <c r="Q158" s="21">
        <v>-1.47034E-2</v>
      </c>
      <c r="R158" s="21">
        <v>148</v>
      </c>
      <c r="S158" s="21">
        <v>0.64468400000000003</v>
      </c>
      <c r="T158">
        <f t="shared" si="26"/>
        <v>18.152345679012342</v>
      </c>
      <c r="U158">
        <f t="shared" si="27"/>
        <v>11.713599752592591</v>
      </c>
      <c r="X158" s="9"/>
      <c r="Y158" s="21">
        <v>1.02478</v>
      </c>
      <c r="Z158" s="21">
        <v>15.916</v>
      </c>
      <c r="AA158" s="21">
        <v>-1.43707E-2</v>
      </c>
      <c r="AB158" s="21">
        <v>148</v>
      </c>
      <c r="AC158" s="21">
        <v>1.02356</v>
      </c>
      <c r="AD158">
        <f t="shared" si="28"/>
        <v>17.741604938271603</v>
      </c>
      <c r="AE158">
        <f t="shared" si="29"/>
        <v>18.181241908641972</v>
      </c>
      <c r="AF158" s="9"/>
      <c r="AG158" s="21">
        <v>0.64529400000000003</v>
      </c>
      <c r="AH158" s="21">
        <v>19.674800000000001</v>
      </c>
      <c r="AI158" s="21">
        <v>-1.47949E-2</v>
      </c>
      <c r="AJ158" s="21">
        <v>148</v>
      </c>
      <c r="AK158" s="21">
        <v>0.64459200000000005</v>
      </c>
      <c r="AL158">
        <f t="shared" si="30"/>
        <v>18.265308641975306</v>
      </c>
      <c r="AM158">
        <f t="shared" si="31"/>
        <v>11.786494074814813</v>
      </c>
      <c r="AP158" s="9"/>
      <c r="AQ158" s="21">
        <v>1.02478</v>
      </c>
      <c r="AR158" s="21">
        <v>25.1173</v>
      </c>
      <c r="AS158" s="21">
        <v>-1.4389000000000001E-2</v>
      </c>
      <c r="AT158" s="21">
        <v>148</v>
      </c>
      <c r="AU158" s="21">
        <v>1.02386</v>
      </c>
      <c r="AV158">
        <f t="shared" si="32"/>
        <v>17.764197530864198</v>
      </c>
      <c r="AW158">
        <f t="shared" si="33"/>
        <v>18.204394345679013</v>
      </c>
      <c r="AX158" s="9"/>
      <c r="AY158" s="21">
        <v>0.64529400000000003</v>
      </c>
      <c r="AZ158" s="21">
        <v>28.876000000000001</v>
      </c>
      <c r="BA158" s="21">
        <v>-1.47949E-2</v>
      </c>
      <c r="BB158" s="21">
        <v>148</v>
      </c>
      <c r="BC158" s="21">
        <v>0.64456199999999997</v>
      </c>
      <c r="BD158">
        <f t="shared" si="34"/>
        <v>18.265308641975306</v>
      </c>
      <c r="BE158">
        <f t="shared" si="35"/>
        <v>11.786494074814813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1.0197400000000001</v>
      </c>
      <c r="H159" s="21">
        <v>6.6999000000000004</v>
      </c>
      <c r="I159" s="21">
        <v>-1.43188E-2</v>
      </c>
      <c r="J159" s="21">
        <v>149</v>
      </c>
      <c r="K159" s="21">
        <v>1.01868</v>
      </c>
      <c r="L159">
        <f t="shared" si="24"/>
        <v>17.677530864197529</v>
      </c>
      <c r="M159">
        <f t="shared" si="25"/>
        <v>18.026485323456789</v>
      </c>
      <c r="N159" s="9"/>
      <c r="O159" s="21">
        <v>0.65032999999999996</v>
      </c>
      <c r="P159" s="21">
        <v>10.4587</v>
      </c>
      <c r="Q159" s="21">
        <v>-1.4700299999999999E-2</v>
      </c>
      <c r="R159" s="21">
        <v>149</v>
      </c>
      <c r="S159" s="21">
        <v>0.64965799999999996</v>
      </c>
      <c r="T159">
        <f t="shared" si="26"/>
        <v>18.148518518518514</v>
      </c>
      <c r="U159">
        <f t="shared" si="27"/>
        <v>11.802526048148145</v>
      </c>
      <c r="X159" s="9"/>
      <c r="Y159" s="21">
        <v>1.0197400000000001</v>
      </c>
      <c r="Z159" s="21">
        <v>15.9261</v>
      </c>
      <c r="AA159" s="21">
        <v>-1.4373800000000001E-2</v>
      </c>
      <c r="AB159" s="21">
        <v>149</v>
      </c>
      <c r="AC159" s="21">
        <v>1.01898</v>
      </c>
      <c r="AD159">
        <f t="shared" si="28"/>
        <v>17.745432098765431</v>
      </c>
      <c r="AE159">
        <f t="shared" si="29"/>
        <v>18.095726928395063</v>
      </c>
      <c r="AF159" s="9"/>
      <c r="AG159" s="21">
        <v>0.65032999999999996</v>
      </c>
      <c r="AH159" s="21">
        <v>19.684899999999999</v>
      </c>
      <c r="AI159" s="21">
        <v>-1.47858E-2</v>
      </c>
      <c r="AJ159" s="21">
        <v>149</v>
      </c>
      <c r="AK159" s="21">
        <v>0.64965799999999996</v>
      </c>
      <c r="AL159">
        <f t="shared" si="30"/>
        <v>18.254074074074072</v>
      </c>
      <c r="AM159">
        <f t="shared" si="31"/>
        <v>11.871171992592592</v>
      </c>
      <c r="AP159" s="9"/>
      <c r="AQ159" s="21">
        <v>1.0197400000000001</v>
      </c>
      <c r="AR159" s="21">
        <v>25.127300000000002</v>
      </c>
      <c r="AS159" s="21">
        <v>-1.4385999999999999E-2</v>
      </c>
      <c r="AT159" s="21">
        <v>149</v>
      </c>
      <c r="AU159" s="21">
        <v>1.01868</v>
      </c>
      <c r="AV159">
        <f t="shared" si="32"/>
        <v>17.760493827160492</v>
      </c>
      <c r="AW159">
        <f t="shared" si="33"/>
        <v>18.11108597530864</v>
      </c>
      <c r="AX159" s="9"/>
      <c r="AY159" s="21">
        <v>0.65032999999999996</v>
      </c>
      <c r="AZ159" s="21">
        <v>28.886099999999999</v>
      </c>
      <c r="BA159" s="21">
        <v>-1.47888E-2</v>
      </c>
      <c r="BB159" s="21">
        <v>149</v>
      </c>
      <c r="BC159" s="21">
        <v>0.64962799999999998</v>
      </c>
      <c r="BD159">
        <f t="shared" si="34"/>
        <v>18.257777777777775</v>
      </c>
      <c r="BE159">
        <f t="shared" si="35"/>
        <v>11.873580622222221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1.01471</v>
      </c>
      <c r="H160" s="21">
        <v>6.7099700000000002</v>
      </c>
      <c r="I160" s="21">
        <v>-1.4328E-2</v>
      </c>
      <c r="J160" s="21">
        <v>150</v>
      </c>
      <c r="K160" s="21">
        <v>1.01379</v>
      </c>
      <c r="L160">
        <f t="shared" si="24"/>
        <v>17.68888888888889</v>
      </c>
      <c r="M160">
        <f t="shared" si="25"/>
        <v>17.949092444444446</v>
      </c>
      <c r="N160" s="9"/>
      <c r="O160" s="21">
        <v>0.65536499999999998</v>
      </c>
      <c r="P160" s="21">
        <v>10.4687</v>
      </c>
      <c r="Q160" s="21">
        <v>-1.46973E-2</v>
      </c>
      <c r="R160" s="21">
        <v>150</v>
      </c>
      <c r="S160" s="21">
        <v>0.65478499999999995</v>
      </c>
      <c r="T160">
        <f t="shared" si="26"/>
        <v>18.144814814814815</v>
      </c>
      <c r="U160">
        <f t="shared" si="27"/>
        <v>11.89147656111111</v>
      </c>
      <c r="X160" s="9"/>
      <c r="Y160" s="21">
        <v>1.01471</v>
      </c>
      <c r="Z160" s="21">
        <v>15.936199999999999</v>
      </c>
      <c r="AA160" s="21">
        <v>-1.4382900000000001E-2</v>
      </c>
      <c r="AB160" s="21">
        <v>150</v>
      </c>
      <c r="AC160" s="21">
        <v>1.01379</v>
      </c>
      <c r="AD160">
        <f t="shared" si="28"/>
        <v>17.756666666666668</v>
      </c>
      <c r="AE160">
        <f t="shared" si="29"/>
        <v>18.017867233333334</v>
      </c>
      <c r="AF160" s="9"/>
      <c r="AG160" s="21">
        <v>0.65536499999999998</v>
      </c>
      <c r="AH160" s="21">
        <v>19.694900000000001</v>
      </c>
      <c r="AI160" s="21">
        <v>-1.47888E-2</v>
      </c>
      <c r="AJ160" s="21">
        <v>150</v>
      </c>
      <c r="AK160" s="21">
        <v>0.65478499999999995</v>
      </c>
      <c r="AL160">
        <f t="shared" si="30"/>
        <v>18.257777777777775</v>
      </c>
      <c r="AM160">
        <f t="shared" si="31"/>
        <v>11.965508533333331</v>
      </c>
      <c r="AP160" s="9"/>
      <c r="AQ160" s="21">
        <v>1.01471</v>
      </c>
      <c r="AR160" s="21">
        <v>25.1374</v>
      </c>
      <c r="AS160" s="21">
        <v>-1.4389000000000001E-2</v>
      </c>
      <c r="AT160" s="21">
        <v>150</v>
      </c>
      <c r="AU160" s="21">
        <v>1.01379</v>
      </c>
      <c r="AV160">
        <f t="shared" si="32"/>
        <v>17.764197530864198</v>
      </c>
      <c r="AW160">
        <f t="shared" si="33"/>
        <v>18.02550887654321</v>
      </c>
      <c r="AX160" s="9"/>
      <c r="AY160" s="21">
        <v>0.65536499999999998</v>
      </c>
      <c r="AZ160" s="21">
        <v>28.8962</v>
      </c>
      <c r="BA160" s="21">
        <v>-1.47858E-2</v>
      </c>
      <c r="BB160" s="21">
        <v>150</v>
      </c>
      <c r="BC160" s="21">
        <v>0.65466299999999999</v>
      </c>
      <c r="BD160">
        <f t="shared" si="34"/>
        <v>18.254074074074072</v>
      </c>
      <c r="BE160">
        <f t="shared" si="35"/>
        <v>11.963081255555554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1.0096700000000001</v>
      </c>
      <c r="H161" s="21">
        <v>6.72004</v>
      </c>
      <c r="I161" s="21">
        <v>-1.4334100000000001E-2</v>
      </c>
      <c r="J161" s="21">
        <v>151</v>
      </c>
      <c r="K161" s="21">
        <v>1.0083</v>
      </c>
      <c r="L161">
        <f t="shared" si="24"/>
        <v>17.69641975308642</v>
      </c>
      <c r="M161">
        <f t="shared" si="25"/>
        <v>17.867544132098768</v>
      </c>
      <c r="N161" s="9"/>
      <c r="O161" s="21">
        <v>0.66039999999999999</v>
      </c>
      <c r="P161" s="21">
        <v>10.4788</v>
      </c>
      <c r="Q161" s="21">
        <v>-1.46912E-2</v>
      </c>
      <c r="R161" s="21">
        <v>151</v>
      </c>
      <c r="S161" s="21">
        <v>0.65976000000000001</v>
      </c>
      <c r="T161">
        <f t="shared" si="26"/>
        <v>18.137283950617284</v>
      </c>
      <c r="U161">
        <f t="shared" si="27"/>
        <v>11.977862320987654</v>
      </c>
      <c r="X161" s="9"/>
      <c r="Y161" s="21">
        <v>1.0096700000000001</v>
      </c>
      <c r="Z161" s="21">
        <v>15.946300000000001</v>
      </c>
      <c r="AA161" s="21">
        <v>-1.4385999999999999E-2</v>
      </c>
      <c r="AB161" s="21">
        <v>151</v>
      </c>
      <c r="AC161" s="21">
        <v>1.00952</v>
      </c>
      <c r="AD161">
        <f t="shared" si="28"/>
        <v>17.760493827160492</v>
      </c>
      <c r="AE161">
        <f t="shared" si="29"/>
        <v>17.932237802469135</v>
      </c>
      <c r="AF161" s="9"/>
      <c r="AG161" s="21">
        <v>0.66039999999999999</v>
      </c>
      <c r="AH161" s="21">
        <v>19.704999999999998</v>
      </c>
      <c r="AI161" s="21">
        <v>-1.47949E-2</v>
      </c>
      <c r="AJ161" s="21">
        <v>151</v>
      </c>
      <c r="AK161" s="21">
        <v>0.65982099999999999</v>
      </c>
      <c r="AL161">
        <f t="shared" si="30"/>
        <v>18.265308641975306</v>
      </c>
      <c r="AM161">
        <f t="shared" si="31"/>
        <v>12.062409827160492</v>
      </c>
      <c r="AP161" s="9"/>
      <c r="AQ161" s="21">
        <v>1.0096700000000001</v>
      </c>
      <c r="AR161" s="21">
        <v>25.147500000000001</v>
      </c>
      <c r="AS161" s="21">
        <v>-1.43982E-2</v>
      </c>
      <c r="AT161" s="21">
        <v>151</v>
      </c>
      <c r="AU161" s="21">
        <v>1.00891</v>
      </c>
      <c r="AV161">
        <f t="shared" si="32"/>
        <v>17.775555555555556</v>
      </c>
      <c r="AW161">
        <f t="shared" si="33"/>
        <v>17.94744517777778</v>
      </c>
      <c r="AX161" s="9"/>
      <c r="AY161" s="21">
        <v>0.66039999999999999</v>
      </c>
      <c r="AZ161" s="21">
        <v>28.906300000000002</v>
      </c>
      <c r="BA161" s="21">
        <v>-1.4782699999999999E-2</v>
      </c>
      <c r="BB161" s="21">
        <v>151</v>
      </c>
      <c r="BC161" s="21">
        <v>0.65963700000000003</v>
      </c>
      <c r="BD161">
        <f t="shared" si="34"/>
        <v>18.250246913580245</v>
      </c>
      <c r="BE161">
        <f t="shared" si="35"/>
        <v>12.052463061728394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1.00464</v>
      </c>
      <c r="H162" s="21">
        <v>6.7301099999999998</v>
      </c>
      <c r="I162" s="21">
        <v>-1.43433E-2</v>
      </c>
      <c r="J162" s="21">
        <v>152</v>
      </c>
      <c r="K162" s="21">
        <v>1.00342</v>
      </c>
      <c r="L162">
        <f t="shared" si="24"/>
        <v>17.707777777777778</v>
      </c>
      <c r="M162">
        <f t="shared" si="25"/>
        <v>17.789941866666666</v>
      </c>
      <c r="N162" s="9"/>
      <c r="O162" s="21">
        <v>0.66543600000000003</v>
      </c>
      <c r="P162" s="21">
        <v>10.488899999999999</v>
      </c>
      <c r="Q162" s="21">
        <v>-1.4672899999999999E-2</v>
      </c>
      <c r="R162" s="21">
        <v>152</v>
      </c>
      <c r="S162" s="21">
        <v>0.66476400000000002</v>
      </c>
      <c r="T162">
        <f t="shared" si="26"/>
        <v>18.11469135802469</v>
      </c>
      <c r="U162">
        <f t="shared" si="27"/>
        <v>12.054167758518517</v>
      </c>
      <c r="X162" s="9"/>
      <c r="Y162" s="21">
        <v>1.00464</v>
      </c>
      <c r="Z162" s="21">
        <v>15.956300000000001</v>
      </c>
      <c r="AA162" s="21">
        <v>-1.43921E-2</v>
      </c>
      <c r="AB162" s="21">
        <v>152</v>
      </c>
      <c r="AC162" s="21">
        <v>1.00342</v>
      </c>
      <c r="AD162">
        <f t="shared" si="28"/>
        <v>17.768024691358022</v>
      </c>
      <c r="AE162">
        <f t="shared" si="29"/>
        <v>17.850468325925924</v>
      </c>
      <c r="AF162" s="9"/>
      <c r="AG162" s="21">
        <v>0.66543600000000003</v>
      </c>
      <c r="AH162" s="21">
        <v>19.7151</v>
      </c>
      <c r="AI162" s="21">
        <v>-1.47919E-2</v>
      </c>
      <c r="AJ162" s="21">
        <v>152</v>
      </c>
      <c r="AK162" s="21">
        <v>0.66473400000000005</v>
      </c>
      <c r="AL162">
        <f t="shared" si="30"/>
        <v>18.261604938271603</v>
      </c>
      <c r="AM162">
        <f t="shared" si="31"/>
        <v>12.151929343703703</v>
      </c>
      <c r="AP162" s="9"/>
      <c r="AQ162" s="21">
        <v>1.00464</v>
      </c>
      <c r="AR162" s="21">
        <v>25.157599999999999</v>
      </c>
      <c r="AS162" s="21">
        <v>-1.44104E-2</v>
      </c>
      <c r="AT162" s="21">
        <v>152</v>
      </c>
      <c r="AU162" s="21">
        <v>1.0037199999999999</v>
      </c>
      <c r="AV162">
        <f t="shared" si="32"/>
        <v>17.790617283950617</v>
      </c>
      <c r="AW162">
        <f t="shared" si="33"/>
        <v>17.873165748148146</v>
      </c>
      <c r="AX162" s="9"/>
      <c r="AY162" s="21">
        <v>0.66543600000000003</v>
      </c>
      <c r="AZ162" s="21">
        <v>28.9163</v>
      </c>
      <c r="BA162" s="21">
        <v>-1.4776600000000001E-2</v>
      </c>
      <c r="BB162" s="21">
        <v>152</v>
      </c>
      <c r="BC162" s="21">
        <v>0.664825</v>
      </c>
      <c r="BD162">
        <f t="shared" si="34"/>
        <v>18.242716049382715</v>
      </c>
      <c r="BE162">
        <f t="shared" si="35"/>
        <v>12.139359997037037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0.99960300000000002</v>
      </c>
      <c r="H163" s="21">
        <v>6.7401900000000001</v>
      </c>
      <c r="I163" s="21">
        <v>-1.43433E-2</v>
      </c>
      <c r="J163" s="21">
        <v>153</v>
      </c>
      <c r="K163" s="21">
        <v>0.99914599999999998</v>
      </c>
      <c r="L163">
        <f t="shared" si="24"/>
        <v>17.707777777777778</v>
      </c>
      <c r="M163">
        <f t="shared" si="25"/>
        <v>17.700747790000001</v>
      </c>
      <c r="N163" s="9"/>
      <c r="O163" s="21">
        <v>0.67047100000000004</v>
      </c>
      <c r="P163" s="21">
        <v>10.499000000000001</v>
      </c>
      <c r="Q163" s="21">
        <v>-1.46667E-2</v>
      </c>
      <c r="R163" s="21">
        <v>153</v>
      </c>
      <c r="S163" s="21">
        <v>0.66989100000000001</v>
      </c>
      <c r="T163">
        <f t="shared" si="26"/>
        <v>18.107037037037035</v>
      </c>
      <c r="U163">
        <f t="shared" si="27"/>
        <v>12.140243229259259</v>
      </c>
      <c r="X163" s="9"/>
      <c r="Y163" s="21">
        <v>0.99960300000000002</v>
      </c>
      <c r="Z163" s="21">
        <v>15.9664</v>
      </c>
      <c r="AA163" s="21">
        <v>-1.43982E-2</v>
      </c>
      <c r="AB163" s="21">
        <v>153</v>
      </c>
      <c r="AC163" s="21">
        <v>0.99853499999999995</v>
      </c>
      <c r="AD163">
        <f t="shared" si="28"/>
        <v>17.775555555555556</v>
      </c>
      <c r="AE163">
        <f t="shared" si="29"/>
        <v>17.768498660000002</v>
      </c>
      <c r="AF163" s="9"/>
      <c r="AG163" s="21">
        <v>0.67047100000000004</v>
      </c>
      <c r="AH163" s="21">
        <v>19.725200000000001</v>
      </c>
      <c r="AI163" s="21">
        <v>-1.47797E-2</v>
      </c>
      <c r="AJ163" s="21">
        <v>153</v>
      </c>
      <c r="AK163" s="21">
        <v>0.66979999999999995</v>
      </c>
      <c r="AL163">
        <f t="shared" si="30"/>
        <v>18.246543209876542</v>
      </c>
      <c r="AM163">
        <f t="shared" si="31"/>
        <v>12.233778072469136</v>
      </c>
      <c r="AP163" s="9"/>
      <c r="AQ163" s="21">
        <v>0.99960300000000002</v>
      </c>
      <c r="AR163" s="21">
        <v>25.1676</v>
      </c>
      <c r="AS163" s="21">
        <v>-1.44104E-2</v>
      </c>
      <c r="AT163" s="21">
        <v>153</v>
      </c>
      <c r="AU163" s="21">
        <v>0.99822999999999995</v>
      </c>
      <c r="AV163">
        <f t="shared" si="32"/>
        <v>17.790617283950617</v>
      </c>
      <c r="AW163">
        <f t="shared" si="33"/>
        <v>17.783554408888889</v>
      </c>
      <c r="AX163" s="9"/>
      <c r="AY163" s="21">
        <v>0.67047100000000004</v>
      </c>
      <c r="AZ163" s="21">
        <v>28.926400000000001</v>
      </c>
      <c r="BA163" s="21">
        <v>-1.4776600000000001E-2</v>
      </c>
      <c r="BB163" s="21">
        <v>153</v>
      </c>
      <c r="BC163" s="21">
        <v>0.66979999999999995</v>
      </c>
      <c r="BD163">
        <f t="shared" si="34"/>
        <v>18.242716049382715</v>
      </c>
      <c r="BE163">
        <f t="shared" si="35"/>
        <v>12.231212072345679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0.99456800000000001</v>
      </c>
      <c r="H164" s="21">
        <v>6.7502599999999999</v>
      </c>
      <c r="I164" s="21">
        <v>-1.43433E-2</v>
      </c>
      <c r="J164" s="21">
        <v>154</v>
      </c>
      <c r="K164" s="21">
        <v>0.99426300000000001</v>
      </c>
      <c r="L164">
        <f t="shared" si="24"/>
        <v>17.707777777777778</v>
      </c>
      <c r="M164">
        <f t="shared" si="25"/>
        <v>17.611589128888891</v>
      </c>
      <c r="N164" s="9"/>
      <c r="O164" s="21">
        <v>0.67550699999999997</v>
      </c>
      <c r="P164" s="21">
        <v>10.509</v>
      </c>
      <c r="Q164" s="21">
        <v>-1.46667E-2</v>
      </c>
      <c r="R164" s="21">
        <v>154</v>
      </c>
      <c r="S164" s="21">
        <v>0.67486599999999997</v>
      </c>
      <c r="T164">
        <f t="shared" si="26"/>
        <v>18.107037037037035</v>
      </c>
      <c r="U164">
        <f t="shared" si="27"/>
        <v>12.231430267777776</v>
      </c>
      <c r="X164" s="9"/>
      <c r="Y164" s="21">
        <v>0.99456800000000001</v>
      </c>
      <c r="Z164" s="21">
        <v>15.9765</v>
      </c>
      <c r="AA164" s="21">
        <v>-1.43982E-2</v>
      </c>
      <c r="AB164" s="21">
        <v>154</v>
      </c>
      <c r="AC164" s="21">
        <v>0.99365199999999998</v>
      </c>
      <c r="AD164">
        <f t="shared" si="28"/>
        <v>17.775555555555556</v>
      </c>
      <c r="AE164">
        <f t="shared" si="29"/>
        <v>17.678998737777778</v>
      </c>
      <c r="AF164" s="9"/>
      <c r="AG164" s="21">
        <v>0.67550699999999997</v>
      </c>
      <c r="AH164" s="21">
        <v>19.735199999999999</v>
      </c>
      <c r="AI164" s="21">
        <v>-1.4776600000000001E-2</v>
      </c>
      <c r="AJ164" s="21">
        <v>154</v>
      </c>
      <c r="AK164" s="21">
        <v>0.67483499999999996</v>
      </c>
      <c r="AL164">
        <f t="shared" si="30"/>
        <v>18.242716049382715</v>
      </c>
      <c r="AM164">
        <f t="shared" si="31"/>
        <v>12.323082390370368</v>
      </c>
      <c r="AP164" s="9"/>
      <c r="AQ164" s="21">
        <v>0.99456800000000001</v>
      </c>
      <c r="AR164" s="21">
        <v>25.177700000000002</v>
      </c>
      <c r="AS164" s="21">
        <v>-1.4419599999999999E-2</v>
      </c>
      <c r="AT164" s="21">
        <v>154</v>
      </c>
      <c r="AU164" s="21">
        <v>0.99365199999999998</v>
      </c>
      <c r="AV164">
        <f t="shared" si="32"/>
        <v>17.801975308641975</v>
      </c>
      <c r="AW164">
        <f t="shared" si="33"/>
        <v>17.705274978765431</v>
      </c>
      <c r="AX164" s="9"/>
      <c r="AY164" s="21">
        <v>0.67550699999999997</v>
      </c>
      <c r="AZ164" s="21">
        <v>28.936499999999999</v>
      </c>
      <c r="BA164" s="21">
        <v>-1.4767499999999999E-2</v>
      </c>
      <c r="BB164" s="21">
        <v>154</v>
      </c>
      <c r="BC164" s="21">
        <v>0.67501800000000001</v>
      </c>
      <c r="BD164">
        <f t="shared" si="34"/>
        <v>18.231481481481481</v>
      </c>
      <c r="BE164">
        <f t="shared" si="35"/>
        <v>12.315493361111111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0.98953199999999997</v>
      </c>
      <c r="H165" s="21">
        <v>6.7603299999999997</v>
      </c>
      <c r="I165" s="21">
        <v>-1.43494E-2</v>
      </c>
      <c r="J165" s="21">
        <v>155</v>
      </c>
      <c r="K165" s="21">
        <v>0.98815900000000001</v>
      </c>
      <c r="L165">
        <f t="shared" si="24"/>
        <v>17.715308641975309</v>
      </c>
      <c r="M165">
        <f t="shared" si="25"/>
        <v>17.529864791111109</v>
      </c>
      <c r="N165" s="9"/>
      <c r="O165" s="21">
        <v>0.68054199999999998</v>
      </c>
      <c r="P165" s="21">
        <v>10.5191</v>
      </c>
      <c r="Q165" s="21">
        <v>-1.46637E-2</v>
      </c>
      <c r="R165" s="21">
        <v>155</v>
      </c>
      <c r="S165" s="21">
        <v>0.67990099999999998</v>
      </c>
      <c r="T165">
        <f t="shared" si="26"/>
        <v>18.103333333333332</v>
      </c>
      <c r="U165">
        <f t="shared" si="27"/>
        <v>12.320078673333333</v>
      </c>
      <c r="X165" s="9"/>
      <c r="Y165" s="21">
        <v>0.98953199999999997</v>
      </c>
      <c r="Z165" s="21">
        <v>15.986499999999999</v>
      </c>
      <c r="AA165" s="21">
        <v>-1.4395099999999999E-2</v>
      </c>
      <c r="AB165" s="21">
        <v>155</v>
      </c>
      <c r="AC165" s="21">
        <v>0.98877000000000004</v>
      </c>
      <c r="AD165">
        <f t="shared" si="28"/>
        <v>17.771728395061729</v>
      </c>
      <c r="AE165">
        <f t="shared" si="29"/>
        <v>17.585693942222221</v>
      </c>
      <c r="AF165" s="9"/>
      <c r="AG165" s="21">
        <v>0.68054199999999998</v>
      </c>
      <c r="AH165" s="21">
        <v>19.7453</v>
      </c>
      <c r="AI165" s="21">
        <v>-1.47736E-2</v>
      </c>
      <c r="AJ165" s="21">
        <v>155</v>
      </c>
      <c r="AK165" s="21">
        <v>0.67990099999999998</v>
      </c>
      <c r="AL165">
        <f t="shared" si="30"/>
        <v>18.239012345679011</v>
      </c>
      <c r="AM165">
        <f t="shared" si="31"/>
        <v>12.412413939753085</v>
      </c>
      <c r="AP165" s="9"/>
      <c r="AQ165" s="21">
        <v>0.98953199999999997</v>
      </c>
      <c r="AR165" s="21">
        <v>25.187799999999999</v>
      </c>
      <c r="AS165" s="21">
        <v>-1.4428699999999999E-2</v>
      </c>
      <c r="AT165" s="21">
        <v>155</v>
      </c>
      <c r="AU165" s="21">
        <v>0.98846400000000001</v>
      </c>
      <c r="AV165">
        <f t="shared" si="32"/>
        <v>17.813209876543205</v>
      </c>
      <c r="AW165">
        <f t="shared" si="33"/>
        <v>17.62674119555555</v>
      </c>
      <c r="AX165" s="9"/>
      <c r="AY165" s="21">
        <v>0.68054199999999998</v>
      </c>
      <c r="AZ165" s="21">
        <v>28.9465</v>
      </c>
      <c r="BA165" s="21">
        <v>-1.4761399999999999E-2</v>
      </c>
      <c r="BB165" s="21">
        <v>155</v>
      </c>
      <c r="BC165" s="21">
        <v>0.67990099999999998</v>
      </c>
      <c r="BD165">
        <f t="shared" si="34"/>
        <v>18.22395061728395</v>
      </c>
      <c r="BE165">
        <f t="shared" si="35"/>
        <v>12.402163800987655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0.98449699999999996</v>
      </c>
      <c r="H166" s="21">
        <v>6.7704000000000004</v>
      </c>
      <c r="I166" s="21">
        <v>-1.43585E-2</v>
      </c>
      <c r="J166" s="21">
        <v>156</v>
      </c>
      <c r="K166" s="21">
        <v>0.98388699999999996</v>
      </c>
      <c r="L166">
        <f t="shared" si="24"/>
        <v>17.726543209876542</v>
      </c>
      <c r="M166">
        <f t="shared" si="25"/>
        <v>17.451728610493827</v>
      </c>
      <c r="N166" s="9"/>
      <c r="O166" s="21">
        <v>0.68557699999999999</v>
      </c>
      <c r="P166" s="21">
        <v>10.529199999999999</v>
      </c>
      <c r="Q166" s="21">
        <v>-1.46698E-2</v>
      </c>
      <c r="R166" s="21">
        <v>156</v>
      </c>
      <c r="S166" s="21">
        <v>0.68490600000000001</v>
      </c>
      <c r="T166">
        <f t="shared" si="26"/>
        <v>18.110864197530866</v>
      </c>
      <c r="U166">
        <f t="shared" si="27"/>
        <v>12.416391943950618</v>
      </c>
      <c r="X166" s="9"/>
      <c r="Y166" s="21">
        <v>0.98449699999999996</v>
      </c>
      <c r="Z166" s="21">
        <v>15.996600000000001</v>
      </c>
      <c r="AA166" s="21">
        <v>-1.43982E-2</v>
      </c>
      <c r="AB166" s="21">
        <v>156</v>
      </c>
      <c r="AC166" s="21">
        <v>0.98327600000000004</v>
      </c>
      <c r="AD166">
        <f t="shared" si="28"/>
        <v>17.775555555555556</v>
      </c>
      <c r="AE166">
        <f t="shared" si="29"/>
        <v>17.499981117777779</v>
      </c>
      <c r="AF166" s="9"/>
      <c r="AG166" s="21">
        <v>0.68557699999999999</v>
      </c>
      <c r="AH166" s="21">
        <v>19.755400000000002</v>
      </c>
      <c r="AI166" s="21">
        <v>-1.4770500000000001E-2</v>
      </c>
      <c r="AJ166" s="21">
        <v>156</v>
      </c>
      <c r="AK166" s="21">
        <v>0.68493700000000002</v>
      </c>
      <c r="AL166">
        <f t="shared" si="30"/>
        <v>18.235185185185184</v>
      </c>
      <c r="AM166">
        <f t="shared" si="31"/>
        <v>12.501623553703702</v>
      </c>
      <c r="AP166" s="9"/>
      <c r="AQ166" s="21">
        <v>0.98449699999999996</v>
      </c>
      <c r="AR166" s="21">
        <v>25.197800000000001</v>
      </c>
      <c r="AS166" s="21">
        <v>-1.4428699999999999E-2</v>
      </c>
      <c r="AT166" s="21">
        <v>156</v>
      </c>
      <c r="AU166" s="21">
        <v>0.98388699999999996</v>
      </c>
      <c r="AV166">
        <f t="shared" si="32"/>
        <v>17.813209876543205</v>
      </c>
      <c r="AW166">
        <f t="shared" si="33"/>
        <v>17.537051683827155</v>
      </c>
      <c r="AX166" s="9"/>
      <c r="AY166" s="21">
        <v>0.68557699999999999</v>
      </c>
      <c r="AZ166" s="21">
        <v>28.956600000000002</v>
      </c>
      <c r="BA166" s="21">
        <v>-1.47583E-2</v>
      </c>
      <c r="BB166" s="21">
        <v>156</v>
      </c>
      <c r="BC166" s="21">
        <v>0.684998</v>
      </c>
      <c r="BD166">
        <f t="shared" si="34"/>
        <v>18.22012345679012</v>
      </c>
      <c r="BE166">
        <f t="shared" si="35"/>
        <v>12.4912975791358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0.97946200000000005</v>
      </c>
      <c r="H167" s="21">
        <v>6.7804700000000002</v>
      </c>
      <c r="I167" s="21">
        <v>-1.4367700000000001E-2</v>
      </c>
      <c r="J167" s="21">
        <v>157</v>
      </c>
      <c r="K167" s="21">
        <v>0.97869899999999999</v>
      </c>
      <c r="L167">
        <f t="shared" si="24"/>
        <v>17.7379012345679</v>
      </c>
      <c r="M167">
        <f t="shared" si="25"/>
        <v>17.373600219012346</v>
      </c>
      <c r="N167" s="9"/>
      <c r="O167" s="21">
        <v>0.69061300000000003</v>
      </c>
      <c r="P167" s="21">
        <v>10.539199999999999</v>
      </c>
      <c r="Q167" s="21">
        <v>-1.4672899999999999E-2</v>
      </c>
      <c r="R167" s="21">
        <v>157</v>
      </c>
      <c r="S167" s="21">
        <v>0.68997200000000003</v>
      </c>
      <c r="T167">
        <f t="shared" si="26"/>
        <v>18.11469135802469</v>
      </c>
      <c r="U167">
        <f t="shared" si="27"/>
        <v>12.510241342839505</v>
      </c>
      <c r="X167" s="9"/>
      <c r="Y167" s="21">
        <v>0.97946200000000005</v>
      </c>
      <c r="Z167" s="21">
        <v>16.006699999999999</v>
      </c>
      <c r="AA167" s="21">
        <v>-1.44073E-2</v>
      </c>
      <c r="AB167" s="21">
        <v>157</v>
      </c>
      <c r="AC167" s="21">
        <v>0.97869899999999999</v>
      </c>
      <c r="AD167">
        <f t="shared" si="28"/>
        <v>17.78679012345679</v>
      </c>
      <c r="AE167">
        <f t="shared" si="29"/>
        <v>17.421485027901234</v>
      </c>
      <c r="AF167" s="9"/>
      <c r="AG167" s="21">
        <v>0.69061300000000003</v>
      </c>
      <c r="AH167" s="21">
        <v>19.7654</v>
      </c>
      <c r="AI167" s="21">
        <v>-1.47736E-2</v>
      </c>
      <c r="AJ167" s="21">
        <v>157</v>
      </c>
      <c r="AK167" s="21">
        <v>0.690002</v>
      </c>
      <c r="AL167">
        <f t="shared" si="30"/>
        <v>18.239012345679011</v>
      </c>
      <c r="AM167">
        <f t="shared" si="31"/>
        <v>12.59609903308642</v>
      </c>
      <c r="AP167" s="9"/>
      <c r="AQ167" s="21">
        <v>0.97946200000000005</v>
      </c>
      <c r="AR167" s="21">
        <v>25.207899999999999</v>
      </c>
      <c r="AS167" s="21">
        <v>-1.4434799999999999E-2</v>
      </c>
      <c r="AT167" s="21">
        <v>157</v>
      </c>
      <c r="AU167" s="21">
        <v>0.97900399999999999</v>
      </c>
      <c r="AV167">
        <f t="shared" si="32"/>
        <v>17.820740740740739</v>
      </c>
      <c r="AW167">
        <f t="shared" si="33"/>
        <v>17.454738367407405</v>
      </c>
      <c r="AX167" s="9"/>
      <c r="AY167" s="21">
        <v>0.69061300000000003</v>
      </c>
      <c r="AZ167" s="21">
        <v>28.966699999999999</v>
      </c>
      <c r="BA167" s="21">
        <v>-1.4761399999999999E-2</v>
      </c>
      <c r="BB167" s="21">
        <v>157</v>
      </c>
      <c r="BC167" s="21">
        <v>0.68994100000000003</v>
      </c>
      <c r="BD167">
        <f t="shared" si="34"/>
        <v>18.22395061728395</v>
      </c>
      <c r="BE167">
        <f t="shared" si="35"/>
        <v>12.585697207654322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0.97442600000000001</v>
      </c>
      <c r="H168" s="21">
        <v>6.79054</v>
      </c>
      <c r="I168" s="21">
        <v>-1.4373800000000001E-2</v>
      </c>
      <c r="J168" s="21">
        <v>158</v>
      </c>
      <c r="K168" s="21">
        <v>0.97381600000000001</v>
      </c>
      <c r="L168">
        <f t="shared" si="24"/>
        <v>17.745432098765431</v>
      </c>
      <c r="M168">
        <f t="shared" si="25"/>
        <v>17.291610418271603</v>
      </c>
      <c r="N168" s="9"/>
      <c r="O168" s="21">
        <v>0.69564800000000004</v>
      </c>
      <c r="P168" s="21">
        <v>10.549300000000001</v>
      </c>
      <c r="Q168" s="21">
        <v>-1.4678999999999999E-2</v>
      </c>
      <c r="R168" s="21">
        <v>158</v>
      </c>
      <c r="S168" s="21">
        <v>0.69503800000000004</v>
      </c>
      <c r="T168">
        <f t="shared" si="26"/>
        <v>18.12222222222222</v>
      </c>
      <c r="U168">
        <f t="shared" si="27"/>
        <v>12.606687644444444</v>
      </c>
      <c r="X168" s="9"/>
      <c r="Y168" s="21">
        <v>0.97442600000000001</v>
      </c>
      <c r="Z168" s="21">
        <v>16.0168</v>
      </c>
      <c r="AA168" s="21">
        <v>-1.4422600000000001E-2</v>
      </c>
      <c r="AB168" s="21">
        <v>158</v>
      </c>
      <c r="AC168" s="21">
        <v>0.97351100000000002</v>
      </c>
      <c r="AD168">
        <f t="shared" si="28"/>
        <v>17.805679012345678</v>
      </c>
      <c r="AE168">
        <f t="shared" si="29"/>
        <v>17.350316577283948</v>
      </c>
      <c r="AF168" s="9"/>
      <c r="AG168" s="21">
        <v>0.69564800000000004</v>
      </c>
      <c r="AH168" s="21">
        <v>19.775500000000001</v>
      </c>
      <c r="AI168" s="21">
        <v>-1.47736E-2</v>
      </c>
      <c r="AJ168" s="21">
        <v>158</v>
      </c>
      <c r="AK168" s="21">
        <v>0.69497699999999996</v>
      </c>
      <c r="AL168">
        <f t="shared" si="30"/>
        <v>18.239012345679011</v>
      </c>
      <c r="AM168">
        <f t="shared" si="31"/>
        <v>12.687932460246914</v>
      </c>
      <c r="AP168" s="9"/>
      <c r="AQ168" s="21">
        <v>0.97442600000000001</v>
      </c>
      <c r="AR168" s="21">
        <v>25.218</v>
      </c>
      <c r="AS168" s="21">
        <v>-1.4444E-2</v>
      </c>
      <c r="AT168" s="21">
        <v>158</v>
      </c>
      <c r="AU168" s="21">
        <v>0.97320600000000002</v>
      </c>
      <c r="AV168">
        <f t="shared" si="32"/>
        <v>17.832098765432097</v>
      </c>
      <c r="AW168">
        <f t="shared" si="33"/>
        <v>17.376060671604936</v>
      </c>
      <c r="AX168" s="9"/>
      <c r="AY168" s="21">
        <v>0.69564800000000004</v>
      </c>
      <c r="AZ168" s="21">
        <v>28.976700000000001</v>
      </c>
      <c r="BA168" s="21">
        <v>-1.47583E-2</v>
      </c>
      <c r="BB168" s="21">
        <v>158</v>
      </c>
      <c r="BC168" s="21">
        <v>0.69506800000000002</v>
      </c>
      <c r="BD168">
        <f t="shared" si="34"/>
        <v>18.22012345679012</v>
      </c>
      <c r="BE168">
        <f t="shared" si="35"/>
        <v>12.674792442469133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0.969391</v>
      </c>
      <c r="H169" s="21">
        <v>6.8006099999999998</v>
      </c>
      <c r="I169" s="21">
        <v>-1.4385999999999999E-2</v>
      </c>
      <c r="J169" s="21">
        <v>159</v>
      </c>
      <c r="K169" s="21">
        <v>0.96862800000000004</v>
      </c>
      <c r="L169">
        <f t="shared" si="24"/>
        <v>17.760493827160492</v>
      </c>
      <c r="M169">
        <f t="shared" si="25"/>
        <v>17.216862871604935</v>
      </c>
      <c r="N169" s="9"/>
      <c r="O169" s="21">
        <v>0.70068399999999997</v>
      </c>
      <c r="P169" s="21">
        <v>10.5594</v>
      </c>
      <c r="Q169" s="21">
        <v>-1.4682000000000001E-2</v>
      </c>
      <c r="R169" s="21">
        <v>159</v>
      </c>
      <c r="S169" s="21">
        <v>0.69998199999999999</v>
      </c>
      <c r="T169">
        <f t="shared" si="26"/>
        <v>18.125925925925923</v>
      </c>
      <c r="U169">
        <f t="shared" si="27"/>
        <v>12.700546281481479</v>
      </c>
      <c r="X169" s="9"/>
      <c r="Y169" s="21">
        <v>0.969391</v>
      </c>
      <c r="Z169" s="21">
        <v>16.026800000000001</v>
      </c>
      <c r="AA169" s="21">
        <v>-1.44379E-2</v>
      </c>
      <c r="AB169" s="21">
        <v>159</v>
      </c>
      <c r="AC169" s="21">
        <v>0.96801800000000005</v>
      </c>
      <c r="AD169">
        <f t="shared" si="28"/>
        <v>17.824567901234566</v>
      </c>
      <c r="AE169">
        <f t="shared" si="29"/>
        <v>17.278975702345676</v>
      </c>
      <c r="AF169" s="9"/>
      <c r="AG169" s="21">
        <v>0.70068399999999997</v>
      </c>
      <c r="AH169" s="21">
        <v>19.785599999999999</v>
      </c>
      <c r="AI169" s="21">
        <v>-1.4776600000000001E-2</v>
      </c>
      <c r="AJ169" s="21">
        <v>159</v>
      </c>
      <c r="AK169" s="21">
        <v>0.70004299999999997</v>
      </c>
      <c r="AL169">
        <f t="shared" si="30"/>
        <v>18.242716049382715</v>
      </c>
      <c r="AM169">
        <f t="shared" si="31"/>
        <v>12.782379252345677</v>
      </c>
      <c r="AP169" s="9"/>
      <c r="AQ169" s="21">
        <v>0.969391</v>
      </c>
      <c r="AR169" s="21">
        <v>25.228100000000001</v>
      </c>
      <c r="AS169" s="21">
        <v>-1.44531E-2</v>
      </c>
      <c r="AT169" s="21">
        <v>159</v>
      </c>
      <c r="AU169" s="21">
        <v>0.96862800000000004</v>
      </c>
      <c r="AV169">
        <f t="shared" si="32"/>
        <v>17.843333333333334</v>
      </c>
      <c r="AW169">
        <f t="shared" si="33"/>
        <v>17.297166743333335</v>
      </c>
      <c r="AX169" s="9"/>
      <c r="AY169" s="21">
        <v>0.70068399999999997</v>
      </c>
      <c r="AZ169" s="21">
        <v>28.986799999999999</v>
      </c>
      <c r="BA169" s="21">
        <v>-1.47552E-2</v>
      </c>
      <c r="BB169" s="21">
        <v>159</v>
      </c>
      <c r="BC169" s="21">
        <v>0.70010399999999995</v>
      </c>
      <c r="BD169">
        <f t="shared" si="34"/>
        <v>18.216296296296292</v>
      </c>
      <c r="BE169">
        <f t="shared" si="35"/>
        <v>12.763867354074071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0.96435499999999996</v>
      </c>
      <c r="H170" s="21">
        <v>6.8106799999999996</v>
      </c>
      <c r="I170" s="21">
        <v>-1.43982E-2</v>
      </c>
      <c r="J170" s="21">
        <v>160</v>
      </c>
      <c r="K170" s="21">
        <v>0.96343999999999996</v>
      </c>
      <c r="L170">
        <f t="shared" si="24"/>
        <v>17.775555555555556</v>
      </c>
      <c r="M170">
        <f t="shared" si="25"/>
        <v>17.141945877777779</v>
      </c>
      <c r="N170" s="9"/>
      <c r="O170" s="21">
        <v>0.70571899999999999</v>
      </c>
      <c r="P170" s="21">
        <v>10.5694</v>
      </c>
      <c r="Q170" s="21">
        <v>-1.4678999999999999E-2</v>
      </c>
      <c r="R170" s="21">
        <v>160</v>
      </c>
      <c r="S170" s="21">
        <v>0.70520000000000005</v>
      </c>
      <c r="T170">
        <f t="shared" si="26"/>
        <v>18.12222222222222</v>
      </c>
      <c r="U170">
        <f t="shared" si="27"/>
        <v>12.789196544444442</v>
      </c>
      <c r="X170" s="9"/>
      <c r="Y170" s="21">
        <v>0.96435499999999996</v>
      </c>
      <c r="Z170" s="21">
        <v>16.036899999999999</v>
      </c>
      <c r="AA170" s="21">
        <v>-1.44501E-2</v>
      </c>
      <c r="AB170" s="21">
        <v>160</v>
      </c>
      <c r="AC170" s="21">
        <v>0.96374499999999996</v>
      </c>
      <c r="AD170">
        <f t="shared" si="28"/>
        <v>17.839629629629631</v>
      </c>
      <c r="AE170">
        <f t="shared" si="29"/>
        <v>17.203736031481483</v>
      </c>
      <c r="AF170" s="9"/>
      <c r="AG170" s="21">
        <v>0.70571899999999999</v>
      </c>
      <c r="AH170" s="21">
        <v>19.7957</v>
      </c>
      <c r="AI170" s="21">
        <v>-1.4767499999999999E-2</v>
      </c>
      <c r="AJ170" s="21">
        <v>160</v>
      </c>
      <c r="AK170" s="21">
        <v>0.70513899999999996</v>
      </c>
      <c r="AL170">
        <f t="shared" si="30"/>
        <v>18.231481481481481</v>
      </c>
      <c r="AM170">
        <f t="shared" si="31"/>
        <v>12.866302879629629</v>
      </c>
      <c r="AP170" s="9"/>
      <c r="AQ170" s="21">
        <v>0.96435499999999996</v>
      </c>
      <c r="AR170" s="21">
        <v>25.238099999999999</v>
      </c>
      <c r="AS170" s="21">
        <v>-1.4462300000000001E-2</v>
      </c>
      <c r="AT170" s="21">
        <v>160</v>
      </c>
      <c r="AU170" s="21">
        <v>0.96374499999999996</v>
      </c>
      <c r="AV170">
        <f t="shared" si="32"/>
        <v>17.854691358024692</v>
      </c>
      <c r="AW170">
        <f t="shared" si="33"/>
        <v>17.218260884567901</v>
      </c>
      <c r="AX170" s="9"/>
      <c r="AY170" s="21">
        <v>0.70571899999999999</v>
      </c>
      <c r="AZ170" s="21">
        <v>28.9969</v>
      </c>
      <c r="BA170" s="21">
        <v>-1.4742999999999999E-2</v>
      </c>
      <c r="BB170" s="21">
        <v>160</v>
      </c>
      <c r="BC170" s="21">
        <v>0.70513899999999996</v>
      </c>
      <c r="BD170">
        <f t="shared" si="34"/>
        <v>18.201234567901235</v>
      </c>
      <c r="BE170">
        <f t="shared" si="35"/>
        <v>12.844957058024692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0.95931999999999995</v>
      </c>
      <c r="H171" s="21">
        <v>6.8207500000000003</v>
      </c>
      <c r="I171" s="21">
        <v>-1.4413499999999999E-2</v>
      </c>
      <c r="J171" s="21">
        <v>161</v>
      </c>
      <c r="K171" s="21">
        <v>0.95794699999999999</v>
      </c>
      <c r="L171">
        <f t="shared" si="24"/>
        <v>17.794444444444444</v>
      </c>
      <c r="M171">
        <f t="shared" si="25"/>
        <v>17.070566444444445</v>
      </c>
      <c r="N171" s="9"/>
      <c r="O171" s="21">
        <v>0.710754</v>
      </c>
      <c r="P171" s="21">
        <v>10.579499999999999</v>
      </c>
      <c r="Q171" s="21">
        <v>-1.4678999999999999E-2</v>
      </c>
      <c r="R171" s="21">
        <v>161</v>
      </c>
      <c r="S171" s="21">
        <v>0.710144</v>
      </c>
      <c r="T171">
        <f t="shared" si="26"/>
        <v>18.12222222222222</v>
      </c>
      <c r="U171">
        <f t="shared" si="27"/>
        <v>12.880441933333332</v>
      </c>
      <c r="X171" s="9"/>
      <c r="Y171" s="21">
        <v>0.95931999999999995</v>
      </c>
      <c r="Z171" s="21">
        <v>16.047000000000001</v>
      </c>
      <c r="AA171" s="21">
        <v>-1.44592E-2</v>
      </c>
      <c r="AB171" s="21">
        <v>161</v>
      </c>
      <c r="AC171" s="21">
        <v>0.95855699999999999</v>
      </c>
      <c r="AD171">
        <f t="shared" si="28"/>
        <v>17.850864197530864</v>
      </c>
      <c r="AE171">
        <f t="shared" si="29"/>
        <v>17.124691041975307</v>
      </c>
      <c r="AF171" s="9"/>
      <c r="AG171" s="21">
        <v>0.710754</v>
      </c>
      <c r="AH171" s="21">
        <v>19.805700000000002</v>
      </c>
      <c r="AI171" s="21">
        <v>-1.4761399999999999E-2</v>
      </c>
      <c r="AJ171" s="21">
        <v>161</v>
      </c>
      <c r="AK171" s="21">
        <v>0.71008300000000002</v>
      </c>
      <c r="AL171">
        <f t="shared" si="30"/>
        <v>18.22395061728395</v>
      </c>
      <c r="AM171">
        <f t="shared" si="31"/>
        <v>12.952745797037037</v>
      </c>
      <c r="AP171" s="9"/>
      <c r="AQ171" s="21">
        <v>0.95931999999999995</v>
      </c>
      <c r="AR171" s="21">
        <v>25.248200000000001</v>
      </c>
      <c r="AS171" s="21">
        <v>-1.4462300000000001E-2</v>
      </c>
      <c r="AT171" s="21">
        <v>161</v>
      </c>
      <c r="AU171" s="21">
        <v>0.95825199999999999</v>
      </c>
      <c r="AV171">
        <f t="shared" si="32"/>
        <v>17.854691358024692</v>
      </c>
      <c r="AW171">
        <f t="shared" si="33"/>
        <v>17.128362513580246</v>
      </c>
      <c r="AX171" s="9"/>
      <c r="AY171" s="21">
        <v>0.710754</v>
      </c>
      <c r="AZ171" s="21">
        <v>29.007000000000001</v>
      </c>
      <c r="BA171" s="21">
        <v>-1.47308E-2</v>
      </c>
      <c r="BB171" s="21">
        <v>161</v>
      </c>
      <c r="BC171" s="21">
        <v>0.71011400000000002</v>
      </c>
      <c r="BD171">
        <f t="shared" si="34"/>
        <v>18.186172839506174</v>
      </c>
      <c r="BE171">
        <f t="shared" si="35"/>
        <v>12.925895090370371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0.95428500000000005</v>
      </c>
      <c r="H172" s="21">
        <v>6.8308200000000001</v>
      </c>
      <c r="I172" s="21">
        <v>-1.44165E-2</v>
      </c>
      <c r="J172" s="21">
        <v>162</v>
      </c>
      <c r="K172" s="21">
        <v>0.95306400000000002</v>
      </c>
      <c r="L172">
        <f t="shared" si="24"/>
        <v>17.798148148148147</v>
      </c>
      <c r="M172">
        <f t="shared" si="25"/>
        <v>16.984505805555557</v>
      </c>
      <c r="N172" s="9"/>
      <c r="O172" s="21">
        <v>0.71579000000000004</v>
      </c>
      <c r="P172" s="21">
        <v>10.589600000000001</v>
      </c>
      <c r="Q172" s="21">
        <v>-1.46759E-2</v>
      </c>
      <c r="R172" s="21">
        <v>162</v>
      </c>
      <c r="S172" s="21">
        <v>0.71517900000000001</v>
      </c>
      <c r="T172">
        <f t="shared" si="26"/>
        <v>18.118395061728396</v>
      </c>
      <c r="U172">
        <f t="shared" si="27"/>
        <v>12.96896600123457</v>
      </c>
      <c r="X172" s="9"/>
      <c r="Y172" s="21">
        <v>0.95428500000000005</v>
      </c>
      <c r="Z172" s="21">
        <v>16.056999999999999</v>
      </c>
      <c r="AA172" s="21">
        <v>-1.4471400000000001E-2</v>
      </c>
      <c r="AB172" s="21">
        <v>162</v>
      </c>
      <c r="AC172" s="21">
        <v>0.95245400000000002</v>
      </c>
      <c r="AD172">
        <f t="shared" si="28"/>
        <v>17.865925925925925</v>
      </c>
      <c r="AE172">
        <f t="shared" si="29"/>
        <v>17.049185122222223</v>
      </c>
      <c r="AF172" s="9"/>
      <c r="AG172" s="21">
        <v>0.71579000000000004</v>
      </c>
      <c r="AH172" s="21">
        <v>19.815799999999999</v>
      </c>
      <c r="AI172" s="21">
        <v>-1.4749099999999999E-2</v>
      </c>
      <c r="AJ172" s="21">
        <v>162</v>
      </c>
      <c r="AK172" s="21">
        <v>0.71527099999999999</v>
      </c>
      <c r="AL172">
        <f t="shared" si="30"/>
        <v>18.208765432098765</v>
      </c>
      <c r="AM172">
        <f t="shared" si="31"/>
        <v>13.033652208641977</v>
      </c>
      <c r="AP172" s="9"/>
      <c r="AQ172" s="21">
        <v>0.95428500000000005</v>
      </c>
      <c r="AR172" s="21">
        <v>25.258299999999998</v>
      </c>
      <c r="AS172" s="21">
        <v>-1.44653E-2</v>
      </c>
      <c r="AT172" s="21">
        <v>162</v>
      </c>
      <c r="AU172" s="21">
        <v>0.95367400000000002</v>
      </c>
      <c r="AV172">
        <f t="shared" si="32"/>
        <v>17.858395061728395</v>
      </c>
      <c r="AW172">
        <f t="shared" si="33"/>
        <v>17.041998531481482</v>
      </c>
      <c r="AX172" s="9"/>
      <c r="AY172" s="21">
        <v>0.71579000000000004</v>
      </c>
      <c r="AZ172" s="21">
        <v>29.016999999999999</v>
      </c>
      <c r="BA172" s="21">
        <v>-1.4715600000000001E-2</v>
      </c>
      <c r="BB172" s="21">
        <v>162</v>
      </c>
      <c r="BC172" s="21">
        <v>0.71521000000000001</v>
      </c>
      <c r="BD172">
        <f t="shared" si="34"/>
        <v>18.167407407407406</v>
      </c>
      <c r="BE172">
        <f t="shared" si="35"/>
        <v>13.004048548148148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0.94924900000000001</v>
      </c>
      <c r="H173" s="21">
        <v>6.8409000000000004</v>
      </c>
      <c r="I173" s="21">
        <v>-1.4413499999999999E-2</v>
      </c>
      <c r="J173" s="21">
        <v>163</v>
      </c>
      <c r="K173" s="21">
        <v>0.94848600000000005</v>
      </c>
      <c r="L173">
        <f t="shared" si="24"/>
        <v>17.794444444444444</v>
      </c>
      <c r="M173">
        <f t="shared" si="25"/>
        <v>16.891358594444444</v>
      </c>
      <c r="N173" s="9"/>
      <c r="O173" s="21">
        <v>0.72082500000000005</v>
      </c>
      <c r="P173" s="21">
        <v>10.5997</v>
      </c>
      <c r="Q173" s="21">
        <v>-1.4678999999999999E-2</v>
      </c>
      <c r="R173" s="21">
        <v>163</v>
      </c>
      <c r="S173" s="21">
        <v>0.72015399999999996</v>
      </c>
      <c r="T173">
        <f t="shared" si="26"/>
        <v>18.12222222222222</v>
      </c>
      <c r="U173">
        <f t="shared" si="27"/>
        <v>13.062950833333332</v>
      </c>
      <c r="X173" s="9"/>
      <c r="Y173" s="21">
        <v>0.94924900000000001</v>
      </c>
      <c r="Z173" s="21">
        <v>16.0671</v>
      </c>
      <c r="AA173" s="21">
        <v>-1.44867E-2</v>
      </c>
      <c r="AB173" s="21">
        <v>163</v>
      </c>
      <c r="AC173" s="21">
        <v>0.94787600000000005</v>
      </c>
      <c r="AD173">
        <f t="shared" si="28"/>
        <v>17.884814814814817</v>
      </c>
      <c r="AE173">
        <f t="shared" si="29"/>
        <v>16.97714257814815</v>
      </c>
      <c r="AF173" s="9"/>
      <c r="AG173" s="21">
        <v>0.72082500000000005</v>
      </c>
      <c r="AH173" s="21">
        <v>19.825900000000001</v>
      </c>
      <c r="AI173" s="21">
        <v>-1.47461E-2</v>
      </c>
      <c r="AJ173" s="21">
        <v>163</v>
      </c>
      <c r="AK173" s="21">
        <v>0.72024500000000002</v>
      </c>
      <c r="AL173">
        <f t="shared" si="30"/>
        <v>18.205061728395062</v>
      </c>
      <c r="AM173">
        <f t="shared" si="31"/>
        <v>13.122663620370371</v>
      </c>
      <c r="AP173" s="9"/>
      <c r="AQ173" s="21">
        <v>0.94924900000000001</v>
      </c>
      <c r="AR173" s="21">
        <v>25.2683</v>
      </c>
      <c r="AS173" s="21">
        <v>-1.4468399999999999E-2</v>
      </c>
      <c r="AT173" s="21">
        <v>163</v>
      </c>
      <c r="AU173" s="21">
        <v>0.94848600000000005</v>
      </c>
      <c r="AV173">
        <f t="shared" si="32"/>
        <v>17.862222222222222</v>
      </c>
      <c r="AW173">
        <f t="shared" si="33"/>
        <v>16.955696582222224</v>
      </c>
      <c r="AX173" s="9"/>
      <c r="AY173" s="21">
        <v>0.72082500000000005</v>
      </c>
      <c r="AZ173" s="21">
        <v>29.027100000000001</v>
      </c>
      <c r="BA173" s="21">
        <v>-1.47034E-2</v>
      </c>
      <c r="BB173" s="21">
        <v>163</v>
      </c>
      <c r="BC173" s="21">
        <v>0.72018400000000005</v>
      </c>
      <c r="BD173">
        <f t="shared" si="34"/>
        <v>18.152345679012342</v>
      </c>
      <c r="BE173">
        <f t="shared" si="35"/>
        <v>13.084664574074072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0.944214</v>
      </c>
      <c r="H174" s="21">
        <v>6.8509700000000002</v>
      </c>
      <c r="I174" s="21">
        <v>-1.44165E-2</v>
      </c>
      <c r="J174" s="21">
        <v>164</v>
      </c>
      <c r="K174" s="21">
        <v>0.943604</v>
      </c>
      <c r="L174">
        <f t="shared" si="24"/>
        <v>17.798148148148147</v>
      </c>
      <c r="M174">
        <f t="shared" si="25"/>
        <v>16.805260655555553</v>
      </c>
      <c r="N174" s="9"/>
      <c r="O174" s="21">
        <v>0.72586099999999998</v>
      </c>
      <c r="P174" s="21">
        <v>10.6097</v>
      </c>
      <c r="Q174" s="21">
        <v>-1.4678999999999999E-2</v>
      </c>
      <c r="R174" s="21">
        <v>164</v>
      </c>
      <c r="S174" s="21">
        <v>0.72534200000000004</v>
      </c>
      <c r="T174">
        <f t="shared" si="26"/>
        <v>18.12222222222222</v>
      </c>
      <c r="U174">
        <f t="shared" si="27"/>
        <v>13.154214344444442</v>
      </c>
      <c r="X174" s="9"/>
      <c r="Y174" s="21">
        <v>0.944214</v>
      </c>
      <c r="Z174" s="21">
        <v>16.077200000000001</v>
      </c>
      <c r="AA174" s="21">
        <v>-1.44958E-2</v>
      </c>
      <c r="AB174" s="21">
        <v>164</v>
      </c>
      <c r="AC174" s="21">
        <v>0.94329799999999997</v>
      </c>
      <c r="AD174">
        <f t="shared" si="28"/>
        <v>17.896049382716047</v>
      </c>
      <c r="AE174">
        <f t="shared" si="29"/>
        <v>16.897700371851851</v>
      </c>
      <c r="AF174" s="9"/>
      <c r="AG174" s="21">
        <v>0.72586099999999998</v>
      </c>
      <c r="AH174" s="21">
        <v>19.835899999999999</v>
      </c>
      <c r="AI174" s="21">
        <v>-1.47461E-2</v>
      </c>
      <c r="AJ174" s="21">
        <v>164</v>
      </c>
      <c r="AK174" s="21">
        <v>0.725159</v>
      </c>
      <c r="AL174">
        <f t="shared" si="30"/>
        <v>18.205061728395062</v>
      </c>
      <c r="AM174">
        <f t="shared" si="31"/>
        <v>13.214344311234568</v>
      </c>
      <c r="AP174" s="9"/>
      <c r="AQ174" s="21">
        <v>0.944214</v>
      </c>
      <c r="AR174" s="21">
        <v>25.278400000000001</v>
      </c>
      <c r="AS174" s="21">
        <v>-1.44745E-2</v>
      </c>
      <c r="AT174" s="21">
        <v>164</v>
      </c>
      <c r="AU174" s="21">
        <v>0.94299299999999997</v>
      </c>
      <c r="AV174">
        <f t="shared" si="32"/>
        <v>17.869753086419752</v>
      </c>
      <c r="AW174">
        <f t="shared" si="33"/>
        <v>16.872871040740741</v>
      </c>
      <c r="AX174" s="9"/>
      <c r="AY174" s="21">
        <v>0.72586099999999998</v>
      </c>
      <c r="AZ174" s="21">
        <v>29.037199999999999</v>
      </c>
      <c r="BA174" s="21">
        <v>-1.4700299999999999E-2</v>
      </c>
      <c r="BB174" s="21">
        <v>164</v>
      </c>
      <c r="BC174" s="21">
        <v>0.72528099999999995</v>
      </c>
      <c r="BD174">
        <f t="shared" si="34"/>
        <v>18.148518518518514</v>
      </c>
      <c r="BE174">
        <f t="shared" si="35"/>
        <v>13.173301800370368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0.93917799999999996</v>
      </c>
      <c r="H175" s="21">
        <v>6.86104</v>
      </c>
      <c r="I175" s="21">
        <v>-1.44257E-2</v>
      </c>
      <c r="J175" s="21">
        <v>165</v>
      </c>
      <c r="K175" s="21">
        <v>0.93902600000000003</v>
      </c>
      <c r="L175">
        <f t="shared" si="24"/>
        <v>17.809506172839505</v>
      </c>
      <c r="M175">
        <f t="shared" si="25"/>
        <v>16.72629638839506</v>
      </c>
      <c r="N175" s="9"/>
      <c r="O175" s="21">
        <v>0.73089599999999999</v>
      </c>
      <c r="P175" s="21">
        <v>10.6198</v>
      </c>
      <c r="Q175" s="21">
        <v>-1.46759E-2</v>
      </c>
      <c r="R175" s="21">
        <v>165</v>
      </c>
      <c r="S175" s="21">
        <v>0.73028599999999999</v>
      </c>
      <c r="T175">
        <f t="shared" si="26"/>
        <v>18.118395061728396</v>
      </c>
      <c r="U175">
        <f t="shared" si="27"/>
        <v>13.242662477037038</v>
      </c>
      <c r="X175" s="9"/>
      <c r="Y175" s="21">
        <v>0.93917799999999996</v>
      </c>
      <c r="Z175" s="21">
        <v>16.087299999999999</v>
      </c>
      <c r="AA175" s="21">
        <v>-1.4501999999999999E-2</v>
      </c>
      <c r="AB175" s="21">
        <v>165</v>
      </c>
      <c r="AC175" s="21">
        <v>0.93872100000000003</v>
      </c>
      <c r="AD175">
        <f t="shared" si="28"/>
        <v>17.903703703703702</v>
      </c>
      <c r="AE175">
        <f t="shared" si="29"/>
        <v>16.814764637037033</v>
      </c>
      <c r="AF175" s="9"/>
      <c r="AG175" s="21">
        <v>0.73089599999999999</v>
      </c>
      <c r="AH175" s="21">
        <v>19.846</v>
      </c>
      <c r="AI175" s="21">
        <v>-1.4742999999999999E-2</v>
      </c>
      <c r="AJ175" s="21">
        <v>165</v>
      </c>
      <c r="AK175" s="21">
        <v>0.73019400000000001</v>
      </c>
      <c r="AL175">
        <f t="shared" si="30"/>
        <v>18.201234567901235</v>
      </c>
      <c r="AM175">
        <f t="shared" si="31"/>
        <v>13.30320954074074</v>
      </c>
      <c r="AP175" s="9"/>
      <c r="AQ175" s="21">
        <v>0.93917799999999996</v>
      </c>
      <c r="AR175" s="21">
        <v>25.288499999999999</v>
      </c>
      <c r="AS175" s="21">
        <v>-1.4483599999999999E-2</v>
      </c>
      <c r="AT175" s="21">
        <v>165</v>
      </c>
      <c r="AU175" s="21">
        <v>0.93811</v>
      </c>
      <c r="AV175">
        <f t="shared" si="32"/>
        <v>17.880987654320986</v>
      </c>
      <c r="AW175">
        <f t="shared" si="33"/>
        <v>16.793430223209874</v>
      </c>
      <c r="AX175" s="9"/>
      <c r="AY175" s="21">
        <v>0.73089599999999999</v>
      </c>
      <c r="AZ175" s="21">
        <v>29.0472</v>
      </c>
      <c r="BA175" s="21">
        <v>-1.4700299999999999E-2</v>
      </c>
      <c r="BB175" s="21">
        <v>165</v>
      </c>
      <c r="BC175" s="21">
        <v>0.73025499999999999</v>
      </c>
      <c r="BD175">
        <f t="shared" si="34"/>
        <v>18.148518518518514</v>
      </c>
      <c r="BE175">
        <f t="shared" si="35"/>
        <v>13.264679591111108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0.93414299999999995</v>
      </c>
      <c r="H176" s="21">
        <v>6.8711099999999998</v>
      </c>
      <c r="I176" s="21">
        <v>-1.44318E-2</v>
      </c>
      <c r="J176" s="21">
        <v>166</v>
      </c>
      <c r="K176" s="21">
        <v>0.93322799999999995</v>
      </c>
      <c r="L176">
        <f t="shared" si="24"/>
        <v>17.817037037037036</v>
      </c>
      <c r="M176">
        <f t="shared" si="25"/>
        <v>16.643660428888886</v>
      </c>
      <c r="N176" s="9"/>
      <c r="O176" s="21">
        <v>0.735931</v>
      </c>
      <c r="P176" s="21">
        <v>10.629899999999999</v>
      </c>
      <c r="Q176" s="21">
        <v>-1.46759E-2</v>
      </c>
      <c r="R176" s="21">
        <v>166</v>
      </c>
      <c r="S176" s="21">
        <v>0.73526000000000002</v>
      </c>
      <c r="T176">
        <f t="shared" si="26"/>
        <v>18.118395061728396</v>
      </c>
      <c r="U176">
        <f t="shared" si="27"/>
        <v>13.333888596172841</v>
      </c>
      <c r="X176" s="9"/>
      <c r="Y176" s="21">
        <v>0.93414299999999995</v>
      </c>
      <c r="Z176" s="21">
        <v>16.097300000000001</v>
      </c>
      <c r="AA176" s="21">
        <v>-1.4505000000000001E-2</v>
      </c>
      <c r="AB176" s="21">
        <v>166</v>
      </c>
      <c r="AC176" s="21">
        <v>0.93353299999999995</v>
      </c>
      <c r="AD176">
        <f t="shared" si="28"/>
        <v>17.907407407407408</v>
      </c>
      <c r="AE176">
        <f t="shared" si="29"/>
        <v>16.728079277777777</v>
      </c>
      <c r="AF176" s="9"/>
      <c r="AG176" s="21">
        <v>0.735931</v>
      </c>
      <c r="AH176" s="21">
        <v>19.856100000000001</v>
      </c>
      <c r="AI176" s="21">
        <v>-1.4742999999999999E-2</v>
      </c>
      <c r="AJ176" s="21">
        <v>166</v>
      </c>
      <c r="AK176" s="21">
        <v>0.73541299999999998</v>
      </c>
      <c r="AL176">
        <f t="shared" si="30"/>
        <v>18.201234567901235</v>
      </c>
      <c r="AM176">
        <f t="shared" si="31"/>
        <v>13.394852756790124</v>
      </c>
      <c r="AP176" s="9"/>
      <c r="AQ176" s="21">
        <v>0.93414299999999995</v>
      </c>
      <c r="AR176" s="21">
        <v>25.2986</v>
      </c>
      <c r="AS176" s="21">
        <v>-1.4489699999999999E-2</v>
      </c>
      <c r="AT176" s="21">
        <v>166</v>
      </c>
      <c r="AU176" s="21">
        <v>0.93292200000000003</v>
      </c>
      <c r="AV176">
        <f t="shared" si="32"/>
        <v>17.888518518518516</v>
      </c>
      <c r="AW176">
        <f t="shared" si="33"/>
        <v>16.710434354444441</v>
      </c>
      <c r="AX176" s="9"/>
      <c r="AY176" s="21">
        <v>0.735931</v>
      </c>
      <c r="AZ176" s="21">
        <v>29.057300000000001</v>
      </c>
      <c r="BA176" s="21">
        <v>-1.4700299999999999E-2</v>
      </c>
      <c r="BB176" s="21">
        <v>166</v>
      </c>
      <c r="BC176" s="21">
        <v>0.73535200000000001</v>
      </c>
      <c r="BD176">
        <f t="shared" si="34"/>
        <v>18.148518518518514</v>
      </c>
      <c r="BE176">
        <f t="shared" si="35"/>
        <v>13.35605738185185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0.92910800000000004</v>
      </c>
      <c r="H177" s="21">
        <v>6.8811799999999996</v>
      </c>
      <c r="I177" s="21">
        <v>-1.44409E-2</v>
      </c>
      <c r="J177" s="21">
        <v>167</v>
      </c>
      <c r="K177" s="21">
        <v>0.92895499999999998</v>
      </c>
      <c r="L177">
        <f t="shared" si="24"/>
        <v>17.828271604938269</v>
      </c>
      <c r="M177">
        <f t="shared" si="25"/>
        <v>16.564389774320986</v>
      </c>
      <c r="N177" s="9"/>
      <c r="O177" s="21">
        <v>0.74096700000000004</v>
      </c>
      <c r="P177" s="21">
        <v>10.639900000000001</v>
      </c>
      <c r="Q177" s="21">
        <v>-1.46698E-2</v>
      </c>
      <c r="R177" s="21">
        <v>167</v>
      </c>
      <c r="S177" s="21">
        <v>0.74035600000000001</v>
      </c>
      <c r="T177">
        <f t="shared" si="26"/>
        <v>18.110864197530866</v>
      </c>
      <c r="U177">
        <f t="shared" si="27"/>
        <v>13.419552711851853</v>
      </c>
      <c r="X177" s="9"/>
      <c r="Y177" s="21">
        <v>0.92910800000000004</v>
      </c>
      <c r="Z177" s="21">
        <v>16.107399999999998</v>
      </c>
      <c r="AA177" s="21">
        <v>-1.45142E-2</v>
      </c>
      <c r="AB177" s="21">
        <v>167</v>
      </c>
      <c r="AC177" s="21">
        <v>0.92864999999999998</v>
      </c>
      <c r="AD177">
        <f t="shared" si="28"/>
        <v>17.918765432098763</v>
      </c>
      <c r="AE177">
        <f t="shared" si="29"/>
        <v>16.648468313086418</v>
      </c>
      <c r="AF177" s="9"/>
      <c r="AG177" s="21">
        <v>0.74096700000000004</v>
      </c>
      <c r="AH177" s="21">
        <v>19.866199999999999</v>
      </c>
      <c r="AI177" s="21">
        <v>-1.474E-2</v>
      </c>
      <c r="AJ177" s="21">
        <v>167</v>
      </c>
      <c r="AK177" s="21">
        <v>0.74035600000000001</v>
      </c>
      <c r="AL177">
        <f t="shared" si="30"/>
        <v>18.197530864197528</v>
      </c>
      <c r="AM177">
        <f t="shared" si="31"/>
        <v>13.48376985185185</v>
      </c>
      <c r="AP177" s="9"/>
      <c r="AQ177" s="21">
        <v>0.92910800000000004</v>
      </c>
      <c r="AR177" s="21">
        <v>25.308599999999998</v>
      </c>
      <c r="AS177" s="21">
        <v>-1.44928E-2</v>
      </c>
      <c r="AT177" s="21">
        <v>167</v>
      </c>
      <c r="AU177" s="21">
        <v>0.92803999999999998</v>
      </c>
      <c r="AV177">
        <f t="shared" si="32"/>
        <v>17.892345679012344</v>
      </c>
      <c r="AW177">
        <f t="shared" si="33"/>
        <v>16.623921509135801</v>
      </c>
      <c r="AX177" s="9"/>
      <c r="AY177" s="21">
        <v>0.74096700000000004</v>
      </c>
      <c r="AZ177" s="21">
        <v>29.067399999999999</v>
      </c>
      <c r="BA177" s="21">
        <v>-1.4700299999999999E-2</v>
      </c>
      <c r="BB177" s="21">
        <v>167</v>
      </c>
      <c r="BC177" s="21">
        <v>0.74032600000000004</v>
      </c>
      <c r="BD177">
        <f t="shared" si="34"/>
        <v>18.148518518518514</v>
      </c>
      <c r="BE177">
        <f t="shared" si="35"/>
        <v>13.447453321111109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0.924072</v>
      </c>
      <c r="H178" s="21">
        <v>6.8912500000000003</v>
      </c>
      <c r="I178" s="21">
        <v>-1.44531E-2</v>
      </c>
      <c r="J178" s="21">
        <v>168</v>
      </c>
      <c r="K178" s="21">
        <v>0.92285200000000001</v>
      </c>
      <c r="L178">
        <f t="shared" si="24"/>
        <v>17.843333333333334</v>
      </c>
      <c r="M178">
        <f t="shared" si="25"/>
        <v>16.488524720000001</v>
      </c>
      <c r="N178" s="9"/>
      <c r="O178" s="21">
        <v>0.74600200000000005</v>
      </c>
      <c r="P178" s="21">
        <v>10.65</v>
      </c>
      <c r="Q178" s="21">
        <v>-1.46759E-2</v>
      </c>
      <c r="R178" s="21">
        <v>168</v>
      </c>
      <c r="S178" s="21">
        <v>0.74529999999999996</v>
      </c>
      <c r="T178">
        <f t="shared" si="26"/>
        <v>18.118395061728396</v>
      </c>
      <c r="U178">
        <f t="shared" si="27"/>
        <v>13.516358952839507</v>
      </c>
      <c r="X178" s="9"/>
      <c r="Y178" s="21">
        <v>0.924072</v>
      </c>
      <c r="Z178" s="21">
        <v>16.1175</v>
      </c>
      <c r="AA178" s="21">
        <v>-1.45203E-2</v>
      </c>
      <c r="AB178" s="21">
        <v>168</v>
      </c>
      <c r="AC178" s="21">
        <v>0.92346200000000001</v>
      </c>
      <c r="AD178">
        <f t="shared" si="28"/>
        <v>17.926296296296293</v>
      </c>
      <c r="AE178">
        <f t="shared" si="29"/>
        <v>16.565188471111107</v>
      </c>
      <c r="AF178" s="9"/>
      <c r="AG178" s="21">
        <v>0.74600200000000005</v>
      </c>
      <c r="AH178" s="21">
        <v>19.876200000000001</v>
      </c>
      <c r="AI178" s="21">
        <v>-1.4736900000000001E-2</v>
      </c>
      <c r="AJ178" s="21">
        <v>168</v>
      </c>
      <c r="AK178" s="21">
        <v>0.74542200000000003</v>
      </c>
      <c r="AL178">
        <f t="shared" si="30"/>
        <v>18.193703703703704</v>
      </c>
      <c r="AM178">
        <f t="shared" si="31"/>
        <v>13.572539350370372</v>
      </c>
      <c r="AP178" s="9"/>
      <c r="AQ178" s="21">
        <v>0.924072</v>
      </c>
      <c r="AR178" s="21">
        <v>25.3187</v>
      </c>
      <c r="AS178" s="21">
        <v>-1.44958E-2</v>
      </c>
      <c r="AT178" s="21">
        <v>168</v>
      </c>
      <c r="AU178" s="21">
        <v>0.92315700000000001</v>
      </c>
      <c r="AV178">
        <f t="shared" si="32"/>
        <v>17.896049382716047</v>
      </c>
      <c r="AW178">
        <f t="shared" si="33"/>
        <v>16.537238145185182</v>
      </c>
      <c r="AX178" s="9"/>
      <c r="AY178" s="21">
        <v>0.74600200000000005</v>
      </c>
      <c r="AZ178" s="21">
        <v>29.077500000000001</v>
      </c>
      <c r="BA178" s="21">
        <v>-1.4694199999999999E-2</v>
      </c>
      <c r="BB178" s="21">
        <v>168</v>
      </c>
      <c r="BC178" s="21">
        <v>0.74539200000000005</v>
      </c>
      <c r="BD178">
        <f t="shared" si="34"/>
        <v>18.140987654320988</v>
      </c>
      <c r="BE178">
        <f t="shared" si="35"/>
        <v>13.533213072098766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0.91903699999999999</v>
      </c>
      <c r="H179" s="21">
        <v>6.9013200000000001</v>
      </c>
      <c r="I179" s="21">
        <v>-1.44653E-2</v>
      </c>
      <c r="J179" s="21">
        <v>169</v>
      </c>
      <c r="K179" s="21">
        <v>0.91796900000000003</v>
      </c>
      <c r="L179">
        <f t="shared" si="24"/>
        <v>17.858395061728395</v>
      </c>
      <c r="M179">
        <f t="shared" si="25"/>
        <v>16.412525822345678</v>
      </c>
      <c r="N179" s="9"/>
      <c r="O179" s="21">
        <v>0.75103799999999998</v>
      </c>
      <c r="P179" s="21">
        <v>10.6601</v>
      </c>
      <c r="Q179" s="21">
        <v>-1.4672899999999999E-2</v>
      </c>
      <c r="R179" s="21">
        <v>169</v>
      </c>
      <c r="S179" s="21">
        <v>0.750305</v>
      </c>
      <c r="T179">
        <f t="shared" si="26"/>
        <v>18.11469135802469</v>
      </c>
      <c r="U179">
        <f t="shared" si="27"/>
        <v>13.604821568148147</v>
      </c>
      <c r="X179" s="9"/>
      <c r="Y179" s="21">
        <v>0.91903699999999999</v>
      </c>
      <c r="Z179" s="21">
        <v>16.127500000000001</v>
      </c>
      <c r="AA179" s="21">
        <v>-1.4523299999999999E-2</v>
      </c>
      <c r="AB179" s="21">
        <v>169</v>
      </c>
      <c r="AC179" s="21">
        <v>0.91796900000000003</v>
      </c>
      <c r="AD179">
        <f t="shared" si="28"/>
        <v>17.93</v>
      </c>
      <c r="AE179">
        <f t="shared" si="29"/>
        <v>16.478333410000001</v>
      </c>
      <c r="AF179" s="9"/>
      <c r="AG179" s="21">
        <v>0.75103799999999998</v>
      </c>
      <c r="AH179" s="21">
        <v>19.886299999999999</v>
      </c>
      <c r="AI179" s="21">
        <v>-1.47308E-2</v>
      </c>
      <c r="AJ179" s="21">
        <v>169</v>
      </c>
      <c r="AK179" s="21">
        <v>0.75024400000000002</v>
      </c>
      <c r="AL179">
        <f t="shared" si="30"/>
        <v>18.186172839506174</v>
      </c>
      <c r="AM179">
        <f t="shared" si="31"/>
        <v>13.658506877037038</v>
      </c>
      <c r="AP179" s="9"/>
      <c r="AQ179" s="21">
        <v>0.91903699999999999</v>
      </c>
      <c r="AR179" s="21">
        <v>25.328800000000001</v>
      </c>
      <c r="AS179" s="21">
        <v>-1.4505000000000001E-2</v>
      </c>
      <c r="AT179" s="21">
        <v>169</v>
      </c>
      <c r="AU179" s="21">
        <v>0.91796900000000003</v>
      </c>
      <c r="AV179">
        <f t="shared" si="32"/>
        <v>17.907407407407408</v>
      </c>
      <c r="AW179">
        <f t="shared" si="33"/>
        <v>16.45756998148148</v>
      </c>
      <c r="AX179" s="9"/>
      <c r="AY179" s="21">
        <v>0.75103799999999998</v>
      </c>
      <c r="AZ179" s="21">
        <v>29.087499999999999</v>
      </c>
      <c r="BA179" s="21">
        <v>-1.46912E-2</v>
      </c>
      <c r="BB179" s="21">
        <v>169</v>
      </c>
      <c r="BC179" s="21">
        <v>0.750336</v>
      </c>
      <c r="BD179">
        <f t="shared" si="34"/>
        <v>18.137283950617284</v>
      </c>
      <c r="BE179">
        <f t="shared" si="35"/>
        <v>13.621789463703704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0.91400099999999995</v>
      </c>
      <c r="H180" s="21">
        <v>6.9113899999999999</v>
      </c>
      <c r="I180" s="21">
        <v>-1.44745E-2</v>
      </c>
      <c r="J180" s="21">
        <v>170</v>
      </c>
      <c r="K180" s="21">
        <v>0.91339099999999995</v>
      </c>
      <c r="L180">
        <f t="shared" si="24"/>
        <v>17.869753086419752</v>
      </c>
      <c r="M180">
        <f t="shared" si="25"/>
        <v>16.33297219074074</v>
      </c>
      <c r="N180" s="9"/>
      <c r="O180" s="21">
        <v>0.756073</v>
      </c>
      <c r="P180" s="21">
        <v>10.670199999999999</v>
      </c>
      <c r="Q180" s="21">
        <v>-1.46698E-2</v>
      </c>
      <c r="R180" s="21">
        <v>170</v>
      </c>
      <c r="S180" s="21">
        <v>0.75531000000000004</v>
      </c>
      <c r="T180">
        <f t="shared" si="26"/>
        <v>18.110864197530866</v>
      </c>
      <c r="U180">
        <f t="shared" si="27"/>
        <v>13.693135426419754</v>
      </c>
      <c r="X180" s="9"/>
      <c r="Y180" s="21">
        <v>0.91400099999999995</v>
      </c>
      <c r="Z180" s="21">
        <v>16.137599999999999</v>
      </c>
      <c r="AA180" s="21">
        <v>-1.4523299999999999E-2</v>
      </c>
      <c r="AB180" s="21">
        <v>170</v>
      </c>
      <c r="AC180" s="21">
        <v>0.91339099999999995</v>
      </c>
      <c r="AD180">
        <f t="shared" si="28"/>
        <v>17.93</v>
      </c>
      <c r="AE180">
        <f t="shared" si="29"/>
        <v>16.388037929999999</v>
      </c>
      <c r="AF180" s="9"/>
      <c r="AG180" s="21">
        <v>0.756073</v>
      </c>
      <c r="AH180" s="21">
        <v>19.8964</v>
      </c>
      <c r="AI180" s="21">
        <v>-1.4721700000000001E-2</v>
      </c>
      <c r="AJ180" s="21">
        <v>170</v>
      </c>
      <c r="AK180" s="21">
        <v>0.75500500000000004</v>
      </c>
      <c r="AL180">
        <f t="shared" si="30"/>
        <v>18.174938271604937</v>
      </c>
      <c r="AM180">
        <f t="shared" si="31"/>
        <v>13.741580103827159</v>
      </c>
      <c r="AP180" s="9"/>
      <c r="AQ180" s="21">
        <v>0.91400099999999995</v>
      </c>
      <c r="AR180" s="21">
        <v>25.338799999999999</v>
      </c>
      <c r="AS180" s="21">
        <v>-1.4511100000000001E-2</v>
      </c>
      <c r="AT180" s="21">
        <v>170</v>
      </c>
      <c r="AU180" s="21">
        <v>0.91278099999999995</v>
      </c>
      <c r="AV180">
        <f t="shared" si="32"/>
        <v>17.914938271604939</v>
      </c>
      <c r="AW180">
        <f t="shared" si="33"/>
        <v>16.374271495185184</v>
      </c>
      <c r="AX180" s="9"/>
      <c r="AY180" s="21">
        <v>0.756073</v>
      </c>
      <c r="AZ180" s="21">
        <v>29.0976</v>
      </c>
      <c r="BA180" s="21">
        <v>-1.4688100000000001E-2</v>
      </c>
      <c r="BB180" s="21">
        <v>170</v>
      </c>
      <c r="BC180" s="21">
        <v>0.75561500000000004</v>
      </c>
      <c r="BD180">
        <f t="shared" si="34"/>
        <v>18.133456790123457</v>
      </c>
      <c r="BE180">
        <f t="shared" si="35"/>
        <v>13.710217075679013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0.90896600000000005</v>
      </c>
      <c r="H181" s="21">
        <v>6.9214599999999997</v>
      </c>
      <c r="I181" s="21">
        <v>-1.44867E-2</v>
      </c>
      <c r="J181" s="21">
        <v>171</v>
      </c>
      <c r="K181" s="21">
        <v>0.90789799999999998</v>
      </c>
      <c r="L181">
        <f t="shared" si="24"/>
        <v>17.884814814814817</v>
      </c>
      <c r="M181">
        <f t="shared" si="25"/>
        <v>16.256688582962965</v>
      </c>
      <c r="N181" s="9"/>
      <c r="O181" s="21">
        <v>0.76110800000000001</v>
      </c>
      <c r="P181" s="21">
        <v>10.680199999999999</v>
      </c>
      <c r="Q181" s="21">
        <v>-1.46637E-2</v>
      </c>
      <c r="R181" s="21">
        <v>171</v>
      </c>
      <c r="S181" s="21">
        <v>0.76019300000000001</v>
      </c>
      <c r="T181">
        <f t="shared" si="26"/>
        <v>18.103333333333332</v>
      </c>
      <c r="U181">
        <f t="shared" si="27"/>
        <v>13.778591826666666</v>
      </c>
      <c r="X181" s="9"/>
      <c r="Y181" s="21">
        <v>0.90896600000000005</v>
      </c>
      <c r="Z181" s="21">
        <v>16.1477</v>
      </c>
      <c r="AA181" s="21">
        <v>-1.4523299999999999E-2</v>
      </c>
      <c r="AB181" s="21">
        <v>171</v>
      </c>
      <c r="AC181" s="21">
        <v>0.90759299999999998</v>
      </c>
      <c r="AD181">
        <f t="shared" si="28"/>
        <v>17.93</v>
      </c>
      <c r="AE181">
        <f t="shared" si="29"/>
        <v>16.29776038</v>
      </c>
      <c r="AF181" s="9"/>
      <c r="AG181" s="21">
        <v>0.76110800000000001</v>
      </c>
      <c r="AH181" s="21">
        <v>19.906400000000001</v>
      </c>
      <c r="AI181" s="21">
        <v>-1.47186E-2</v>
      </c>
      <c r="AJ181" s="21">
        <v>171</v>
      </c>
      <c r="AK181" s="21">
        <v>0.76080300000000001</v>
      </c>
      <c r="AL181">
        <f t="shared" si="30"/>
        <v>18.171111111111109</v>
      </c>
      <c r="AM181">
        <f t="shared" si="31"/>
        <v>13.830178035555555</v>
      </c>
      <c r="AP181" s="9"/>
      <c r="AQ181" s="21">
        <v>0.90896600000000005</v>
      </c>
      <c r="AR181" s="21">
        <v>25.3489</v>
      </c>
      <c r="AS181" s="21">
        <v>-1.45203E-2</v>
      </c>
      <c r="AT181" s="21">
        <v>171</v>
      </c>
      <c r="AU181" s="21">
        <v>0.90820299999999998</v>
      </c>
      <c r="AV181">
        <f t="shared" si="32"/>
        <v>17.926296296296293</v>
      </c>
      <c r="AW181">
        <f t="shared" si="33"/>
        <v>16.294393839259257</v>
      </c>
      <c r="AX181" s="9"/>
      <c r="AY181" s="21">
        <v>0.76110800000000001</v>
      </c>
      <c r="AZ181" s="21">
        <v>29.107700000000001</v>
      </c>
      <c r="BA181" s="21">
        <v>-1.4682000000000001E-2</v>
      </c>
      <c r="BB181" s="21">
        <v>171</v>
      </c>
      <c r="BC181" s="21">
        <v>0.75988800000000001</v>
      </c>
      <c r="BD181">
        <f t="shared" si="34"/>
        <v>18.125925925925923</v>
      </c>
      <c r="BE181">
        <f t="shared" si="35"/>
        <v>13.795787229629628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0.90393100000000004</v>
      </c>
      <c r="H182" s="21">
        <v>6.9315300000000004</v>
      </c>
      <c r="I182" s="21">
        <v>-1.4501999999999999E-2</v>
      </c>
      <c r="J182" s="21">
        <v>172</v>
      </c>
      <c r="K182" s="21">
        <v>0.90332000000000001</v>
      </c>
      <c r="L182">
        <f t="shared" si="24"/>
        <v>17.903703703703702</v>
      </c>
      <c r="M182">
        <f t="shared" si="25"/>
        <v>16.183712792592591</v>
      </c>
      <c r="N182" s="9"/>
      <c r="O182" s="21">
        <v>0.76614400000000005</v>
      </c>
      <c r="P182" s="21">
        <v>10.690300000000001</v>
      </c>
      <c r="Q182" s="21">
        <v>-1.4660599999999999E-2</v>
      </c>
      <c r="R182" s="21">
        <v>172</v>
      </c>
      <c r="S182" s="21">
        <v>0.76538099999999998</v>
      </c>
      <c r="T182">
        <f t="shared" si="26"/>
        <v>18.099506172839504</v>
      </c>
      <c r="U182">
        <f t="shared" si="27"/>
        <v>13.86682805728395</v>
      </c>
      <c r="X182" s="9"/>
      <c r="Y182" s="21">
        <v>0.90393100000000004</v>
      </c>
      <c r="Z182" s="21">
        <v>16.157699999999998</v>
      </c>
      <c r="AA182" s="21">
        <v>-1.45325E-2</v>
      </c>
      <c r="AB182" s="21">
        <v>172</v>
      </c>
      <c r="AC182" s="21">
        <v>0.90362500000000001</v>
      </c>
      <c r="AD182">
        <f t="shared" si="28"/>
        <v>17.941358024691358</v>
      </c>
      <c r="AE182">
        <f t="shared" si="29"/>
        <v>16.217749700617283</v>
      </c>
      <c r="AF182" s="9"/>
      <c r="AG182" s="21">
        <v>0.76614400000000005</v>
      </c>
      <c r="AH182" s="21">
        <v>19.916499999999999</v>
      </c>
      <c r="AI182" s="21">
        <v>-1.4721700000000001E-2</v>
      </c>
      <c r="AJ182" s="21">
        <v>172</v>
      </c>
      <c r="AK182" s="21">
        <v>0.76568599999999998</v>
      </c>
      <c r="AL182">
        <f t="shared" si="30"/>
        <v>18.174938271604937</v>
      </c>
      <c r="AM182">
        <f t="shared" si="31"/>
        <v>13.924619907160494</v>
      </c>
      <c r="AP182" s="9"/>
      <c r="AQ182" s="21">
        <v>0.90393100000000004</v>
      </c>
      <c r="AR182" s="21">
        <v>25.359000000000002</v>
      </c>
      <c r="AS182" s="21">
        <v>-1.45203E-2</v>
      </c>
      <c r="AT182" s="21">
        <v>172</v>
      </c>
      <c r="AU182" s="21">
        <v>0.90332000000000001</v>
      </c>
      <c r="AV182">
        <f t="shared" si="32"/>
        <v>17.926296296296293</v>
      </c>
      <c r="AW182">
        <f t="shared" si="33"/>
        <v>16.204134937407407</v>
      </c>
      <c r="AX182" s="9"/>
      <c r="AY182" s="21">
        <v>0.76614400000000005</v>
      </c>
      <c r="AZ182" s="21">
        <v>29.117699999999999</v>
      </c>
      <c r="BA182" s="21">
        <v>-1.4672899999999999E-2</v>
      </c>
      <c r="BB182" s="21">
        <v>172</v>
      </c>
      <c r="BC182" s="21">
        <v>0.76568599999999998</v>
      </c>
      <c r="BD182">
        <f t="shared" si="34"/>
        <v>18.11469135802469</v>
      </c>
      <c r="BE182">
        <f t="shared" si="35"/>
        <v>13.878462095802469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0.898895</v>
      </c>
      <c r="H183" s="21">
        <v>6.9416099999999998</v>
      </c>
      <c r="I183" s="21">
        <v>-1.4508099999999999E-2</v>
      </c>
      <c r="J183" s="21">
        <v>173</v>
      </c>
      <c r="K183" s="21">
        <v>0.89782700000000004</v>
      </c>
      <c r="L183">
        <f t="shared" si="24"/>
        <v>17.911234567901232</v>
      </c>
      <c r="M183">
        <f t="shared" si="25"/>
        <v>16.100319196913578</v>
      </c>
      <c r="N183" s="9"/>
      <c r="O183" s="21">
        <v>0.77117899999999995</v>
      </c>
      <c r="P183" s="21">
        <v>10.7004</v>
      </c>
      <c r="Q183" s="21">
        <v>-1.4654500000000001E-2</v>
      </c>
      <c r="R183" s="21">
        <v>173</v>
      </c>
      <c r="S183" s="21">
        <v>0.76995800000000003</v>
      </c>
      <c r="T183">
        <f t="shared" si="26"/>
        <v>18.091975308641977</v>
      </c>
      <c r="U183">
        <f t="shared" si="27"/>
        <v>13.95215142654321</v>
      </c>
      <c r="X183" s="9"/>
      <c r="Y183" s="21">
        <v>0.898895</v>
      </c>
      <c r="Z183" s="21">
        <v>16.1678</v>
      </c>
      <c r="AA183" s="21">
        <v>-1.4544700000000001E-2</v>
      </c>
      <c r="AB183" s="21">
        <v>173</v>
      </c>
      <c r="AC183" s="21">
        <v>0.89752200000000004</v>
      </c>
      <c r="AD183">
        <f t="shared" si="28"/>
        <v>17.956419753086422</v>
      </c>
      <c r="AE183">
        <f t="shared" si="29"/>
        <v>16.140935933950619</v>
      </c>
      <c r="AF183" s="9"/>
      <c r="AG183" s="21">
        <v>0.77117899999999995</v>
      </c>
      <c r="AH183" s="21">
        <v>19.926600000000001</v>
      </c>
      <c r="AI183" s="21">
        <v>-1.4727799999999999E-2</v>
      </c>
      <c r="AJ183" s="21">
        <v>173</v>
      </c>
      <c r="AK183" s="21">
        <v>0.76965300000000003</v>
      </c>
      <c r="AL183">
        <f t="shared" si="30"/>
        <v>18.182469135802467</v>
      </c>
      <c r="AM183">
        <f t="shared" si="31"/>
        <v>14.021938365679009</v>
      </c>
      <c r="AP183" s="9"/>
      <c r="AQ183" s="21">
        <v>0.898895</v>
      </c>
      <c r="AR183" s="21">
        <v>25.3691</v>
      </c>
      <c r="AS183" s="21">
        <v>-1.45294E-2</v>
      </c>
      <c r="AT183" s="21">
        <v>173</v>
      </c>
      <c r="AU183" s="21">
        <v>0.89843799999999996</v>
      </c>
      <c r="AV183">
        <f t="shared" si="32"/>
        <v>17.93753086419753</v>
      </c>
      <c r="AW183">
        <f t="shared" si="33"/>
        <v>16.123956806172838</v>
      </c>
      <c r="AX183" s="9"/>
      <c r="AY183" s="21">
        <v>0.77117899999999995</v>
      </c>
      <c r="AZ183" s="21">
        <v>29.127800000000001</v>
      </c>
      <c r="BA183" s="21">
        <v>-1.4654500000000001E-2</v>
      </c>
      <c r="BB183" s="21">
        <v>173</v>
      </c>
      <c r="BC183" s="21">
        <v>0.77026399999999995</v>
      </c>
      <c r="BD183">
        <f t="shared" si="34"/>
        <v>18.091975308641977</v>
      </c>
      <c r="BE183">
        <f t="shared" si="35"/>
        <v>13.95215142654321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0.89385999999999999</v>
      </c>
      <c r="H184" s="21">
        <v>6.9516799999999996</v>
      </c>
      <c r="I184" s="21">
        <v>-1.4517199999999999E-2</v>
      </c>
      <c r="J184" s="21">
        <v>174</v>
      </c>
      <c r="K184" s="21">
        <v>0.89263899999999996</v>
      </c>
      <c r="L184">
        <f t="shared" si="24"/>
        <v>17.922469135802466</v>
      </c>
      <c r="M184">
        <f t="shared" si="25"/>
        <v>16.020178261728393</v>
      </c>
      <c r="N184" s="9"/>
      <c r="O184" s="21">
        <v>0.77621499999999999</v>
      </c>
      <c r="P184" s="21">
        <v>10.7104</v>
      </c>
      <c r="Q184" s="21">
        <v>-1.4639299999999999E-2</v>
      </c>
      <c r="R184" s="21">
        <v>174</v>
      </c>
      <c r="S184" s="21">
        <v>0.77545200000000003</v>
      </c>
      <c r="T184">
        <f t="shared" si="26"/>
        <v>18.07320987654321</v>
      </c>
      <c r="U184">
        <f t="shared" si="27"/>
        <v>14.028696604320988</v>
      </c>
      <c r="X184" s="9"/>
      <c r="Y184" s="21">
        <v>0.89385999999999999</v>
      </c>
      <c r="Z184" s="21">
        <v>16.177900000000001</v>
      </c>
      <c r="AA184" s="21">
        <v>-1.4556899999999999E-2</v>
      </c>
      <c r="AB184" s="21">
        <v>174</v>
      </c>
      <c r="AC184" s="21">
        <v>0.89324999999999999</v>
      </c>
      <c r="AD184">
        <f t="shared" si="28"/>
        <v>17.971481481481479</v>
      </c>
      <c r="AE184">
        <f t="shared" si="29"/>
        <v>16.063988437037036</v>
      </c>
      <c r="AF184" s="9"/>
      <c r="AG184" s="21">
        <v>0.77621499999999999</v>
      </c>
      <c r="AH184" s="21">
        <v>19.936699999999998</v>
      </c>
      <c r="AI184" s="21">
        <v>-1.47186E-2</v>
      </c>
      <c r="AJ184" s="21">
        <v>174</v>
      </c>
      <c r="AK184" s="21">
        <v>0.77545200000000003</v>
      </c>
      <c r="AL184">
        <f t="shared" si="30"/>
        <v>18.171111111111109</v>
      </c>
      <c r="AM184">
        <f t="shared" si="31"/>
        <v>14.104689011111109</v>
      </c>
      <c r="AP184" s="9"/>
      <c r="AQ184" s="21">
        <v>0.89385999999999999</v>
      </c>
      <c r="AR184" s="21">
        <v>25.379100000000001</v>
      </c>
      <c r="AS184" s="21">
        <v>-1.45386E-2</v>
      </c>
      <c r="AT184" s="21">
        <v>174</v>
      </c>
      <c r="AU184" s="21">
        <v>0.89324999999999999</v>
      </c>
      <c r="AV184">
        <f t="shared" si="32"/>
        <v>17.948888888888888</v>
      </c>
      <c r="AW184">
        <f t="shared" si="33"/>
        <v>16.04379382222222</v>
      </c>
      <c r="AX184" s="9"/>
      <c r="AY184" s="21">
        <v>0.77621499999999999</v>
      </c>
      <c r="AZ184" s="21">
        <v>29.137899999999998</v>
      </c>
      <c r="BA184" s="21">
        <v>-1.4654500000000001E-2</v>
      </c>
      <c r="BB184" s="21">
        <v>174</v>
      </c>
      <c r="BC184" s="21">
        <v>0.77575700000000003</v>
      </c>
      <c r="BD184">
        <f t="shared" si="34"/>
        <v>18.091975308641977</v>
      </c>
      <c r="BE184">
        <f t="shared" si="35"/>
        <v>14.043262614197532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0.88882399999999995</v>
      </c>
      <c r="H185" s="21">
        <v>6.9617500000000003</v>
      </c>
      <c r="I185" s="21">
        <v>-1.45264E-2</v>
      </c>
      <c r="J185" s="21">
        <v>175</v>
      </c>
      <c r="K185" s="21">
        <v>0.88806200000000002</v>
      </c>
      <c r="L185">
        <f t="shared" si="24"/>
        <v>17.933827160493827</v>
      </c>
      <c r="M185">
        <f t="shared" si="25"/>
        <v>15.940015992098765</v>
      </c>
      <c r="N185" s="9"/>
      <c r="O185" s="21">
        <v>0.78125</v>
      </c>
      <c r="P185" s="21">
        <v>10.720499999999999</v>
      </c>
      <c r="Q185" s="21">
        <v>-1.4627100000000001E-2</v>
      </c>
      <c r="R185" s="21">
        <v>175</v>
      </c>
      <c r="S185" s="21">
        <v>0.78064</v>
      </c>
      <c r="T185">
        <f t="shared" si="26"/>
        <v>18.058148148148145</v>
      </c>
      <c r="U185">
        <f t="shared" si="27"/>
        <v>14.107928240740739</v>
      </c>
      <c r="X185" s="9"/>
      <c r="Y185" s="21">
        <v>0.88882399999999995</v>
      </c>
      <c r="Z185" s="21">
        <v>16.187999999999999</v>
      </c>
      <c r="AA185" s="21">
        <v>-1.4559900000000001E-2</v>
      </c>
      <c r="AB185" s="21">
        <v>175</v>
      </c>
      <c r="AC185" s="21">
        <v>0.88714599999999999</v>
      </c>
      <c r="AD185">
        <f t="shared" si="28"/>
        <v>17.975185185185186</v>
      </c>
      <c r="AE185">
        <f t="shared" si="29"/>
        <v>15.976775997037036</v>
      </c>
      <c r="AF185" s="9"/>
      <c r="AG185" s="21">
        <v>0.78125</v>
      </c>
      <c r="AH185" s="21">
        <v>19.9467</v>
      </c>
      <c r="AI185" s="21">
        <v>-1.47125E-2</v>
      </c>
      <c r="AJ185" s="21">
        <v>175</v>
      </c>
      <c r="AK185" s="21">
        <v>0.78064</v>
      </c>
      <c r="AL185">
        <f t="shared" si="30"/>
        <v>18.163580246913579</v>
      </c>
      <c r="AM185">
        <f t="shared" si="31"/>
        <v>14.190297067901234</v>
      </c>
      <c r="AP185" s="9"/>
      <c r="AQ185" s="21">
        <v>0.88882399999999995</v>
      </c>
      <c r="AR185" s="21">
        <v>25.389199999999999</v>
      </c>
      <c r="AS185" s="21">
        <v>-1.4544700000000001E-2</v>
      </c>
      <c r="AT185" s="21">
        <v>175</v>
      </c>
      <c r="AU185" s="21">
        <v>0.88775599999999999</v>
      </c>
      <c r="AV185">
        <f t="shared" si="32"/>
        <v>17.956419753086422</v>
      </c>
      <c r="AW185">
        <f t="shared" si="33"/>
        <v>15.960096830617285</v>
      </c>
      <c r="AX185" s="9"/>
      <c r="AY185" s="21">
        <v>0.78125</v>
      </c>
      <c r="AZ185" s="21">
        <v>29.148</v>
      </c>
      <c r="BA185" s="21">
        <v>-1.46515E-2</v>
      </c>
      <c r="BB185" s="21">
        <v>175</v>
      </c>
      <c r="BC185" s="21">
        <v>0.78064</v>
      </c>
      <c r="BD185">
        <f t="shared" si="34"/>
        <v>18.088271604938271</v>
      </c>
      <c r="BE185">
        <f t="shared" si="35"/>
        <v>14.131462191358024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0.88378900000000005</v>
      </c>
      <c r="H186" s="21">
        <v>6.9718200000000001</v>
      </c>
      <c r="I186" s="21">
        <v>-1.45386E-2</v>
      </c>
      <c r="J186" s="21">
        <v>176</v>
      </c>
      <c r="K186" s="21">
        <v>0.88287400000000005</v>
      </c>
      <c r="L186">
        <f t="shared" si="24"/>
        <v>17.948888888888888</v>
      </c>
      <c r="M186">
        <f t="shared" si="25"/>
        <v>15.863030562222223</v>
      </c>
      <c r="N186" s="9"/>
      <c r="O186" s="21">
        <v>0.78628500000000001</v>
      </c>
      <c r="P186" s="21">
        <v>10.730600000000001</v>
      </c>
      <c r="Q186" s="21">
        <v>-1.4624E-2</v>
      </c>
      <c r="R186" s="21">
        <v>176</v>
      </c>
      <c r="S186" s="21">
        <v>0.78552200000000005</v>
      </c>
      <c r="T186">
        <f t="shared" si="26"/>
        <v>18.054320987654318</v>
      </c>
      <c r="U186">
        <f t="shared" si="27"/>
        <v>14.195841777777776</v>
      </c>
      <c r="X186" s="9"/>
      <c r="Y186" s="21">
        <v>0.88378900000000005</v>
      </c>
      <c r="Z186" s="21">
        <v>16.198</v>
      </c>
      <c r="AA186" s="21">
        <v>-1.45691E-2</v>
      </c>
      <c r="AB186" s="21">
        <v>176</v>
      </c>
      <c r="AC186" s="21">
        <v>0.88317900000000005</v>
      </c>
      <c r="AD186">
        <f t="shared" si="28"/>
        <v>17.98654320987654</v>
      </c>
      <c r="AE186">
        <f t="shared" si="29"/>
        <v>15.896309036913578</v>
      </c>
      <c r="AF186" s="9"/>
      <c r="AG186" s="21">
        <v>0.78628500000000001</v>
      </c>
      <c r="AH186" s="21">
        <v>19.956800000000001</v>
      </c>
      <c r="AI186" s="21">
        <v>-1.47125E-2</v>
      </c>
      <c r="AJ186" s="21">
        <v>176</v>
      </c>
      <c r="AK186" s="21">
        <v>0.78521700000000005</v>
      </c>
      <c r="AL186">
        <f t="shared" si="30"/>
        <v>18.163580246913579</v>
      </c>
      <c r="AM186">
        <f t="shared" si="31"/>
        <v>14.281750694444444</v>
      </c>
      <c r="AP186" s="9"/>
      <c r="AQ186" s="21">
        <v>0.88378900000000005</v>
      </c>
      <c r="AR186" s="21">
        <v>25.3993</v>
      </c>
      <c r="AS186" s="21">
        <v>-1.4559900000000001E-2</v>
      </c>
      <c r="AT186" s="21">
        <v>176</v>
      </c>
      <c r="AU186" s="21">
        <v>0.88287400000000005</v>
      </c>
      <c r="AV186">
        <f t="shared" si="32"/>
        <v>17.975185185185186</v>
      </c>
      <c r="AW186">
        <f t="shared" si="33"/>
        <v>15.886270939629631</v>
      </c>
      <c r="AX186" s="9"/>
      <c r="AY186" s="21">
        <v>0.78628500000000001</v>
      </c>
      <c r="AZ186" s="21">
        <v>29.158000000000001</v>
      </c>
      <c r="BA186" s="21">
        <v>-1.46515E-2</v>
      </c>
      <c r="BB186" s="21">
        <v>176</v>
      </c>
      <c r="BC186" s="21">
        <v>0.78552200000000005</v>
      </c>
      <c r="BD186">
        <f t="shared" si="34"/>
        <v>18.088271604938271</v>
      </c>
      <c r="BE186">
        <f t="shared" si="35"/>
        <v>14.222536638888888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0.87875400000000004</v>
      </c>
      <c r="H187" s="21">
        <v>6.9818899999999999</v>
      </c>
      <c r="I187" s="21">
        <v>-1.45416E-2</v>
      </c>
      <c r="J187" s="21">
        <v>177</v>
      </c>
      <c r="K187" s="21">
        <v>0.87829599999999997</v>
      </c>
      <c r="L187">
        <f t="shared" si="24"/>
        <v>17.952592592592595</v>
      </c>
      <c r="M187">
        <f t="shared" si="25"/>
        <v>15.775912551111114</v>
      </c>
      <c r="N187" s="9"/>
      <c r="O187" s="21">
        <v>0.79132100000000005</v>
      </c>
      <c r="P187" s="21">
        <v>10.7407</v>
      </c>
      <c r="Q187" s="21">
        <v>-1.46179E-2</v>
      </c>
      <c r="R187" s="21">
        <v>177</v>
      </c>
      <c r="S187" s="21">
        <v>0.79010000000000002</v>
      </c>
      <c r="T187">
        <f t="shared" si="26"/>
        <v>18.046790123456791</v>
      </c>
      <c r="U187">
        <f t="shared" si="27"/>
        <v>14.280804007283953</v>
      </c>
      <c r="X187" s="9"/>
      <c r="Y187" s="21">
        <v>0.87875400000000004</v>
      </c>
      <c r="Z187" s="21">
        <v>16.208100000000002</v>
      </c>
      <c r="AA187" s="21">
        <v>-1.4584400000000001E-2</v>
      </c>
      <c r="AB187" s="21">
        <v>177</v>
      </c>
      <c r="AC187" s="21">
        <v>0.87799099999999997</v>
      </c>
      <c r="AD187">
        <f t="shared" si="28"/>
        <v>18.005432098765432</v>
      </c>
      <c r="AE187">
        <f t="shared" si="29"/>
        <v>15.822345478518519</v>
      </c>
      <c r="AF187" s="9"/>
      <c r="AG187" s="21">
        <v>0.79132100000000005</v>
      </c>
      <c r="AH187" s="21">
        <v>19.966899999999999</v>
      </c>
      <c r="AI187" s="21">
        <v>-1.47034E-2</v>
      </c>
      <c r="AJ187" s="21">
        <v>177</v>
      </c>
      <c r="AK187" s="21">
        <v>0.79071000000000002</v>
      </c>
      <c r="AL187">
        <f t="shared" si="30"/>
        <v>18.152345679012342</v>
      </c>
      <c r="AM187">
        <f t="shared" si="31"/>
        <v>14.364332335061727</v>
      </c>
      <c r="AP187" s="9"/>
      <c r="AQ187" s="21">
        <v>0.87875400000000004</v>
      </c>
      <c r="AR187" s="21">
        <v>25.409300000000002</v>
      </c>
      <c r="AS187" s="21">
        <v>-1.45752E-2</v>
      </c>
      <c r="AT187" s="21">
        <v>177</v>
      </c>
      <c r="AU187" s="21">
        <v>0.87768599999999997</v>
      </c>
      <c r="AV187">
        <f t="shared" si="32"/>
        <v>17.994074074074071</v>
      </c>
      <c r="AW187">
        <f t="shared" si="33"/>
        <v>15.812364568888887</v>
      </c>
      <c r="AX187" s="9"/>
      <c r="AY187" s="21">
        <v>0.79132100000000005</v>
      </c>
      <c r="AZ187" s="21">
        <v>29.168099999999999</v>
      </c>
      <c r="BA187" s="21">
        <v>-1.46515E-2</v>
      </c>
      <c r="BB187" s="21">
        <v>177</v>
      </c>
      <c r="BC187" s="21">
        <v>0.79071000000000002</v>
      </c>
      <c r="BD187">
        <f t="shared" si="34"/>
        <v>18.088271604938271</v>
      </c>
      <c r="BE187">
        <f t="shared" si="35"/>
        <v>14.313629174691359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0.87371799999999999</v>
      </c>
      <c r="H188" s="21">
        <v>6.9919599999999997</v>
      </c>
      <c r="I188" s="21">
        <v>-1.4550799999999999E-2</v>
      </c>
      <c r="J188" s="21">
        <v>178</v>
      </c>
      <c r="K188" s="21">
        <v>0.873108</v>
      </c>
      <c r="L188">
        <f t="shared" si="24"/>
        <v>17.963950617283949</v>
      </c>
      <c r="M188">
        <f t="shared" si="25"/>
        <v>15.695427005432098</v>
      </c>
      <c r="N188" s="9"/>
      <c r="O188" s="21">
        <v>0.79635599999999995</v>
      </c>
      <c r="P188" s="21">
        <v>10.7507</v>
      </c>
      <c r="Q188" s="21">
        <v>-1.46179E-2</v>
      </c>
      <c r="R188" s="21">
        <v>178</v>
      </c>
      <c r="S188" s="21">
        <v>0.79528799999999999</v>
      </c>
      <c r="T188">
        <f t="shared" si="26"/>
        <v>18.046790123456791</v>
      </c>
      <c r="U188">
        <f t="shared" si="27"/>
        <v>14.371669595555556</v>
      </c>
      <c r="X188" s="9"/>
      <c r="Y188" s="21">
        <v>0.87371799999999999</v>
      </c>
      <c r="Z188" s="21">
        <v>16.2182</v>
      </c>
      <c r="AA188" s="21">
        <v>-1.4590499999999999E-2</v>
      </c>
      <c r="AB188" s="21">
        <v>178</v>
      </c>
      <c r="AC188" s="21">
        <v>0.872498</v>
      </c>
      <c r="AD188">
        <f t="shared" si="28"/>
        <v>18.012962962962959</v>
      </c>
      <c r="AE188">
        <f t="shared" si="29"/>
        <v>15.738249974074071</v>
      </c>
      <c r="AF188" s="9"/>
      <c r="AG188" s="21">
        <v>0.79635599999999995</v>
      </c>
      <c r="AH188" s="21">
        <v>19.976900000000001</v>
      </c>
      <c r="AI188" s="21">
        <v>-1.4694199999999999E-2</v>
      </c>
      <c r="AJ188" s="21">
        <v>178</v>
      </c>
      <c r="AK188" s="21">
        <v>0.79528799999999999</v>
      </c>
      <c r="AL188">
        <f t="shared" si="30"/>
        <v>18.140987654320988</v>
      </c>
      <c r="AM188">
        <f t="shared" si="31"/>
        <v>14.446684364444444</v>
      </c>
      <c r="AP188" s="9"/>
      <c r="AQ188" s="21">
        <v>0.87371799999999999</v>
      </c>
      <c r="AR188" s="21">
        <v>25.4194</v>
      </c>
      <c r="AS188" s="21">
        <v>-1.45874E-2</v>
      </c>
      <c r="AT188" s="21">
        <v>178</v>
      </c>
      <c r="AU188" s="21">
        <v>0.872498</v>
      </c>
      <c r="AV188">
        <f t="shared" si="32"/>
        <v>18.009135802469135</v>
      </c>
      <c r="AW188">
        <f t="shared" si="33"/>
        <v>15.734906115061728</v>
      </c>
      <c r="AX188" s="9"/>
      <c r="AY188" s="21">
        <v>0.79635599999999995</v>
      </c>
      <c r="AZ188" s="21">
        <v>29.1782</v>
      </c>
      <c r="BA188" s="21">
        <v>-1.4648400000000001E-2</v>
      </c>
      <c r="BB188" s="21">
        <v>178</v>
      </c>
      <c r="BC188" s="21">
        <v>0.79589799999999999</v>
      </c>
      <c r="BD188">
        <f t="shared" si="34"/>
        <v>18.084444444444443</v>
      </c>
      <c r="BE188">
        <f t="shared" si="35"/>
        <v>14.401655839999998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0.86868299999999998</v>
      </c>
      <c r="H189" s="21">
        <v>7.0020300000000004</v>
      </c>
      <c r="I189" s="21">
        <v>-1.45538E-2</v>
      </c>
      <c r="J189" s="21">
        <v>179</v>
      </c>
      <c r="K189" s="21">
        <v>0.86731000000000003</v>
      </c>
      <c r="L189">
        <f t="shared" si="24"/>
        <v>17.967654320987652</v>
      </c>
      <c r="M189">
        <f t="shared" si="25"/>
        <v>15.608195858518517</v>
      </c>
      <c r="N189" s="9"/>
      <c r="O189" s="21">
        <v>0.80139199999999999</v>
      </c>
      <c r="P189" s="21">
        <v>10.7608</v>
      </c>
      <c r="Q189" s="21">
        <v>-1.4605699999999999E-2</v>
      </c>
      <c r="R189" s="21">
        <v>179</v>
      </c>
      <c r="S189" s="21">
        <v>0.80108599999999996</v>
      </c>
      <c r="T189">
        <f t="shared" si="26"/>
        <v>18.031728395061727</v>
      </c>
      <c r="U189">
        <f t="shared" si="27"/>
        <v>14.450482881975308</v>
      </c>
      <c r="X189" s="9"/>
      <c r="Y189" s="21">
        <v>0.86868299999999998</v>
      </c>
      <c r="Z189" s="21">
        <v>16.228200000000001</v>
      </c>
      <c r="AA189" s="21">
        <v>-1.4590499999999999E-2</v>
      </c>
      <c r="AB189" s="21">
        <v>179</v>
      </c>
      <c r="AC189" s="21">
        <v>0.866699</v>
      </c>
      <c r="AD189">
        <f t="shared" si="28"/>
        <v>18.012962962962959</v>
      </c>
      <c r="AE189">
        <f t="shared" si="29"/>
        <v>15.647554705555551</v>
      </c>
      <c r="AF189" s="9"/>
      <c r="AG189" s="21">
        <v>0.80139199999999999</v>
      </c>
      <c r="AH189" s="21">
        <v>19.986999999999998</v>
      </c>
      <c r="AI189" s="21">
        <v>-1.46759E-2</v>
      </c>
      <c r="AJ189" s="21">
        <v>179</v>
      </c>
      <c r="AK189" s="21">
        <v>0.80047599999999997</v>
      </c>
      <c r="AL189">
        <f t="shared" si="30"/>
        <v>18.118395061728396</v>
      </c>
      <c r="AM189">
        <f t="shared" si="31"/>
        <v>14.519936855308643</v>
      </c>
      <c r="AP189" s="9"/>
      <c r="AQ189" s="21">
        <v>0.86868299999999998</v>
      </c>
      <c r="AR189" s="21">
        <v>25.429500000000001</v>
      </c>
      <c r="AS189" s="21">
        <v>-1.45874E-2</v>
      </c>
      <c r="AT189" s="21">
        <v>179</v>
      </c>
      <c r="AU189" s="21">
        <v>0.86761500000000003</v>
      </c>
      <c r="AV189">
        <f t="shared" si="32"/>
        <v>18.009135802469135</v>
      </c>
      <c r="AW189">
        <f t="shared" si="33"/>
        <v>15.644230116296296</v>
      </c>
      <c r="AX189" s="9"/>
      <c r="AY189" s="21">
        <v>0.80139199999999999</v>
      </c>
      <c r="AZ189" s="21">
        <v>29.188199999999998</v>
      </c>
      <c r="BA189" s="21">
        <v>-1.4648400000000001E-2</v>
      </c>
      <c r="BB189" s="21">
        <v>179</v>
      </c>
      <c r="BC189" s="21">
        <v>0.80017099999999997</v>
      </c>
      <c r="BD189">
        <f t="shared" si="34"/>
        <v>18.084444444444443</v>
      </c>
      <c r="BE189">
        <f t="shared" si="35"/>
        <v>14.492729102222221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0.86364700000000005</v>
      </c>
      <c r="H190" s="21">
        <v>7.0121000000000002</v>
      </c>
      <c r="I190" s="21">
        <v>-1.45538E-2</v>
      </c>
      <c r="J190" s="21">
        <v>180</v>
      </c>
      <c r="K190" s="21">
        <v>0.86303700000000005</v>
      </c>
      <c r="L190">
        <f t="shared" si="24"/>
        <v>17.967654320987652</v>
      </c>
      <c r="M190">
        <f t="shared" si="25"/>
        <v>15.517710751358024</v>
      </c>
      <c r="N190" s="9"/>
      <c r="O190" s="21">
        <v>0.806427</v>
      </c>
      <c r="P190" s="21">
        <v>10.770899999999999</v>
      </c>
      <c r="Q190" s="21">
        <v>-1.45966E-2</v>
      </c>
      <c r="R190" s="21">
        <v>180</v>
      </c>
      <c r="S190" s="21">
        <v>0.80566400000000005</v>
      </c>
      <c r="T190">
        <f t="shared" si="26"/>
        <v>18.020493827160493</v>
      </c>
      <c r="U190">
        <f t="shared" si="27"/>
        <v>14.532212775555555</v>
      </c>
      <c r="X190" s="9"/>
      <c r="Y190" s="21">
        <v>0.86364700000000005</v>
      </c>
      <c r="Z190" s="21">
        <v>16.238299999999999</v>
      </c>
      <c r="AA190" s="21">
        <v>-1.4593500000000001E-2</v>
      </c>
      <c r="AB190" s="21">
        <v>180</v>
      </c>
      <c r="AC190" s="21">
        <v>0.86273200000000005</v>
      </c>
      <c r="AD190">
        <f t="shared" si="28"/>
        <v>18.016666666666666</v>
      </c>
      <c r="AE190">
        <f t="shared" si="29"/>
        <v>15.560040116666666</v>
      </c>
      <c r="AF190" s="9"/>
      <c r="AG190" s="21">
        <v>0.806427</v>
      </c>
      <c r="AH190" s="21">
        <v>19.9971</v>
      </c>
      <c r="AI190" s="21">
        <v>-1.4672899999999999E-2</v>
      </c>
      <c r="AJ190" s="21">
        <v>180</v>
      </c>
      <c r="AK190" s="21">
        <v>0.80505400000000005</v>
      </c>
      <c r="AL190">
        <f t="shared" si="30"/>
        <v>18.11469135802469</v>
      </c>
      <c r="AM190">
        <f t="shared" si="31"/>
        <v>14.608176207777776</v>
      </c>
      <c r="AP190" s="9"/>
      <c r="AQ190" s="21">
        <v>0.86364700000000005</v>
      </c>
      <c r="AR190" s="21">
        <v>25.439499999999999</v>
      </c>
      <c r="AS190" s="21">
        <v>-1.45874E-2</v>
      </c>
      <c r="AT190" s="21">
        <v>180</v>
      </c>
      <c r="AU190" s="21">
        <v>0.86273200000000005</v>
      </c>
      <c r="AV190">
        <f t="shared" si="32"/>
        <v>18.009135802469135</v>
      </c>
      <c r="AW190">
        <f t="shared" si="33"/>
        <v>15.553536108395063</v>
      </c>
      <c r="AX190" s="9"/>
      <c r="AY190" s="21">
        <v>0.806427</v>
      </c>
      <c r="AZ190" s="21">
        <v>29.1983</v>
      </c>
      <c r="BA190" s="21">
        <v>-1.4645399999999999E-2</v>
      </c>
      <c r="BB190" s="21">
        <v>180</v>
      </c>
      <c r="BC190" s="21">
        <v>0.80535900000000005</v>
      </c>
      <c r="BD190">
        <f t="shared" si="34"/>
        <v>18.080740740740737</v>
      </c>
      <c r="BE190">
        <f t="shared" si="35"/>
        <v>14.58079751333333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0.85861200000000004</v>
      </c>
      <c r="H191" s="21">
        <v>7.02217</v>
      </c>
      <c r="I191" s="21">
        <v>-1.4563E-2</v>
      </c>
      <c r="J191" s="21">
        <v>181</v>
      </c>
      <c r="K191" s="21">
        <v>0.85754399999999997</v>
      </c>
      <c r="L191">
        <f t="shared" si="24"/>
        <v>17.979012345679013</v>
      </c>
      <c r="M191">
        <f t="shared" si="25"/>
        <v>15.436995748148149</v>
      </c>
      <c r="N191" s="9"/>
      <c r="O191" s="21">
        <v>0.81146200000000002</v>
      </c>
      <c r="P191" s="21">
        <v>10.780900000000001</v>
      </c>
      <c r="Q191" s="21">
        <v>-1.45874E-2</v>
      </c>
      <c r="R191" s="21">
        <v>181</v>
      </c>
      <c r="S191" s="21">
        <v>0.81054700000000002</v>
      </c>
      <c r="T191">
        <f t="shared" si="26"/>
        <v>18.009135802469135</v>
      </c>
      <c r="U191">
        <f t="shared" si="27"/>
        <v>14.61372935654321</v>
      </c>
      <c r="X191" s="9"/>
      <c r="Y191" s="21">
        <v>0.85861200000000004</v>
      </c>
      <c r="Z191" s="21">
        <v>16.2484</v>
      </c>
      <c r="AA191" s="21">
        <v>-1.4605699999999999E-2</v>
      </c>
      <c r="AB191" s="21">
        <v>181</v>
      </c>
      <c r="AC191" s="21">
        <v>0.85784899999999997</v>
      </c>
      <c r="AD191">
        <f t="shared" si="28"/>
        <v>18.031728395061727</v>
      </c>
      <c r="AE191">
        <f t="shared" si="29"/>
        <v>15.48225838074074</v>
      </c>
      <c r="AF191" s="9"/>
      <c r="AG191" s="21">
        <v>0.81146200000000002</v>
      </c>
      <c r="AH191" s="21">
        <v>20.007100000000001</v>
      </c>
      <c r="AI191" s="21">
        <v>-1.46637E-2</v>
      </c>
      <c r="AJ191" s="21">
        <v>181</v>
      </c>
      <c r="AK191" s="21">
        <v>0.81054700000000002</v>
      </c>
      <c r="AL191">
        <f t="shared" si="30"/>
        <v>18.103333333333332</v>
      </c>
      <c r="AM191">
        <f t="shared" si="31"/>
        <v>14.690167073333333</v>
      </c>
      <c r="AP191" s="9"/>
      <c r="AQ191" s="21">
        <v>0.85861200000000004</v>
      </c>
      <c r="AR191" s="21">
        <v>25.4496</v>
      </c>
      <c r="AS191" s="21">
        <v>-1.45966E-2</v>
      </c>
      <c r="AT191" s="21">
        <v>181</v>
      </c>
      <c r="AU191" s="21">
        <v>0.85784899999999997</v>
      </c>
      <c r="AV191">
        <f t="shared" si="32"/>
        <v>18.020493827160493</v>
      </c>
      <c r="AW191">
        <f t="shared" si="33"/>
        <v>15.472612245925927</v>
      </c>
      <c r="AX191" s="9"/>
      <c r="AY191" s="21">
        <v>0.81146200000000002</v>
      </c>
      <c r="AZ191" s="21">
        <v>29.208400000000001</v>
      </c>
      <c r="BA191" s="21">
        <v>-1.46423E-2</v>
      </c>
      <c r="BB191" s="21">
        <v>181</v>
      </c>
      <c r="BC191" s="21">
        <v>0.81024200000000002</v>
      </c>
      <c r="BD191">
        <f t="shared" si="34"/>
        <v>18.076913580246913</v>
      </c>
      <c r="BE191">
        <f t="shared" si="35"/>
        <v>14.66872844765432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0.85357700000000003</v>
      </c>
      <c r="H192" s="21">
        <v>7.0322399999999998</v>
      </c>
      <c r="I192" s="21">
        <v>-1.45691E-2</v>
      </c>
      <c r="J192" s="21">
        <v>182</v>
      </c>
      <c r="K192" s="21">
        <v>0.852661</v>
      </c>
      <c r="L192">
        <f t="shared" si="24"/>
        <v>17.98654320987654</v>
      </c>
      <c r="M192">
        <f t="shared" si="25"/>
        <v>15.352899593456788</v>
      </c>
      <c r="N192" s="9"/>
      <c r="O192" s="21">
        <v>0.81649799999999995</v>
      </c>
      <c r="P192" s="21">
        <v>10.791</v>
      </c>
      <c r="Q192" s="21">
        <v>-1.45813E-2</v>
      </c>
      <c r="R192" s="21">
        <v>182</v>
      </c>
      <c r="S192" s="21">
        <v>0.81603999999999999</v>
      </c>
      <c r="T192">
        <f t="shared" si="26"/>
        <v>18.001604938271605</v>
      </c>
      <c r="U192">
        <f t="shared" si="27"/>
        <v>14.698274428888888</v>
      </c>
      <c r="X192" s="9"/>
      <c r="Y192" s="21">
        <v>0.85357700000000003</v>
      </c>
      <c r="Z192" s="21">
        <v>16.258500000000002</v>
      </c>
      <c r="AA192" s="21">
        <v>-1.46179E-2</v>
      </c>
      <c r="AB192" s="21">
        <v>182</v>
      </c>
      <c r="AC192" s="21">
        <v>0.852356</v>
      </c>
      <c r="AD192">
        <f t="shared" si="28"/>
        <v>18.046790123456791</v>
      </c>
      <c r="AE192">
        <f t="shared" si="29"/>
        <v>15.404324973209878</v>
      </c>
      <c r="AF192" s="9"/>
      <c r="AG192" s="21">
        <v>0.81649799999999995</v>
      </c>
      <c r="AH192" s="21">
        <v>20.017199999999999</v>
      </c>
      <c r="AI192" s="21">
        <v>-1.46515E-2</v>
      </c>
      <c r="AJ192" s="21">
        <v>182</v>
      </c>
      <c r="AK192" s="21">
        <v>0.81573499999999999</v>
      </c>
      <c r="AL192">
        <f t="shared" si="30"/>
        <v>18.088271604938271</v>
      </c>
      <c r="AM192">
        <f t="shared" si="31"/>
        <v>14.769037588888887</v>
      </c>
      <c r="AP192" s="9"/>
      <c r="AQ192" s="21">
        <v>0.85357700000000003</v>
      </c>
      <c r="AR192" s="21">
        <v>25.459700000000002</v>
      </c>
      <c r="AS192" s="21">
        <v>-1.46088E-2</v>
      </c>
      <c r="AT192" s="21">
        <v>182</v>
      </c>
      <c r="AU192" s="21">
        <v>0.852966</v>
      </c>
      <c r="AV192">
        <f t="shared" si="32"/>
        <v>18.035555555555554</v>
      </c>
      <c r="AW192">
        <f t="shared" si="33"/>
        <v>15.394735404444443</v>
      </c>
      <c r="AX192" s="9"/>
      <c r="AY192" s="21">
        <v>0.81649799999999995</v>
      </c>
      <c r="AZ192" s="21">
        <v>29.218499999999999</v>
      </c>
      <c r="BA192" s="21">
        <v>-1.46362E-2</v>
      </c>
      <c r="BB192" s="21">
        <v>182</v>
      </c>
      <c r="BC192" s="21">
        <v>0.81603999999999999</v>
      </c>
      <c r="BD192">
        <f t="shared" si="34"/>
        <v>18.069382716049383</v>
      </c>
      <c r="BE192">
        <f t="shared" si="35"/>
        <v>14.753614848888887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0.84854099999999999</v>
      </c>
      <c r="H193" s="21">
        <v>7.0423200000000001</v>
      </c>
      <c r="I193" s="21">
        <v>-1.45691E-2</v>
      </c>
      <c r="J193" s="21">
        <v>183</v>
      </c>
      <c r="K193" s="21">
        <v>0.84777800000000003</v>
      </c>
      <c r="L193">
        <f t="shared" si="24"/>
        <v>17.98654320987654</v>
      </c>
      <c r="M193">
        <f t="shared" si="25"/>
        <v>15.26231936185185</v>
      </c>
      <c r="N193" s="9"/>
      <c r="O193" s="21">
        <v>0.82153299999999996</v>
      </c>
      <c r="P193" s="21">
        <v>10.8011</v>
      </c>
      <c r="Q193" s="21">
        <v>-1.4584400000000001E-2</v>
      </c>
      <c r="R193" s="21">
        <v>183</v>
      </c>
      <c r="S193" s="21">
        <v>0.82031299999999996</v>
      </c>
      <c r="T193">
        <f t="shared" si="26"/>
        <v>18.005432098765432</v>
      </c>
      <c r="U193">
        <f t="shared" si="27"/>
        <v>14.792056648395061</v>
      </c>
      <c r="X193" s="9"/>
      <c r="Y193" s="21">
        <v>0.84854099999999999</v>
      </c>
      <c r="Z193" s="21">
        <v>16.2685</v>
      </c>
      <c r="AA193" s="21">
        <v>-1.4624E-2</v>
      </c>
      <c r="AB193" s="21">
        <v>183</v>
      </c>
      <c r="AC193" s="21">
        <v>0.84777800000000003</v>
      </c>
      <c r="AD193">
        <f t="shared" si="28"/>
        <v>18.054320987654318</v>
      </c>
      <c r="AE193">
        <f t="shared" si="29"/>
        <v>15.319831585185183</v>
      </c>
      <c r="AF193" s="9"/>
      <c r="AG193" s="21">
        <v>0.82153299999999996</v>
      </c>
      <c r="AH193" s="21">
        <v>20.0273</v>
      </c>
      <c r="AI193" s="21">
        <v>-1.46515E-2</v>
      </c>
      <c r="AJ193" s="21">
        <v>183</v>
      </c>
      <c r="AK193" s="21">
        <v>0.82122799999999996</v>
      </c>
      <c r="AL193">
        <f t="shared" si="30"/>
        <v>18.088271604938271</v>
      </c>
      <c r="AM193">
        <f t="shared" si="31"/>
        <v>14.860112036419752</v>
      </c>
      <c r="AP193" s="9"/>
      <c r="AQ193" s="21">
        <v>0.84854099999999999</v>
      </c>
      <c r="AR193" s="21">
        <v>25.469799999999999</v>
      </c>
      <c r="AS193" s="21">
        <v>-1.46179E-2</v>
      </c>
      <c r="AT193" s="21">
        <v>183</v>
      </c>
      <c r="AU193" s="21">
        <v>0.84747300000000003</v>
      </c>
      <c r="AV193">
        <f t="shared" si="32"/>
        <v>18.046790123456791</v>
      </c>
      <c r="AW193">
        <f t="shared" si="33"/>
        <v>15.313441338148149</v>
      </c>
      <c r="AX193" s="9"/>
      <c r="AY193" s="21">
        <v>0.82153299999999996</v>
      </c>
      <c r="AZ193" s="21">
        <v>29.2285</v>
      </c>
      <c r="BA193" s="21">
        <v>-1.4633200000000001E-2</v>
      </c>
      <c r="BB193" s="21">
        <v>183</v>
      </c>
      <c r="BC193" s="21">
        <v>0.82061799999999996</v>
      </c>
      <c r="BD193">
        <f t="shared" si="34"/>
        <v>18.065679012345679</v>
      </c>
      <c r="BE193">
        <f t="shared" si="35"/>
        <v>14.841551476049382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0.84350599999999998</v>
      </c>
      <c r="H194" s="21">
        <v>7.0523899999999999</v>
      </c>
      <c r="I194" s="21">
        <v>-1.4566000000000001E-2</v>
      </c>
      <c r="J194" s="21">
        <v>184</v>
      </c>
      <c r="K194" s="21">
        <v>0.84258999999999995</v>
      </c>
      <c r="L194">
        <f t="shared" si="24"/>
        <v>17.982716049382717</v>
      </c>
      <c r="M194">
        <f t="shared" si="25"/>
        <v>15.168528883950618</v>
      </c>
      <c r="N194" s="9"/>
      <c r="O194" s="21">
        <v>0.826569</v>
      </c>
      <c r="P194" s="21">
        <v>10.811199999999999</v>
      </c>
      <c r="Q194" s="21">
        <v>-1.4578199999999999E-2</v>
      </c>
      <c r="R194" s="21">
        <v>184</v>
      </c>
      <c r="S194" s="21">
        <v>0.82550000000000001</v>
      </c>
      <c r="T194">
        <f t="shared" si="26"/>
        <v>17.997777777777777</v>
      </c>
      <c r="U194">
        <f t="shared" si="27"/>
        <v>14.876405179999999</v>
      </c>
      <c r="X194" s="9"/>
      <c r="Y194" s="21">
        <v>0.84350599999999998</v>
      </c>
      <c r="Z194" s="21">
        <v>16.278600000000001</v>
      </c>
      <c r="AA194" s="21">
        <v>-1.46301E-2</v>
      </c>
      <c r="AB194" s="21">
        <v>184</v>
      </c>
      <c r="AC194" s="21">
        <v>0.84289599999999998</v>
      </c>
      <c r="AD194">
        <f t="shared" si="28"/>
        <v>18.061851851851848</v>
      </c>
      <c r="AE194">
        <f t="shared" si="29"/>
        <v>15.235280408148144</v>
      </c>
      <c r="AF194" s="9"/>
      <c r="AG194" s="21">
        <v>0.826569</v>
      </c>
      <c r="AH194" s="21">
        <v>20.037400000000002</v>
      </c>
      <c r="AI194" s="21">
        <v>-1.4645399999999999E-2</v>
      </c>
      <c r="AJ194" s="21">
        <v>184</v>
      </c>
      <c r="AK194" s="21">
        <v>0.82550000000000001</v>
      </c>
      <c r="AL194">
        <f t="shared" si="30"/>
        <v>18.080740740740737</v>
      </c>
      <c r="AM194">
        <f t="shared" si="31"/>
        <v>14.94497979333333</v>
      </c>
      <c r="AP194" s="9"/>
      <c r="AQ194" s="21">
        <v>0.84350599999999998</v>
      </c>
      <c r="AR194" s="21">
        <v>25.479800000000001</v>
      </c>
      <c r="AS194" s="21">
        <v>-1.46179E-2</v>
      </c>
      <c r="AT194" s="21">
        <v>184</v>
      </c>
      <c r="AU194" s="21">
        <v>0.84258999999999995</v>
      </c>
      <c r="AV194">
        <f t="shared" si="32"/>
        <v>18.046790123456791</v>
      </c>
      <c r="AW194">
        <f t="shared" si="33"/>
        <v>15.222575749876544</v>
      </c>
      <c r="AX194" s="9"/>
      <c r="AY194" s="21">
        <v>0.826569</v>
      </c>
      <c r="AZ194" s="21">
        <v>29.238600000000002</v>
      </c>
      <c r="BA194" s="21">
        <v>-1.46423E-2</v>
      </c>
      <c r="BB194" s="21">
        <v>184</v>
      </c>
      <c r="BC194" s="21">
        <v>0.82611100000000004</v>
      </c>
      <c r="BD194">
        <f t="shared" si="34"/>
        <v>18.076913580246913</v>
      </c>
      <c r="BE194">
        <f t="shared" si="35"/>
        <v>14.94181638111111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0.83847000000000005</v>
      </c>
      <c r="H195" s="21">
        <v>7.0624599999999997</v>
      </c>
      <c r="I195" s="21">
        <v>-1.4566000000000001E-2</v>
      </c>
      <c r="J195" s="21">
        <v>185</v>
      </c>
      <c r="K195" s="21">
        <v>0.83740199999999998</v>
      </c>
      <c r="L195">
        <f t="shared" si="24"/>
        <v>17.982716049382717</v>
      </c>
      <c r="M195">
        <f t="shared" si="25"/>
        <v>15.077967925925927</v>
      </c>
      <c r="N195" s="9"/>
      <c r="O195" s="21">
        <v>0.83160400000000001</v>
      </c>
      <c r="P195" s="21">
        <v>10.821199999999999</v>
      </c>
      <c r="Q195" s="21">
        <v>-1.4578199999999999E-2</v>
      </c>
      <c r="R195" s="21">
        <v>185</v>
      </c>
      <c r="S195" s="21">
        <v>0.83068799999999998</v>
      </c>
      <c r="T195">
        <f t="shared" si="26"/>
        <v>17.997777777777777</v>
      </c>
      <c r="U195">
        <f t="shared" si="27"/>
        <v>14.967023991111111</v>
      </c>
      <c r="X195" s="9"/>
      <c r="Y195" s="21">
        <v>0.83847000000000005</v>
      </c>
      <c r="Z195" s="21">
        <v>16.288699999999999</v>
      </c>
      <c r="AA195" s="21">
        <v>-1.46301E-2</v>
      </c>
      <c r="AB195" s="21">
        <v>185</v>
      </c>
      <c r="AC195" s="21">
        <v>0.83770800000000001</v>
      </c>
      <c r="AD195">
        <f t="shared" si="28"/>
        <v>18.061851851851848</v>
      </c>
      <c r="AE195">
        <f t="shared" si="29"/>
        <v>15.144320922222221</v>
      </c>
      <c r="AF195" s="9"/>
      <c r="AG195" s="21">
        <v>0.83160400000000001</v>
      </c>
      <c r="AH195" s="21">
        <v>20.0474</v>
      </c>
      <c r="AI195" s="21">
        <v>-1.46423E-2</v>
      </c>
      <c r="AJ195" s="21">
        <v>185</v>
      </c>
      <c r="AK195" s="21">
        <v>0.83099400000000001</v>
      </c>
      <c r="AL195">
        <f t="shared" si="30"/>
        <v>18.076913580246913</v>
      </c>
      <c r="AM195">
        <f t="shared" si="31"/>
        <v>15.032833640987654</v>
      </c>
      <c r="AP195" s="9"/>
      <c r="AQ195" s="21">
        <v>0.83847000000000005</v>
      </c>
      <c r="AR195" s="21">
        <v>25.489899999999999</v>
      </c>
      <c r="AS195" s="21">
        <v>-1.4621E-2</v>
      </c>
      <c r="AT195" s="21">
        <v>185</v>
      </c>
      <c r="AU195" s="21">
        <v>0.83801300000000001</v>
      </c>
      <c r="AV195">
        <f t="shared" si="32"/>
        <v>18.050617283950618</v>
      </c>
      <c r="AW195">
        <f t="shared" si="33"/>
        <v>15.134901074074076</v>
      </c>
      <c r="AX195" s="9"/>
      <c r="AY195" s="21">
        <v>0.83160400000000001</v>
      </c>
      <c r="AZ195" s="21">
        <v>29.248699999999999</v>
      </c>
      <c r="BA195" s="21">
        <v>-1.4639299999999999E-2</v>
      </c>
      <c r="BB195" s="21">
        <v>185</v>
      </c>
      <c r="BC195" s="21">
        <v>0.83038299999999998</v>
      </c>
      <c r="BD195">
        <f t="shared" si="34"/>
        <v>18.07320987654321</v>
      </c>
      <c r="BE195">
        <f t="shared" si="35"/>
        <v>15.029753626172839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0.83343500000000004</v>
      </c>
      <c r="H196" s="21">
        <v>7.0725300000000004</v>
      </c>
      <c r="I196" s="21">
        <v>-1.45691E-2</v>
      </c>
      <c r="J196" s="21">
        <v>186</v>
      </c>
      <c r="K196" s="21">
        <v>0.83252000000000004</v>
      </c>
      <c r="L196">
        <f t="shared" si="24"/>
        <v>17.98654320987654</v>
      </c>
      <c r="M196">
        <f t="shared" si="25"/>
        <v>14.990614640123455</v>
      </c>
      <c r="N196" s="9"/>
      <c r="O196" s="21">
        <v>0.83663900000000002</v>
      </c>
      <c r="P196" s="21">
        <v>10.831300000000001</v>
      </c>
      <c r="Q196" s="21">
        <v>-1.4578199999999999E-2</v>
      </c>
      <c r="R196" s="21">
        <v>186</v>
      </c>
      <c r="S196" s="21">
        <v>0.83526599999999995</v>
      </c>
      <c r="T196">
        <f t="shared" si="26"/>
        <v>17.997777777777777</v>
      </c>
      <c r="U196">
        <f t="shared" si="27"/>
        <v>15.057642802222222</v>
      </c>
      <c r="X196" s="9"/>
      <c r="Y196" s="21">
        <v>0.83343500000000004</v>
      </c>
      <c r="Z196" s="21">
        <v>16.2987</v>
      </c>
      <c r="AA196" s="21">
        <v>-1.46362E-2</v>
      </c>
      <c r="AB196" s="21">
        <v>186</v>
      </c>
      <c r="AC196" s="21">
        <v>0.83252000000000004</v>
      </c>
      <c r="AD196">
        <f t="shared" si="28"/>
        <v>18.069382716049383</v>
      </c>
      <c r="AE196">
        <f t="shared" si="29"/>
        <v>15.059655983950618</v>
      </c>
      <c r="AF196" s="9"/>
      <c r="AG196" s="21">
        <v>0.83663900000000002</v>
      </c>
      <c r="AH196" s="21">
        <v>20.057500000000001</v>
      </c>
      <c r="AI196" s="21">
        <v>-1.4627100000000001E-2</v>
      </c>
      <c r="AJ196" s="21">
        <v>186</v>
      </c>
      <c r="AK196" s="21">
        <v>0.83587599999999995</v>
      </c>
      <c r="AL196">
        <f t="shared" si="30"/>
        <v>18.058148148148145</v>
      </c>
      <c r="AM196">
        <f t="shared" si="31"/>
        <v>15.108151008518517</v>
      </c>
      <c r="AP196" s="9"/>
      <c r="AQ196" s="21">
        <v>0.83343500000000004</v>
      </c>
      <c r="AR196" s="21">
        <v>25.5</v>
      </c>
      <c r="AS196" s="21">
        <v>-1.4621E-2</v>
      </c>
      <c r="AT196" s="21">
        <v>186</v>
      </c>
      <c r="AU196" s="21">
        <v>0.83252000000000004</v>
      </c>
      <c r="AV196">
        <f t="shared" si="32"/>
        <v>18.050617283950618</v>
      </c>
      <c r="AW196">
        <f t="shared" si="33"/>
        <v>15.044016216049384</v>
      </c>
      <c r="AX196" s="9"/>
      <c r="AY196" s="21">
        <v>0.83663900000000002</v>
      </c>
      <c r="AZ196" s="21">
        <v>29.258700000000001</v>
      </c>
      <c r="BA196" s="21">
        <v>-1.46423E-2</v>
      </c>
      <c r="BB196" s="21">
        <v>186</v>
      </c>
      <c r="BC196" s="21">
        <v>0.83557099999999995</v>
      </c>
      <c r="BD196">
        <f t="shared" si="34"/>
        <v>18.076913580246913</v>
      </c>
      <c r="BE196">
        <f t="shared" si="35"/>
        <v>15.123850900864197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0.82840000000000003</v>
      </c>
      <c r="H197" s="21">
        <v>7.0826000000000002</v>
      </c>
      <c r="I197" s="21">
        <v>-1.45752E-2</v>
      </c>
      <c r="J197" s="21">
        <v>187</v>
      </c>
      <c r="K197" s="21">
        <v>0.82824699999999996</v>
      </c>
      <c r="L197">
        <f t="shared" si="24"/>
        <v>17.994074074074071</v>
      </c>
      <c r="M197">
        <f t="shared" si="25"/>
        <v>14.906290962962961</v>
      </c>
      <c r="N197" s="9"/>
      <c r="O197" s="21">
        <v>0.84167499999999995</v>
      </c>
      <c r="P197" s="21">
        <v>10.8414</v>
      </c>
      <c r="Q197" s="21">
        <v>-1.4572099999999999E-2</v>
      </c>
      <c r="R197" s="21">
        <v>187</v>
      </c>
      <c r="S197" s="21">
        <v>0.84136999999999995</v>
      </c>
      <c r="T197">
        <f t="shared" si="26"/>
        <v>17.990246913580243</v>
      </c>
      <c r="U197">
        <f t="shared" si="27"/>
        <v>15.141941070987651</v>
      </c>
      <c r="X197" s="9"/>
      <c r="Y197" s="21">
        <v>0.82840000000000003</v>
      </c>
      <c r="Z197" s="21">
        <v>16.308800000000002</v>
      </c>
      <c r="AA197" s="21">
        <v>-1.4639299999999999E-2</v>
      </c>
      <c r="AB197" s="21">
        <v>187</v>
      </c>
      <c r="AC197" s="21">
        <v>0.82763699999999996</v>
      </c>
      <c r="AD197">
        <f t="shared" si="28"/>
        <v>18.07320987654321</v>
      </c>
      <c r="AE197">
        <f t="shared" si="29"/>
        <v>14.971847061728395</v>
      </c>
      <c r="AF197" s="9"/>
      <c r="AG197" s="21">
        <v>0.84167499999999995</v>
      </c>
      <c r="AH197" s="21">
        <v>20.067599999999999</v>
      </c>
      <c r="AI197" s="21">
        <v>-1.46149E-2</v>
      </c>
      <c r="AJ197" s="21">
        <v>187</v>
      </c>
      <c r="AK197" s="21">
        <v>0.84106400000000003</v>
      </c>
      <c r="AL197">
        <f t="shared" si="30"/>
        <v>18.043086419753088</v>
      </c>
      <c r="AM197">
        <f t="shared" si="31"/>
        <v>15.186414762345679</v>
      </c>
      <c r="AP197" s="9"/>
      <c r="AQ197" s="21">
        <v>0.82840000000000003</v>
      </c>
      <c r="AR197" s="21">
        <v>25.51</v>
      </c>
      <c r="AS197" s="21">
        <v>-1.4624E-2</v>
      </c>
      <c r="AT197" s="21">
        <v>187</v>
      </c>
      <c r="AU197" s="21">
        <v>0.82794199999999996</v>
      </c>
      <c r="AV197">
        <f t="shared" si="32"/>
        <v>18.054320987654318</v>
      </c>
      <c r="AW197">
        <f t="shared" si="33"/>
        <v>14.956199506172837</v>
      </c>
      <c r="AX197" s="9"/>
      <c r="AY197" s="21">
        <v>0.84167499999999995</v>
      </c>
      <c r="AZ197" s="21">
        <v>29.268799999999999</v>
      </c>
      <c r="BA197" s="21">
        <v>-1.46362E-2</v>
      </c>
      <c r="BB197" s="21">
        <v>187</v>
      </c>
      <c r="BC197" s="21">
        <v>0.84075900000000003</v>
      </c>
      <c r="BD197">
        <f t="shared" si="34"/>
        <v>18.069382716049383</v>
      </c>
      <c r="BE197">
        <f t="shared" si="35"/>
        <v>15.208547697530863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0.82336399999999998</v>
      </c>
      <c r="H198" s="21">
        <v>7.09267</v>
      </c>
      <c r="I198" s="21">
        <v>-1.4584400000000001E-2</v>
      </c>
      <c r="J198" s="21">
        <v>188</v>
      </c>
      <c r="K198" s="21">
        <v>0.82244899999999999</v>
      </c>
      <c r="L198">
        <f t="shared" si="24"/>
        <v>18.005432098765432</v>
      </c>
      <c r="M198">
        <f t="shared" si="25"/>
        <v>14.825024594567902</v>
      </c>
      <c r="N198" s="9"/>
      <c r="O198" s="21">
        <v>0.84670999999999996</v>
      </c>
      <c r="P198" s="21">
        <v>10.8514</v>
      </c>
      <c r="Q198" s="21">
        <v>-1.4572099999999999E-2</v>
      </c>
      <c r="R198" s="21">
        <v>188</v>
      </c>
      <c r="S198" s="21">
        <v>0.845947</v>
      </c>
      <c r="T198">
        <f t="shared" si="26"/>
        <v>17.990246913580243</v>
      </c>
      <c r="U198">
        <f t="shared" si="27"/>
        <v>15.232521964197527</v>
      </c>
      <c r="X198" s="9"/>
      <c r="Y198" s="21">
        <v>0.82336399999999998</v>
      </c>
      <c r="Z198" s="21">
        <v>16.318899999999999</v>
      </c>
      <c r="AA198" s="21">
        <v>-1.4639299999999999E-2</v>
      </c>
      <c r="AB198" s="21">
        <v>188</v>
      </c>
      <c r="AC198" s="21">
        <v>0.82275399999999999</v>
      </c>
      <c r="AD198">
        <f t="shared" si="28"/>
        <v>18.07320987654321</v>
      </c>
      <c r="AE198">
        <f t="shared" si="29"/>
        <v>14.880830376790124</v>
      </c>
      <c r="AF198" s="9"/>
      <c r="AG198" s="21">
        <v>0.84670999999999996</v>
      </c>
      <c r="AH198" s="21">
        <v>20.0776</v>
      </c>
      <c r="AI198" s="21">
        <v>-1.46088E-2</v>
      </c>
      <c r="AJ198" s="21">
        <v>188</v>
      </c>
      <c r="AK198" s="21">
        <v>0.845642</v>
      </c>
      <c r="AL198">
        <f t="shared" si="30"/>
        <v>18.035555555555554</v>
      </c>
      <c r="AM198">
        <f t="shared" si="31"/>
        <v>15.270885244444443</v>
      </c>
      <c r="AP198" s="9"/>
      <c r="AQ198" s="21">
        <v>0.82336399999999998</v>
      </c>
      <c r="AR198" s="21">
        <v>25.520099999999999</v>
      </c>
      <c r="AS198" s="21">
        <v>-1.4627100000000001E-2</v>
      </c>
      <c r="AT198" s="21">
        <v>188</v>
      </c>
      <c r="AU198" s="21">
        <v>0.82336399999999998</v>
      </c>
      <c r="AV198">
        <f t="shared" si="32"/>
        <v>18.058148148148145</v>
      </c>
      <c r="AW198">
        <f t="shared" si="33"/>
        <v>14.86842909185185</v>
      </c>
      <c r="AX198" s="9"/>
      <c r="AY198" s="21">
        <v>0.84670999999999996</v>
      </c>
      <c r="AZ198" s="21">
        <v>29.2789</v>
      </c>
      <c r="BA198" s="21">
        <v>-1.4633200000000001E-2</v>
      </c>
      <c r="BB198" s="21">
        <v>188</v>
      </c>
      <c r="BC198" s="21">
        <v>0.846252</v>
      </c>
      <c r="BD198">
        <f t="shared" si="34"/>
        <v>18.065679012345679</v>
      </c>
      <c r="BE198">
        <f t="shared" si="35"/>
        <v>15.296391076543209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0.81832899999999997</v>
      </c>
      <c r="H199" s="21">
        <v>7.1027399999999998</v>
      </c>
      <c r="I199" s="21">
        <v>-1.4593500000000001E-2</v>
      </c>
      <c r="J199" s="21">
        <v>189</v>
      </c>
      <c r="K199" s="21">
        <v>0.81726100000000002</v>
      </c>
      <c r="L199">
        <f t="shared" si="24"/>
        <v>18.016666666666666</v>
      </c>
      <c r="M199">
        <f t="shared" si="25"/>
        <v>14.743560816666665</v>
      </c>
      <c r="N199" s="9"/>
      <c r="O199" s="21">
        <v>0.851746</v>
      </c>
      <c r="P199" s="21">
        <v>10.861499999999999</v>
      </c>
      <c r="Q199" s="21">
        <v>-1.4566000000000001E-2</v>
      </c>
      <c r="R199" s="21">
        <v>189</v>
      </c>
      <c r="S199" s="21">
        <v>0.85052499999999998</v>
      </c>
      <c r="T199">
        <f t="shared" si="26"/>
        <v>17.982716049382717</v>
      </c>
      <c r="U199">
        <f t="shared" si="27"/>
        <v>15.316706464197532</v>
      </c>
      <c r="X199" s="9"/>
      <c r="Y199" s="21">
        <v>0.81832899999999997</v>
      </c>
      <c r="Z199" s="21">
        <v>16.329000000000001</v>
      </c>
      <c r="AA199" s="21">
        <v>-1.4645399999999999E-2</v>
      </c>
      <c r="AB199" s="21">
        <v>189</v>
      </c>
      <c r="AC199" s="21">
        <v>0.81756600000000001</v>
      </c>
      <c r="AD199">
        <f t="shared" si="28"/>
        <v>18.080740740740737</v>
      </c>
      <c r="AE199">
        <f t="shared" si="29"/>
        <v>14.795994489629626</v>
      </c>
      <c r="AF199" s="9"/>
      <c r="AG199" s="21">
        <v>0.851746</v>
      </c>
      <c r="AH199" s="21">
        <v>20.087700000000002</v>
      </c>
      <c r="AI199" s="21">
        <v>-1.46027E-2</v>
      </c>
      <c r="AJ199" s="21">
        <v>189</v>
      </c>
      <c r="AK199" s="21">
        <v>0.85082999999999998</v>
      </c>
      <c r="AL199">
        <f t="shared" si="30"/>
        <v>18.028024691358024</v>
      </c>
      <c r="AM199">
        <f t="shared" si="31"/>
        <v>15.355297918765432</v>
      </c>
      <c r="AP199" s="9"/>
      <c r="AQ199" s="21">
        <v>0.81832899999999997</v>
      </c>
      <c r="AR199" s="21">
        <v>25.530200000000001</v>
      </c>
      <c r="AS199" s="21">
        <v>-1.46362E-2</v>
      </c>
      <c r="AT199" s="21">
        <v>189</v>
      </c>
      <c r="AU199" s="21">
        <v>0.81726100000000002</v>
      </c>
      <c r="AV199">
        <f t="shared" si="32"/>
        <v>18.069382716049383</v>
      </c>
      <c r="AW199">
        <f t="shared" si="33"/>
        <v>14.786699888641975</v>
      </c>
      <c r="AX199" s="9"/>
      <c r="AY199" s="21">
        <v>0.851746</v>
      </c>
      <c r="AZ199" s="21">
        <v>29.288900000000002</v>
      </c>
      <c r="BA199" s="21">
        <v>-1.4624E-2</v>
      </c>
      <c r="BB199" s="21">
        <v>189</v>
      </c>
      <c r="BC199" s="21">
        <v>0.85052499999999998</v>
      </c>
      <c r="BD199">
        <f t="shared" si="34"/>
        <v>18.054320987654318</v>
      </c>
      <c r="BE199">
        <f t="shared" si="35"/>
        <v>15.377695683950614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0.81329300000000004</v>
      </c>
      <c r="H200" s="21">
        <v>7.1128099999999996</v>
      </c>
      <c r="I200" s="21">
        <v>-1.4611799999999999E-2</v>
      </c>
      <c r="J200" s="21">
        <v>190</v>
      </c>
      <c r="K200" s="21">
        <v>0.81237800000000004</v>
      </c>
      <c r="L200">
        <f t="shared" si="24"/>
        <v>18.039259259259257</v>
      </c>
      <c r="M200">
        <f t="shared" si="25"/>
        <v>14.671203280740739</v>
      </c>
      <c r="N200" s="9"/>
      <c r="O200" s="21">
        <v>0.85678100000000001</v>
      </c>
      <c r="P200" s="21">
        <v>10.871600000000001</v>
      </c>
      <c r="Q200" s="21">
        <v>-1.4559900000000001E-2</v>
      </c>
      <c r="R200" s="21">
        <v>190</v>
      </c>
      <c r="S200" s="21">
        <v>0.85601799999999995</v>
      </c>
      <c r="T200">
        <f t="shared" si="26"/>
        <v>17.975185185185186</v>
      </c>
      <c r="U200">
        <f t="shared" si="27"/>
        <v>15.40079713814815</v>
      </c>
      <c r="X200" s="9"/>
      <c r="Y200" s="21">
        <v>0.81329300000000004</v>
      </c>
      <c r="Z200" s="21">
        <v>16.338999999999999</v>
      </c>
      <c r="AA200" s="21">
        <v>-1.46515E-2</v>
      </c>
      <c r="AB200" s="21">
        <v>190</v>
      </c>
      <c r="AC200" s="21">
        <v>0.81237800000000004</v>
      </c>
      <c r="AD200">
        <f t="shared" si="28"/>
        <v>18.088271604938271</v>
      </c>
      <c r="AE200">
        <f t="shared" si="29"/>
        <v>14.711064678395061</v>
      </c>
      <c r="AF200" s="9"/>
      <c r="AG200" s="21">
        <v>0.85678100000000001</v>
      </c>
      <c r="AH200" s="21">
        <v>20.097799999999999</v>
      </c>
      <c r="AI200" s="21">
        <v>-1.46088E-2</v>
      </c>
      <c r="AJ200" s="21">
        <v>190</v>
      </c>
      <c r="AK200" s="21">
        <v>0.85632299999999995</v>
      </c>
      <c r="AL200">
        <f t="shared" si="30"/>
        <v>18.035555555555554</v>
      </c>
      <c r="AM200">
        <f t="shared" si="31"/>
        <v>15.452521324444444</v>
      </c>
      <c r="AP200" s="9"/>
      <c r="AQ200" s="21">
        <v>0.81329300000000004</v>
      </c>
      <c r="AR200" s="21">
        <v>25.540299999999998</v>
      </c>
      <c r="AS200" s="21">
        <v>-1.4645399999999999E-2</v>
      </c>
      <c r="AT200" s="21">
        <v>190</v>
      </c>
      <c r="AU200" s="21">
        <v>0.81268300000000004</v>
      </c>
      <c r="AV200">
        <f t="shared" si="32"/>
        <v>18.080740740740737</v>
      </c>
      <c r="AW200">
        <f t="shared" si="33"/>
        <v>14.704939879259257</v>
      </c>
      <c r="AX200" s="9"/>
      <c r="AY200" s="21">
        <v>0.85678100000000001</v>
      </c>
      <c r="AZ200" s="21">
        <v>29.298999999999999</v>
      </c>
      <c r="BA200" s="21">
        <v>-1.46179E-2</v>
      </c>
      <c r="BB200" s="21">
        <v>190</v>
      </c>
      <c r="BC200" s="21">
        <v>0.85632299999999995</v>
      </c>
      <c r="BD200">
        <f t="shared" si="34"/>
        <v>18.046790123456791</v>
      </c>
      <c r="BE200">
        <f t="shared" si="35"/>
        <v>15.462146888765433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0.80825800000000003</v>
      </c>
      <c r="H201" s="21">
        <v>7.1228800000000003</v>
      </c>
      <c r="I201" s="21">
        <v>-1.4624E-2</v>
      </c>
      <c r="J201" s="21">
        <v>191</v>
      </c>
      <c r="K201" s="21">
        <v>0.80779999999999996</v>
      </c>
      <c r="L201">
        <f t="shared" si="24"/>
        <v>18.054320987654318</v>
      </c>
      <c r="M201">
        <f t="shared" si="25"/>
        <v>14.592549372839505</v>
      </c>
      <c r="N201" s="9"/>
      <c r="O201" s="21">
        <v>0.86181600000000003</v>
      </c>
      <c r="P201" s="21">
        <v>10.8817</v>
      </c>
      <c r="Q201" s="21">
        <v>-1.4556899999999999E-2</v>
      </c>
      <c r="R201" s="21">
        <v>191</v>
      </c>
      <c r="S201" s="21">
        <v>0.86120600000000003</v>
      </c>
      <c r="T201">
        <f t="shared" si="26"/>
        <v>17.971481481481479</v>
      </c>
      <c r="U201">
        <f t="shared" si="27"/>
        <v>15.488110284444444</v>
      </c>
      <c r="X201" s="9"/>
      <c r="Y201" s="21">
        <v>0.80825800000000003</v>
      </c>
      <c r="Z201" s="21">
        <v>16.3491</v>
      </c>
      <c r="AA201" s="21">
        <v>-1.4660599999999999E-2</v>
      </c>
      <c r="AB201" s="21">
        <v>191</v>
      </c>
      <c r="AC201" s="21">
        <v>0.80627400000000005</v>
      </c>
      <c r="AD201">
        <f t="shared" si="28"/>
        <v>18.099506172839504</v>
      </c>
      <c r="AE201">
        <f t="shared" si="29"/>
        <v>14.629070660246912</v>
      </c>
      <c r="AF201" s="9"/>
      <c r="AG201" s="21">
        <v>0.86181600000000003</v>
      </c>
      <c r="AH201" s="21">
        <v>20.107900000000001</v>
      </c>
      <c r="AI201" s="21">
        <v>-1.4605699999999999E-2</v>
      </c>
      <c r="AJ201" s="21">
        <v>191</v>
      </c>
      <c r="AK201" s="21">
        <v>0.86120600000000003</v>
      </c>
      <c r="AL201">
        <f t="shared" si="30"/>
        <v>18.031728395061727</v>
      </c>
      <c r="AM201">
        <f t="shared" si="31"/>
        <v>15.540032038518518</v>
      </c>
      <c r="AP201" s="9"/>
      <c r="AQ201" s="21">
        <v>0.80825800000000003</v>
      </c>
      <c r="AR201" s="21">
        <v>25.5503</v>
      </c>
      <c r="AS201" s="21">
        <v>-1.46515E-2</v>
      </c>
      <c r="AT201" s="21">
        <v>191</v>
      </c>
      <c r="AU201" s="21">
        <v>0.80718999999999996</v>
      </c>
      <c r="AV201">
        <f t="shared" si="32"/>
        <v>18.088271604938271</v>
      </c>
      <c r="AW201">
        <f t="shared" si="33"/>
        <v>14.619990230864197</v>
      </c>
      <c r="AX201" s="9"/>
      <c r="AY201" s="21">
        <v>0.86181600000000003</v>
      </c>
      <c r="AZ201" s="21">
        <v>29.309100000000001</v>
      </c>
      <c r="BA201" s="21">
        <v>-1.4605699999999999E-2</v>
      </c>
      <c r="BB201" s="21">
        <v>191</v>
      </c>
      <c r="BC201" s="21">
        <v>0.86090100000000003</v>
      </c>
      <c r="BD201">
        <f t="shared" si="34"/>
        <v>18.031728395061727</v>
      </c>
      <c r="BE201">
        <f t="shared" si="35"/>
        <v>15.540032038518518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0.80322300000000002</v>
      </c>
      <c r="H202" s="21">
        <v>7.1329500000000001</v>
      </c>
      <c r="I202" s="21">
        <v>-1.4633200000000001E-2</v>
      </c>
      <c r="J202" s="21">
        <v>192</v>
      </c>
      <c r="K202" s="21">
        <v>0.80261199999999999</v>
      </c>
      <c r="L202">
        <f t="shared" si="24"/>
        <v>18.065679012345679</v>
      </c>
      <c r="M202">
        <f t="shared" si="25"/>
        <v>14.510768893333333</v>
      </c>
      <c r="N202" s="9"/>
      <c r="O202" s="21">
        <v>0.86685199999999996</v>
      </c>
      <c r="P202" s="21">
        <v>10.8917</v>
      </c>
      <c r="Q202" s="21">
        <v>-1.45538E-2</v>
      </c>
      <c r="R202" s="21">
        <v>192</v>
      </c>
      <c r="S202" s="21">
        <v>0.865479</v>
      </c>
      <c r="T202">
        <f t="shared" si="26"/>
        <v>17.967654320987652</v>
      </c>
      <c r="U202">
        <f t="shared" si="27"/>
        <v>15.575297083456787</v>
      </c>
      <c r="X202" s="9"/>
      <c r="Y202" s="21">
        <v>0.80322300000000002</v>
      </c>
      <c r="Z202" s="21">
        <v>16.359200000000001</v>
      </c>
      <c r="AA202" s="21">
        <v>-1.4682000000000001E-2</v>
      </c>
      <c r="AB202" s="21">
        <v>192</v>
      </c>
      <c r="AC202" s="21">
        <v>0.80261199999999999</v>
      </c>
      <c r="AD202">
        <f t="shared" si="28"/>
        <v>18.125925925925923</v>
      </c>
      <c r="AE202">
        <f t="shared" si="29"/>
        <v>14.559160599999998</v>
      </c>
      <c r="AF202" s="9"/>
      <c r="AG202" s="21">
        <v>0.86685199999999996</v>
      </c>
      <c r="AH202" s="21">
        <v>20.117899999999999</v>
      </c>
      <c r="AI202" s="21">
        <v>-1.46027E-2</v>
      </c>
      <c r="AJ202" s="21">
        <v>192</v>
      </c>
      <c r="AK202" s="21">
        <v>0.866394</v>
      </c>
      <c r="AL202">
        <f t="shared" si="30"/>
        <v>18.028024691358024</v>
      </c>
      <c r="AM202">
        <f t="shared" si="31"/>
        <v>15.627629259753085</v>
      </c>
      <c r="AP202" s="9"/>
      <c r="AQ202" s="21">
        <v>0.80322300000000002</v>
      </c>
      <c r="AR202" s="21">
        <v>25.560400000000001</v>
      </c>
      <c r="AS202" s="21">
        <v>-1.4660599999999999E-2</v>
      </c>
      <c r="AT202" s="21">
        <v>192</v>
      </c>
      <c r="AU202" s="21">
        <v>0.80261199999999999</v>
      </c>
      <c r="AV202">
        <f t="shared" si="32"/>
        <v>18.099506172839504</v>
      </c>
      <c r="AW202">
        <f t="shared" si="33"/>
        <v>14.537939646666665</v>
      </c>
      <c r="AX202" s="9"/>
      <c r="AY202" s="21">
        <v>0.86685199999999996</v>
      </c>
      <c r="AZ202" s="21">
        <v>29.319199999999999</v>
      </c>
      <c r="BA202" s="21">
        <v>-1.4599600000000001E-2</v>
      </c>
      <c r="BB202" s="21">
        <v>192</v>
      </c>
      <c r="BC202" s="21">
        <v>0.866394</v>
      </c>
      <c r="BD202">
        <f t="shared" si="34"/>
        <v>18.0241975308642</v>
      </c>
      <c r="BE202">
        <f t="shared" si="35"/>
        <v>15.624311678024693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0.79818699999999998</v>
      </c>
      <c r="H203" s="21">
        <v>7.1430300000000004</v>
      </c>
      <c r="I203" s="21">
        <v>-1.4639299999999999E-2</v>
      </c>
      <c r="J203" s="21">
        <v>193</v>
      </c>
      <c r="K203" s="21">
        <v>0.79742400000000002</v>
      </c>
      <c r="L203">
        <f t="shared" si="24"/>
        <v>18.07320987654321</v>
      </c>
      <c r="M203">
        <f t="shared" si="25"/>
        <v>14.425801171728395</v>
      </c>
      <c r="N203" s="9"/>
      <c r="O203" s="21">
        <v>0.87188699999999997</v>
      </c>
      <c r="P203" s="21">
        <v>10.9018</v>
      </c>
      <c r="Q203" s="21">
        <v>-1.4544700000000001E-2</v>
      </c>
      <c r="R203" s="21">
        <v>193</v>
      </c>
      <c r="S203" s="21">
        <v>0.87097199999999997</v>
      </c>
      <c r="T203">
        <f t="shared" si="26"/>
        <v>17.956419753086422</v>
      </c>
      <c r="U203">
        <f t="shared" si="27"/>
        <v>15.655968949259261</v>
      </c>
      <c r="X203" s="9"/>
      <c r="Y203" s="21">
        <v>0.79818699999999998</v>
      </c>
      <c r="Z203" s="21">
        <v>16.369199999999999</v>
      </c>
      <c r="AA203" s="21">
        <v>-1.46912E-2</v>
      </c>
      <c r="AB203" s="21">
        <v>193</v>
      </c>
      <c r="AC203" s="21">
        <v>0.79742400000000002</v>
      </c>
      <c r="AD203">
        <f t="shared" si="28"/>
        <v>18.137283950617284</v>
      </c>
      <c r="AE203">
        <f t="shared" si="29"/>
        <v>14.476944264691358</v>
      </c>
      <c r="AF203" s="9"/>
      <c r="AG203" s="21">
        <v>0.87188699999999997</v>
      </c>
      <c r="AH203" s="21">
        <v>20.128</v>
      </c>
      <c r="AI203" s="21">
        <v>-1.4599600000000001E-2</v>
      </c>
      <c r="AJ203" s="21">
        <v>193</v>
      </c>
      <c r="AK203" s="21">
        <v>0.87066699999999997</v>
      </c>
      <c r="AL203">
        <f t="shared" si="30"/>
        <v>18.0241975308642</v>
      </c>
      <c r="AM203">
        <f t="shared" si="31"/>
        <v>15.715063512592593</v>
      </c>
      <c r="AP203" s="9"/>
      <c r="AQ203" s="21">
        <v>0.79818699999999998</v>
      </c>
      <c r="AR203" s="21">
        <v>25.570499999999999</v>
      </c>
      <c r="AS203" s="21">
        <v>-1.46698E-2</v>
      </c>
      <c r="AT203" s="21">
        <v>193</v>
      </c>
      <c r="AU203" s="21">
        <v>0.79742400000000002</v>
      </c>
      <c r="AV203">
        <f t="shared" si="32"/>
        <v>18.110864197530866</v>
      </c>
      <c r="AW203">
        <f t="shared" si="33"/>
        <v>14.455856361234568</v>
      </c>
      <c r="AX203" s="9"/>
      <c r="AY203" s="21">
        <v>0.87188699999999997</v>
      </c>
      <c r="AZ203" s="21">
        <v>29.3292</v>
      </c>
      <c r="BA203" s="21">
        <v>-1.45966E-2</v>
      </c>
      <c r="BB203" s="21">
        <v>193</v>
      </c>
      <c r="BC203" s="21">
        <v>0.87097199999999997</v>
      </c>
      <c r="BD203">
        <f t="shared" si="34"/>
        <v>18.020493827160493</v>
      </c>
      <c r="BE203">
        <f t="shared" si="35"/>
        <v>15.711834301481479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0.79315199999999997</v>
      </c>
      <c r="H204" s="21">
        <v>7.1531000000000002</v>
      </c>
      <c r="I204" s="21">
        <v>-1.46301E-2</v>
      </c>
      <c r="J204" s="21">
        <v>194</v>
      </c>
      <c r="K204" s="21">
        <v>0.79223600000000005</v>
      </c>
      <c r="L204">
        <f t="shared" ref="L204:L267" si="36">-I204/$F$2*1000</f>
        <v>18.061851851851848</v>
      </c>
      <c r="M204">
        <f t="shared" ref="M204:M267" si="37">L204*G204</f>
        <v>14.325793919999997</v>
      </c>
      <c r="N204" s="9"/>
      <c r="O204" s="21">
        <v>0.87692300000000001</v>
      </c>
      <c r="P204" s="21">
        <v>10.911899999999999</v>
      </c>
      <c r="Q204" s="21">
        <v>-1.45416E-2</v>
      </c>
      <c r="R204" s="21">
        <v>194</v>
      </c>
      <c r="S204" s="21">
        <v>0.87585400000000002</v>
      </c>
      <c r="T204">
        <f t="shared" ref="T204:T267" si="38">-Q204/$F$2*1000</f>
        <v>17.952592592592595</v>
      </c>
      <c r="U204">
        <f t="shared" ref="U204:U267" si="39">T204*O204</f>
        <v>15.743041354074077</v>
      </c>
      <c r="X204" s="9"/>
      <c r="Y204" s="21">
        <v>0.79315199999999997</v>
      </c>
      <c r="Z204" s="21">
        <v>16.379300000000001</v>
      </c>
      <c r="AA204" s="21">
        <v>-1.46973E-2</v>
      </c>
      <c r="AB204" s="21">
        <v>194</v>
      </c>
      <c r="AC204" s="21">
        <v>0.79223600000000005</v>
      </c>
      <c r="AD204">
        <f t="shared" ref="AD204:AD267" si="40">-AA204/$F$2*1000</f>
        <v>18.144814814814815</v>
      </c>
      <c r="AE204">
        <f t="shared" ref="AE204:AE267" si="41">AD204*Y204</f>
        <v>14.391596159999999</v>
      </c>
      <c r="AF204" s="9"/>
      <c r="AG204" s="21">
        <v>0.87692300000000001</v>
      </c>
      <c r="AH204" s="21">
        <v>20.138100000000001</v>
      </c>
      <c r="AI204" s="21">
        <v>-1.45966E-2</v>
      </c>
      <c r="AJ204" s="21">
        <v>194</v>
      </c>
      <c r="AK204" s="21">
        <v>0.87616000000000005</v>
      </c>
      <c r="AL204">
        <f t="shared" ref="AL204:AL267" si="42">-AI204/$F$2*1000</f>
        <v>18.020493827160493</v>
      </c>
      <c r="AM204">
        <f t="shared" ref="AM204:AM267" si="43">AL204*AG204</f>
        <v>15.802585508395062</v>
      </c>
      <c r="AP204" s="9"/>
      <c r="AQ204" s="21">
        <v>0.79315199999999997</v>
      </c>
      <c r="AR204" s="21">
        <v>25.580500000000001</v>
      </c>
      <c r="AS204" s="21">
        <v>-1.46759E-2</v>
      </c>
      <c r="AT204" s="21">
        <v>194</v>
      </c>
      <c r="AU204" s="21">
        <v>0.79223600000000005</v>
      </c>
      <c r="AV204">
        <f t="shared" ref="AV204:AV267" si="44">-AS204/$F$2*1000</f>
        <v>18.118395061728396</v>
      </c>
      <c r="AW204">
        <f t="shared" ref="AW204:AW267" si="45">AV204*AQ204</f>
        <v>14.370641280000001</v>
      </c>
      <c r="AX204" s="9"/>
      <c r="AY204" s="21">
        <v>0.87692300000000001</v>
      </c>
      <c r="AZ204" s="21">
        <v>29.339300000000001</v>
      </c>
      <c r="BA204" s="21">
        <v>-1.45874E-2</v>
      </c>
      <c r="BB204" s="21">
        <v>194</v>
      </c>
      <c r="BC204" s="21">
        <v>0.87554900000000002</v>
      </c>
      <c r="BD204">
        <f t="shared" ref="BD204:BD267" si="46">-BA204/$F$2*1000</f>
        <v>18.009135802469135</v>
      </c>
      <c r="BE204">
        <f t="shared" ref="BE204:BE267" si="47">BD204*AY204</f>
        <v>15.792625395308642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0.78811600000000004</v>
      </c>
      <c r="H205" s="21">
        <v>7.16317</v>
      </c>
      <c r="I205" s="21">
        <v>-1.46301E-2</v>
      </c>
      <c r="J205" s="21">
        <v>195</v>
      </c>
      <c r="K205" s="21">
        <v>0.787659</v>
      </c>
      <c r="L205">
        <f t="shared" si="36"/>
        <v>18.061851851851848</v>
      </c>
      <c r="M205">
        <f t="shared" si="37"/>
        <v>14.234834434074072</v>
      </c>
      <c r="N205" s="9"/>
      <c r="O205" s="21">
        <v>0.88195800000000002</v>
      </c>
      <c r="P205" s="21">
        <v>10.921900000000001</v>
      </c>
      <c r="Q205" s="21">
        <v>-1.45325E-2</v>
      </c>
      <c r="R205" s="21">
        <v>195</v>
      </c>
      <c r="S205" s="21">
        <v>0.88104199999999999</v>
      </c>
      <c r="T205">
        <f t="shared" si="38"/>
        <v>17.941358024691358</v>
      </c>
      <c r="U205">
        <f t="shared" si="39"/>
        <v>15.82352424074074</v>
      </c>
      <c r="X205" s="9"/>
      <c r="Y205" s="21">
        <v>0.78811600000000004</v>
      </c>
      <c r="Z205" s="21">
        <v>16.389399999999998</v>
      </c>
      <c r="AA205" s="21">
        <v>-1.47064E-2</v>
      </c>
      <c r="AB205" s="21">
        <v>195</v>
      </c>
      <c r="AC205" s="21">
        <v>0.787354</v>
      </c>
      <c r="AD205">
        <f t="shared" si="40"/>
        <v>18.156049382716049</v>
      </c>
      <c r="AE205">
        <f t="shared" si="41"/>
        <v>14.309073015308641</v>
      </c>
      <c r="AF205" s="9"/>
      <c r="AG205" s="21">
        <v>0.88195800000000002</v>
      </c>
      <c r="AH205" s="21">
        <v>20.148099999999999</v>
      </c>
      <c r="AI205" s="21">
        <v>-1.4590499999999999E-2</v>
      </c>
      <c r="AJ205" s="21">
        <v>195</v>
      </c>
      <c r="AK205" s="21">
        <v>0.88073699999999999</v>
      </c>
      <c r="AL205">
        <f t="shared" si="42"/>
        <v>18.012962962962959</v>
      </c>
      <c r="AM205">
        <f t="shared" si="43"/>
        <v>15.886676788888886</v>
      </c>
      <c r="AP205" s="9"/>
      <c r="AQ205" s="21">
        <v>0.78811600000000004</v>
      </c>
      <c r="AR205" s="21">
        <v>25.590599999999998</v>
      </c>
      <c r="AS205" s="21">
        <v>-1.46851E-2</v>
      </c>
      <c r="AT205" s="21">
        <v>195</v>
      </c>
      <c r="AU205" s="21">
        <v>0.787354</v>
      </c>
      <c r="AV205">
        <f t="shared" si="44"/>
        <v>18.12975308641975</v>
      </c>
      <c r="AW205">
        <f t="shared" si="45"/>
        <v>14.288348483456788</v>
      </c>
      <c r="AX205" s="9"/>
      <c r="AY205" s="21">
        <v>0.88195800000000002</v>
      </c>
      <c r="AZ205" s="21">
        <v>29.349399999999999</v>
      </c>
      <c r="BA205" s="21">
        <v>-1.4578199999999999E-2</v>
      </c>
      <c r="BB205" s="21">
        <v>195</v>
      </c>
      <c r="BC205" s="21">
        <v>0.88104199999999999</v>
      </c>
      <c r="BD205">
        <f t="shared" si="46"/>
        <v>17.997777777777777</v>
      </c>
      <c r="BE205">
        <f t="shared" si="47"/>
        <v>15.873284093333334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0.78308100000000003</v>
      </c>
      <c r="H206" s="21">
        <v>7.1732399999999998</v>
      </c>
      <c r="I206" s="21">
        <v>-1.46301E-2</v>
      </c>
      <c r="J206" s="21">
        <v>196</v>
      </c>
      <c r="K206" s="21">
        <v>0.78247100000000003</v>
      </c>
      <c r="L206">
        <f t="shared" si="36"/>
        <v>18.061851851851848</v>
      </c>
      <c r="M206">
        <f t="shared" si="37"/>
        <v>14.143893009999998</v>
      </c>
      <c r="N206" s="9"/>
      <c r="O206" s="21">
        <v>0.88699300000000003</v>
      </c>
      <c r="P206" s="21">
        <v>10.932</v>
      </c>
      <c r="Q206" s="21">
        <v>-1.45386E-2</v>
      </c>
      <c r="R206" s="21">
        <v>196</v>
      </c>
      <c r="S206" s="21">
        <v>0.88531499999999996</v>
      </c>
      <c r="T206">
        <f t="shared" si="38"/>
        <v>17.948888888888888</v>
      </c>
      <c r="U206">
        <f t="shared" si="39"/>
        <v>15.920538802222222</v>
      </c>
      <c r="X206" s="9"/>
      <c r="Y206" s="21">
        <v>0.78308100000000003</v>
      </c>
      <c r="Z206" s="21">
        <v>16.3995</v>
      </c>
      <c r="AA206" s="21">
        <v>-1.47186E-2</v>
      </c>
      <c r="AB206" s="21">
        <v>196</v>
      </c>
      <c r="AC206" s="21">
        <v>0.78216600000000003</v>
      </c>
      <c r="AD206">
        <f t="shared" si="40"/>
        <v>18.171111111111109</v>
      </c>
      <c r="AE206">
        <f t="shared" si="41"/>
        <v>14.229451859999999</v>
      </c>
      <c r="AF206" s="9"/>
      <c r="AG206" s="21">
        <v>0.88699300000000003</v>
      </c>
      <c r="AH206" s="21">
        <v>20.158200000000001</v>
      </c>
      <c r="AI206" s="21">
        <v>-1.45813E-2</v>
      </c>
      <c r="AJ206" s="21">
        <v>196</v>
      </c>
      <c r="AK206" s="21">
        <v>0.88653599999999999</v>
      </c>
      <c r="AL206">
        <f t="shared" si="42"/>
        <v>18.001604938271605</v>
      </c>
      <c r="AM206">
        <f t="shared" si="43"/>
        <v>15.967297569012347</v>
      </c>
      <c r="AP206" s="9"/>
      <c r="AQ206" s="21">
        <v>0.78308100000000003</v>
      </c>
      <c r="AR206" s="21">
        <v>25.6007</v>
      </c>
      <c r="AS206" s="21">
        <v>-1.4688100000000001E-2</v>
      </c>
      <c r="AT206" s="21">
        <v>196</v>
      </c>
      <c r="AU206" s="21">
        <v>0.78216600000000003</v>
      </c>
      <c r="AV206">
        <f t="shared" si="44"/>
        <v>18.133456790123457</v>
      </c>
      <c r="AW206">
        <f t="shared" si="45"/>
        <v>14.199965476666668</v>
      </c>
      <c r="AX206" s="9"/>
      <c r="AY206" s="21">
        <v>0.88699300000000003</v>
      </c>
      <c r="AZ206" s="21">
        <v>29.359400000000001</v>
      </c>
      <c r="BA206" s="21">
        <v>-1.45813E-2</v>
      </c>
      <c r="BB206" s="21">
        <v>196</v>
      </c>
      <c r="BC206" s="21">
        <v>0.88684099999999999</v>
      </c>
      <c r="BD206">
        <f t="shared" si="46"/>
        <v>18.001604938271605</v>
      </c>
      <c r="BE206">
        <f t="shared" si="47"/>
        <v>15.967297569012347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0.77804600000000002</v>
      </c>
      <c r="H207" s="21">
        <v>7.1833099999999996</v>
      </c>
      <c r="I207" s="21">
        <v>-1.46423E-2</v>
      </c>
      <c r="J207" s="21">
        <v>197</v>
      </c>
      <c r="K207" s="21">
        <v>0.77697799999999995</v>
      </c>
      <c r="L207">
        <f t="shared" si="36"/>
        <v>18.076913580246913</v>
      </c>
      <c r="M207">
        <f t="shared" si="37"/>
        <v>14.06467030345679</v>
      </c>
      <c r="N207" s="9"/>
      <c r="O207" s="21">
        <v>0.89202899999999996</v>
      </c>
      <c r="P207" s="21">
        <v>10.9421</v>
      </c>
      <c r="Q207" s="21">
        <v>-1.45386E-2</v>
      </c>
      <c r="R207" s="21">
        <v>197</v>
      </c>
      <c r="S207" s="21">
        <v>0.89172399999999996</v>
      </c>
      <c r="T207">
        <f t="shared" si="38"/>
        <v>17.948888888888888</v>
      </c>
      <c r="U207">
        <f t="shared" si="39"/>
        <v>16.010929406666666</v>
      </c>
      <c r="X207" s="9"/>
      <c r="Y207" s="21">
        <v>0.77804600000000002</v>
      </c>
      <c r="Z207" s="21">
        <v>16.409500000000001</v>
      </c>
      <c r="AA207" s="21">
        <v>-1.47247E-2</v>
      </c>
      <c r="AB207" s="21">
        <v>197</v>
      </c>
      <c r="AC207" s="21">
        <v>0.77667200000000003</v>
      </c>
      <c r="AD207">
        <f t="shared" si="40"/>
        <v>18.178641975308643</v>
      </c>
      <c r="AE207">
        <f t="shared" si="41"/>
        <v>14.143819674320989</v>
      </c>
      <c r="AF207" s="9"/>
      <c r="AG207" s="21">
        <v>0.89202899999999996</v>
      </c>
      <c r="AH207" s="21">
        <v>20.168299999999999</v>
      </c>
      <c r="AI207" s="21">
        <v>-1.45752E-2</v>
      </c>
      <c r="AJ207" s="21">
        <v>197</v>
      </c>
      <c r="AK207" s="21">
        <v>0.89141800000000004</v>
      </c>
      <c r="AL207">
        <f t="shared" si="42"/>
        <v>17.994074074074071</v>
      </c>
      <c r="AM207">
        <f t="shared" si="43"/>
        <v>16.051235902222217</v>
      </c>
      <c r="AP207" s="9"/>
      <c r="AQ207" s="21">
        <v>0.77804600000000002</v>
      </c>
      <c r="AR207" s="21">
        <v>25.610800000000001</v>
      </c>
      <c r="AS207" s="21">
        <v>-1.4694199999999999E-2</v>
      </c>
      <c r="AT207" s="21">
        <v>197</v>
      </c>
      <c r="AU207" s="21">
        <v>0.77728299999999995</v>
      </c>
      <c r="AV207">
        <f t="shared" si="44"/>
        <v>18.140987654320988</v>
      </c>
      <c r="AW207">
        <f t="shared" si="45"/>
        <v>14.114522880493828</v>
      </c>
      <c r="AX207" s="9"/>
      <c r="AY207" s="21">
        <v>0.89202899999999996</v>
      </c>
      <c r="AZ207" s="21">
        <v>29.369499999999999</v>
      </c>
      <c r="BA207" s="21">
        <v>-1.4578199999999999E-2</v>
      </c>
      <c r="BB207" s="21">
        <v>197</v>
      </c>
      <c r="BC207" s="21">
        <v>0.89172399999999996</v>
      </c>
      <c r="BD207">
        <f t="shared" si="46"/>
        <v>17.997777777777777</v>
      </c>
      <c r="BE207">
        <f t="shared" si="47"/>
        <v>16.054539713333334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0.77300999999999997</v>
      </c>
      <c r="H208" s="21">
        <v>7.1933800000000003</v>
      </c>
      <c r="I208" s="21">
        <v>-1.4654500000000001E-2</v>
      </c>
      <c r="J208" s="21">
        <v>198</v>
      </c>
      <c r="K208" s="21">
        <v>0.77239999999999998</v>
      </c>
      <c r="L208">
        <f t="shared" si="36"/>
        <v>18.091975308641977</v>
      </c>
      <c r="M208">
        <f t="shared" si="37"/>
        <v>13.985277833333335</v>
      </c>
      <c r="N208" s="9"/>
      <c r="O208" s="21">
        <v>0.89706399999999997</v>
      </c>
      <c r="P208" s="21">
        <v>10.9521</v>
      </c>
      <c r="Q208" s="21">
        <v>-1.45294E-2</v>
      </c>
      <c r="R208" s="21">
        <v>198</v>
      </c>
      <c r="S208" s="21">
        <v>0.89599600000000001</v>
      </c>
      <c r="T208">
        <f t="shared" si="38"/>
        <v>17.93753086419753</v>
      </c>
      <c r="U208">
        <f t="shared" si="39"/>
        <v>16.091113187160492</v>
      </c>
      <c r="X208" s="9"/>
      <c r="Y208" s="21">
        <v>0.77300999999999997</v>
      </c>
      <c r="Z208" s="21">
        <v>16.419599999999999</v>
      </c>
      <c r="AA208" s="21">
        <v>-1.4727799999999999E-2</v>
      </c>
      <c r="AB208" s="21">
        <v>198</v>
      </c>
      <c r="AC208" s="21">
        <v>0.77270499999999998</v>
      </c>
      <c r="AD208">
        <f t="shared" si="40"/>
        <v>18.182469135802467</v>
      </c>
      <c r="AE208">
        <f t="shared" si="41"/>
        <v>14.055230466666664</v>
      </c>
      <c r="AF208" s="9"/>
      <c r="AG208" s="21">
        <v>0.89706399999999997</v>
      </c>
      <c r="AH208" s="21">
        <v>20.1784</v>
      </c>
      <c r="AI208" s="21">
        <v>-1.45691E-2</v>
      </c>
      <c r="AJ208" s="21">
        <v>198</v>
      </c>
      <c r="AK208" s="21">
        <v>0.89630100000000001</v>
      </c>
      <c r="AL208">
        <f t="shared" si="42"/>
        <v>17.98654320987654</v>
      </c>
      <c r="AM208">
        <f t="shared" si="43"/>
        <v>16.135080398024687</v>
      </c>
      <c r="AP208" s="9"/>
      <c r="AQ208" s="21">
        <v>0.77300999999999997</v>
      </c>
      <c r="AR208" s="21">
        <v>25.620799999999999</v>
      </c>
      <c r="AS208" s="21">
        <v>-1.4688100000000001E-2</v>
      </c>
      <c r="AT208" s="21">
        <v>198</v>
      </c>
      <c r="AU208" s="21">
        <v>0.77178999999999998</v>
      </c>
      <c r="AV208">
        <f t="shared" si="44"/>
        <v>18.133456790123457</v>
      </c>
      <c r="AW208">
        <f t="shared" si="45"/>
        <v>14.017343433333334</v>
      </c>
      <c r="AX208" s="9"/>
      <c r="AY208" s="21">
        <v>0.89706399999999997</v>
      </c>
      <c r="AZ208" s="21">
        <v>29.3796</v>
      </c>
      <c r="BA208" s="21">
        <v>-1.4578199999999999E-2</v>
      </c>
      <c r="BB208" s="21">
        <v>198</v>
      </c>
      <c r="BC208" s="21">
        <v>0.89599600000000001</v>
      </c>
      <c r="BD208">
        <f t="shared" si="46"/>
        <v>17.997777777777777</v>
      </c>
      <c r="BE208">
        <f t="shared" si="47"/>
        <v>16.145158524444444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0.76797499999999996</v>
      </c>
      <c r="H209" s="21">
        <v>7.2034500000000001</v>
      </c>
      <c r="I209" s="21">
        <v>-1.46637E-2</v>
      </c>
      <c r="J209" s="21">
        <v>199</v>
      </c>
      <c r="K209" s="21">
        <v>0.76721200000000001</v>
      </c>
      <c r="L209">
        <f t="shared" si="36"/>
        <v>18.103333333333332</v>
      </c>
      <c r="M209">
        <f t="shared" si="37"/>
        <v>13.902907416666665</v>
      </c>
      <c r="N209" s="9"/>
      <c r="O209" s="21">
        <v>0.90210000000000001</v>
      </c>
      <c r="P209" s="21">
        <v>10.962199999999999</v>
      </c>
      <c r="Q209" s="21">
        <v>-1.45264E-2</v>
      </c>
      <c r="R209" s="21">
        <v>199</v>
      </c>
      <c r="S209" s="21">
        <v>0.90148899999999998</v>
      </c>
      <c r="T209">
        <f t="shared" si="38"/>
        <v>17.933827160493827</v>
      </c>
      <c r="U209">
        <f t="shared" si="39"/>
        <v>16.178105481481481</v>
      </c>
      <c r="X209" s="9"/>
      <c r="Y209" s="21">
        <v>0.76797499999999996</v>
      </c>
      <c r="Z209" s="21">
        <v>16.4297</v>
      </c>
      <c r="AA209" s="21">
        <v>-1.4733899999999999E-2</v>
      </c>
      <c r="AB209" s="21">
        <v>199</v>
      </c>
      <c r="AC209" s="21">
        <v>0.76721200000000001</v>
      </c>
      <c r="AD209">
        <f t="shared" si="40"/>
        <v>18.189999999999998</v>
      </c>
      <c r="AE209">
        <f t="shared" si="41"/>
        <v>13.969465249999997</v>
      </c>
      <c r="AF209" s="9"/>
      <c r="AG209" s="21">
        <v>0.90210000000000001</v>
      </c>
      <c r="AH209" s="21">
        <v>20.188400000000001</v>
      </c>
      <c r="AI209" s="21">
        <v>-1.4566000000000001E-2</v>
      </c>
      <c r="AJ209" s="21">
        <v>199</v>
      </c>
      <c r="AK209" s="21">
        <v>0.90118399999999999</v>
      </c>
      <c r="AL209">
        <f t="shared" si="42"/>
        <v>17.982716049382717</v>
      </c>
      <c r="AM209">
        <f t="shared" si="43"/>
        <v>16.222208148148148</v>
      </c>
      <c r="AP209" s="9"/>
      <c r="AQ209" s="21">
        <v>0.76797499999999996</v>
      </c>
      <c r="AR209" s="21">
        <v>25.6309</v>
      </c>
      <c r="AS209" s="21">
        <v>-1.4688100000000001E-2</v>
      </c>
      <c r="AT209" s="21">
        <v>199</v>
      </c>
      <c r="AU209" s="21">
        <v>0.76690700000000001</v>
      </c>
      <c r="AV209">
        <f t="shared" si="44"/>
        <v>18.133456790123457</v>
      </c>
      <c r="AW209">
        <f t="shared" si="45"/>
        <v>13.926041478395062</v>
      </c>
      <c r="AX209" s="9"/>
      <c r="AY209" s="21">
        <v>0.90210000000000001</v>
      </c>
      <c r="AZ209" s="21">
        <v>29.389700000000001</v>
      </c>
      <c r="BA209" s="21">
        <v>-1.45752E-2</v>
      </c>
      <c r="BB209" s="21">
        <v>199</v>
      </c>
      <c r="BC209" s="21">
        <v>0.90087899999999999</v>
      </c>
      <c r="BD209">
        <f t="shared" si="46"/>
        <v>17.994074074074071</v>
      </c>
      <c r="BE209">
        <f t="shared" si="47"/>
        <v>16.23245422222222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0.76293900000000003</v>
      </c>
      <c r="H210" s="21">
        <v>7.2135199999999999</v>
      </c>
      <c r="I210" s="21">
        <v>-1.46698E-2</v>
      </c>
      <c r="J210" s="21">
        <v>200</v>
      </c>
      <c r="K210" s="21">
        <v>0.76202400000000003</v>
      </c>
      <c r="L210">
        <f t="shared" si="36"/>
        <v>18.110864197530866</v>
      </c>
      <c r="M210">
        <f t="shared" si="37"/>
        <v>13.817484620000002</v>
      </c>
      <c r="N210" s="9"/>
      <c r="O210" s="21">
        <v>0.90713500000000002</v>
      </c>
      <c r="P210" s="21">
        <v>10.972300000000001</v>
      </c>
      <c r="Q210" s="21">
        <v>-1.45203E-2</v>
      </c>
      <c r="R210" s="21">
        <v>200</v>
      </c>
      <c r="S210" s="21">
        <v>0.90637199999999996</v>
      </c>
      <c r="T210">
        <f t="shared" si="38"/>
        <v>17.926296296296293</v>
      </c>
      <c r="U210">
        <f t="shared" si="39"/>
        <v>16.261570790740738</v>
      </c>
      <c r="X210" s="9"/>
      <c r="Y210" s="21">
        <v>0.76293900000000003</v>
      </c>
      <c r="Z210" s="21">
        <v>16.439699999999998</v>
      </c>
      <c r="AA210" s="21">
        <v>-1.4733899999999999E-2</v>
      </c>
      <c r="AB210" s="21">
        <v>200</v>
      </c>
      <c r="AC210" s="21">
        <v>0.76232900000000003</v>
      </c>
      <c r="AD210">
        <f t="shared" si="40"/>
        <v>18.189999999999998</v>
      </c>
      <c r="AE210">
        <f t="shared" si="41"/>
        <v>13.877860409999998</v>
      </c>
      <c r="AF210" s="9"/>
      <c r="AG210" s="21">
        <v>0.90713500000000002</v>
      </c>
      <c r="AH210" s="21">
        <v>20.198499999999999</v>
      </c>
      <c r="AI210" s="21">
        <v>-1.4556899999999999E-2</v>
      </c>
      <c r="AJ210" s="21">
        <v>200</v>
      </c>
      <c r="AK210" s="21">
        <v>0.90606699999999996</v>
      </c>
      <c r="AL210">
        <f t="shared" si="42"/>
        <v>17.971481481481479</v>
      </c>
      <c r="AM210">
        <f t="shared" si="43"/>
        <v>16.302559853703702</v>
      </c>
      <c r="AP210" s="9"/>
      <c r="AQ210" s="21">
        <v>0.76293900000000003</v>
      </c>
      <c r="AR210" s="21">
        <v>25.640999999999998</v>
      </c>
      <c r="AS210" s="21">
        <v>-1.4700299999999999E-2</v>
      </c>
      <c r="AT210" s="21">
        <v>200</v>
      </c>
      <c r="AU210" s="21">
        <v>0.76232900000000003</v>
      </c>
      <c r="AV210">
        <f t="shared" si="44"/>
        <v>18.148518518518514</v>
      </c>
      <c r="AW210">
        <f t="shared" si="45"/>
        <v>13.846212569999997</v>
      </c>
      <c r="AX210" s="9"/>
      <c r="AY210" s="21">
        <v>0.90713500000000002</v>
      </c>
      <c r="AZ210" s="21">
        <v>29.399699999999999</v>
      </c>
      <c r="BA210" s="21">
        <v>-1.45691E-2</v>
      </c>
      <c r="BB210" s="21">
        <v>200</v>
      </c>
      <c r="BC210" s="21">
        <v>0.90667699999999996</v>
      </c>
      <c r="BD210">
        <f t="shared" si="46"/>
        <v>17.98654320987654</v>
      </c>
      <c r="BE210">
        <f t="shared" si="47"/>
        <v>16.316222874691356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0.75790400000000002</v>
      </c>
      <c r="H211" s="21">
        <v>7.2235899999999997</v>
      </c>
      <c r="I211" s="21">
        <v>-1.46667E-2</v>
      </c>
      <c r="J211" s="21">
        <v>201</v>
      </c>
      <c r="K211" s="21">
        <v>0.75744599999999995</v>
      </c>
      <c r="L211">
        <f t="shared" si="36"/>
        <v>18.107037037037035</v>
      </c>
      <c r="M211">
        <f t="shared" si="37"/>
        <v>13.723395798518517</v>
      </c>
      <c r="N211" s="9"/>
      <c r="O211" s="21">
        <v>0.91217000000000004</v>
      </c>
      <c r="P211" s="21">
        <v>10.9824</v>
      </c>
      <c r="Q211" s="21">
        <v>-1.4511100000000001E-2</v>
      </c>
      <c r="R211" s="21">
        <v>201</v>
      </c>
      <c r="S211" s="21">
        <v>0.91125500000000004</v>
      </c>
      <c r="T211">
        <f t="shared" si="38"/>
        <v>17.914938271604939</v>
      </c>
      <c r="U211">
        <f t="shared" si="39"/>
        <v>16.341469243209879</v>
      </c>
      <c r="X211" s="9"/>
      <c r="Y211" s="21">
        <v>0.75790400000000002</v>
      </c>
      <c r="Z211" s="21">
        <v>16.4498</v>
      </c>
      <c r="AA211" s="21">
        <v>-1.4742999999999999E-2</v>
      </c>
      <c r="AB211" s="21">
        <v>201</v>
      </c>
      <c r="AC211" s="21">
        <v>0.75683599999999995</v>
      </c>
      <c r="AD211">
        <f t="shared" si="40"/>
        <v>18.201234567901235</v>
      </c>
      <c r="AE211">
        <f t="shared" si="41"/>
        <v>13.794788483950619</v>
      </c>
      <c r="AF211" s="9"/>
      <c r="AG211" s="21">
        <v>0.91217000000000004</v>
      </c>
      <c r="AH211" s="21">
        <v>20.208600000000001</v>
      </c>
      <c r="AI211" s="21">
        <v>-1.4544700000000001E-2</v>
      </c>
      <c r="AJ211" s="21">
        <v>201</v>
      </c>
      <c r="AK211" s="21">
        <v>0.91095000000000004</v>
      </c>
      <c r="AL211">
        <f t="shared" si="42"/>
        <v>17.956419753086422</v>
      </c>
      <c r="AM211">
        <f t="shared" si="43"/>
        <v>16.379307406172842</v>
      </c>
      <c r="AP211" s="9"/>
      <c r="AQ211" s="21">
        <v>0.75790400000000002</v>
      </c>
      <c r="AR211" s="21">
        <v>25.651</v>
      </c>
      <c r="AS211" s="21">
        <v>-1.47034E-2</v>
      </c>
      <c r="AT211" s="21">
        <v>201</v>
      </c>
      <c r="AU211" s="21">
        <v>0.75683599999999995</v>
      </c>
      <c r="AV211">
        <f t="shared" si="44"/>
        <v>18.152345679012342</v>
      </c>
      <c r="AW211">
        <f t="shared" si="45"/>
        <v>13.757735399506171</v>
      </c>
      <c r="AX211" s="9"/>
      <c r="AY211" s="21">
        <v>0.91217000000000004</v>
      </c>
      <c r="AZ211" s="21">
        <v>29.409800000000001</v>
      </c>
      <c r="BA211" s="21">
        <v>-1.4563E-2</v>
      </c>
      <c r="BB211" s="21">
        <v>201</v>
      </c>
      <c r="BC211" s="21">
        <v>0.91125500000000004</v>
      </c>
      <c r="BD211">
        <f t="shared" si="46"/>
        <v>17.979012345679013</v>
      </c>
      <c r="BE211">
        <f t="shared" si="47"/>
        <v>16.399915691358025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0.75286900000000001</v>
      </c>
      <c r="H212" s="21">
        <v>7.2336600000000004</v>
      </c>
      <c r="I212" s="21">
        <v>-1.46698E-2</v>
      </c>
      <c r="J212" s="21">
        <v>202</v>
      </c>
      <c r="K212" s="21">
        <v>0.75225799999999998</v>
      </c>
      <c r="L212">
        <f t="shared" si="36"/>
        <v>18.110864197530866</v>
      </c>
      <c r="M212">
        <f t="shared" si="37"/>
        <v>13.635108217530865</v>
      </c>
      <c r="N212" s="9"/>
      <c r="O212" s="21">
        <v>0.91720599999999997</v>
      </c>
      <c r="P212" s="21">
        <v>10.9924</v>
      </c>
      <c r="Q212" s="21">
        <v>-1.44958E-2</v>
      </c>
      <c r="R212" s="21">
        <v>202</v>
      </c>
      <c r="S212" s="21">
        <v>0.91613800000000001</v>
      </c>
      <c r="T212">
        <f t="shared" si="38"/>
        <v>17.896049382716047</v>
      </c>
      <c r="U212">
        <f t="shared" si="39"/>
        <v>16.414363870123452</v>
      </c>
      <c r="X212" s="9"/>
      <c r="Y212" s="21">
        <v>0.75286900000000001</v>
      </c>
      <c r="Z212" s="21">
        <v>16.459900000000001</v>
      </c>
      <c r="AA212" s="21">
        <v>-1.4749099999999999E-2</v>
      </c>
      <c r="AB212" s="21">
        <v>202</v>
      </c>
      <c r="AC212" s="21">
        <v>0.75225799999999998</v>
      </c>
      <c r="AD212">
        <f t="shared" si="40"/>
        <v>18.208765432098765</v>
      </c>
      <c r="AE212">
        <f t="shared" si="41"/>
        <v>13.708815022098765</v>
      </c>
      <c r="AF212" s="9"/>
      <c r="AG212" s="21">
        <v>0.91720599999999997</v>
      </c>
      <c r="AH212" s="21">
        <v>20.218599999999999</v>
      </c>
      <c r="AI212" s="21">
        <v>-1.45416E-2</v>
      </c>
      <c r="AJ212" s="21">
        <v>202</v>
      </c>
      <c r="AK212" s="21">
        <v>0.91644300000000001</v>
      </c>
      <c r="AL212">
        <f t="shared" si="42"/>
        <v>17.952592592592595</v>
      </c>
      <c r="AM212">
        <f t="shared" si="43"/>
        <v>16.466225641481483</v>
      </c>
      <c r="AP212" s="9"/>
      <c r="AQ212" s="21">
        <v>0.75286900000000001</v>
      </c>
      <c r="AR212" s="21">
        <v>25.661100000000001</v>
      </c>
      <c r="AS212" s="21">
        <v>-1.4700299999999999E-2</v>
      </c>
      <c r="AT212" s="21">
        <v>202</v>
      </c>
      <c r="AU212" s="21">
        <v>0.75256299999999998</v>
      </c>
      <c r="AV212">
        <f t="shared" si="44"/>
        <v>18.148518518518514</v>
      </c>
      <c r="AW212">
        <f t="shared" si="45"/>
        <v>13.663456988518515</v>
      </c>
      <c r="AX212" s="9"/>
      <c r="AY212" s="21">
        <v>0.91720599999999997</v>
      </c>
      <c r="AZ212" s="21">
        <v>29.419899999999998</v>
      </c>
      <c r="BA212" s="21">
        <v>-1.4556899999999999E-2</v>
      </c>
      <c r="BB212" s="21">
        <v>202</v>
      </c>
      <c r="BC212" s="21">
        <v>0.91644300000000001</v>
      </c>
      <c r="BD212">
        <f t="shared" si="46"/>
        <v>17.971481481481479</v>
      </c>
      <c r="BE212">
        <f t="shared" si="47"/>
        <v>16.483550643703701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0.74783299999999997</v>
      </c>
      <c r="H213" s="21">
        <v>7.2437399999999998</v>
      </c>
      <c r="I213" s="21">
        <v>-1.4672899999999999E-2</v>
      </c>
      <c r="J213" s="21">
        <v>203</v>
      </c>
      <c r="K213" s="21">
        <v>0.74716199999999999</v>
      </c>
      <c r="L213">
        <f t="shared" si="36"/>
        <v>18.11469135802469</v>
      </c>
      <c r="M213">
        <f t="shared" si="37"/>
        <v>13.546763982345677</v>
      </c>
      <c r="N213" s="9"/>
      <c r="O213" s="21">
        <v>0.92224099999999998</v>
      </c>
      <c r="P213" s="21">
        <v>11.0025</v>
      </c>
      <c r="Q213" s="21">
        <v>-1.4489699999999999E-2</v>
      </c>
      <c r="R213" s="21">
        <v>203</v>
      </c>
      <c r="S213" s="21">
        <v>0.92163099999999998</v>
      </c>
      <c r="T213">
        <f t="shared" si="38"/>
        <v>17.888518518518516</v>
      </c>
      <c r="U213">
        <f t="shared" si="39"/>
        <v>16.497525207037036</v>
      </c>
      <c r="X213" s="9"/>
      <c r="Y213" s="21">
        <v>0.74783299999999997</v>
      </c>
      <c r="Z213" s="21">
        <v>16.469899999999999</v>
      </c>
      <c r="AA213" s="21">
        <v>-1.47583E-2</v>
      </c>
      <c r="AB213" s="21">
        <v>203</v>
      </c>
      <c r="AC213" s="21">
        <v>0.74719199999999997</v>
      </c>
      <c r="AD213">
        <f t="shared" si="40"/>
        <v>18.22012345679012</v>
      </c>
      <c r="AE213">
        <f t="shared" si="41"/>
        <v>13.625609585061724</v>
      </c>
      <c r="AF213" s="9"/>
      <c r="AG213" s="21">
        <v>0.92224099999999998</v>
      </c>
      <c r="AH213" s="21">
        <v>20.2287</v>
      </c>
      <c r="AI213" s="21">
        <v>-1.45416E-2</v>
      </c>
      <c r="AJ213" s="21">
        <v>203</v>
      </c>
      <c r="AK213" s="21">
        <v>0.92132599999999998</v>
      </c>
      <c r="AL213">
        <f t="shared" si="42"/>
        <v>17.952592592592595</v>
      </c>
      <c r="AM213">
        <f t="shared" si="43"/>
        <v>16.556616945185187</v>
      </c>
      <c r="AP213" s="9"/>
      <c r="AQ213" s="21">
        <v>0.74783299999999997</v>
      </c>
      <c r="AR213" s="21">
        <v>25.671199999999999</v>
      </c>
      <c r="AS213" s="21">
        <v>-1.46912E-2</v>
      </c>
      <c r="AT213" s="21">
        <v>203</v>
      </c>
      <c r="AU213" s="21">
        <v>0.74725299999999995</v>
      </c>
      <c r="AV213">
        <f t="shared" si="44"/>
        <v>18.137283950617284</v>
      </c>
      <c r="AW213">
        <f t="shared" si="45"/>
        <v>13.563659468641974</v>
      </c>
      <c r="AX213" s="9"/>
      <c r="AY213" s="21">
        <v>0.92224099999999998</v>
      </c>
      <c r="AZ213" s="21">
        <v>29.4299</v>
      </c>
      <c r="BA213" s="21">
        <v>-1.4559900000000001E-2</v>
      </c>
      <c r="BB213" s="21">
        <v>203</v>
      </c>
      <c r="BC213" s="21">
        <v>0.92132599999999998</v>
      </c>
      <c r="BD213">
        <f t="shared" si="46"/>
        <v>17.975185185185186</v>
      </c>
      <c r="BE213">
        <f t="shared" si="47"/>
        <v>16.57745276037037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0.74279799999999996</v>
      </c>
      <c r="H214" s="21">
        <v>7.2538099999999996</v>
      </c>
      <c r="I214" s="21">
        <v>-1.4678999999999999E-2</v>
      </c>
      <c r="J214" s="21">
        <v>204</v>
      </c>
      <c r="K214" s="21">
        <v>0.74215699999999996</v>
      </c>
      <c r="L214">
        <f t="shared" si="36"/>
        <v>18.12222222222222</v>
      </c>
      <c r="M214">
        <f t="shared" si="37"/>
        <v>13.46115042222222</v>
      </c>
      <c r="N214" s="9"/>
      <c r="O214" s="21">
        <v>0.92727700000000002</v>
      </c>
      <c r="P214" s="21">
        <v>11.012600000000001</v>
      </c>
      <c r="Q214" s="21">
        <v>-1.4489699999999999E-2</v>
      </c>
      <c r="R214" s="21">
        <v>204</v>
      </c>
      <c r="S214" s="21">
        <v>0.92590300000000003</v>
      </c>
      <c r="T214">
        <f t="shared" si="38"/>
        <v>17.888518518518516</v>
      </c>
      <c r="U214">
        <f t="shared" si="39"/>
        <v>16.587611786296296</v>
      </c>
      <c r="X214" s="9"/>
      <c r="Y214" s="21">
        <v>0.74279799999999996</v>
      </c>
      <c r="Z214" s="21">
        <v>16.48</v>
      </c>
      <c r="AA214" s="21">
        <v>-1.4767499999999999E-2</v>
      </c>
      <c r="AB214" s="21">
        <v>204</v>
      </c>
      <c r="AC214" s="21">
        <v>0.74206499999999997</v>
      </c>
      <c r="AD214">
        <f t="shared" si="40"/>
        <v>18.231481481481481</v>
      </c>
      <c r="AE214">
        <f t="shared" si="41"/>
        <v>13.54230798148148</v>
      </c>
      <c r="AF214" s="9"/>
      <c r="AG214" s="21">
        <v>0.92727700000000002</v>
      </c>
      <c r="AH214" s="21">
        <v>20.238800000000001</v>
      </c>
      <c r="AI214" s="21">
        <v>-1.45355E-2</v>
      </c>
      <c r="AJ214" s="21">
        <v>204</v>
      </c>
      <c r="AK214" s="21">
        <v>0.92651399999999995</v>
      </c>
      <c r="AL214">
        <f t="shared" si="42"/>
        <v>17.945061728395061</v>
      </c>
      <c r="AM214">
        <f t="shared" si="43"/>
        <v>16.640043004320987</v>
      </c>
      <c r="AP214" s="9"/>
      <c r="AQ214" s="21">
        <v>0.74279799999999996</v>
      </c>
      <c r="AR214" s="21">
        <v>25.6813</v>
      </c>
      <c r="AS214" s="21">
        <v>-1.46912E-2</v>
      </c>
      <c r="AT214" s="21">
        <v>204</v>
      </c>
      <c r="AU214" s="21">
        <v>0.74215699999999996</v>
      </c>
      <c r="AV214">
        <f t="shared" si="44"/>
        <v>18.137283950617284</v>
      </c>
      <c r="AW214">
        <f t="shared" si="45"/>
        <v>13.472338243950617</v>
      </c>
      <c r="AX214" s="9"/>
      <c r="AY214" s="21">
        <v>0.92727700000000002</v>
      </c>
      <c r="AZ214" s="21">
        <v>29.44</v>
      </c>
      <c r="BA214" s="21">
        <v>-1.4559900000000001E-2</v>
      </c>
      <c r="BB214" s="21">
        <v>204</v>
      </c>
      <c r="BC214" s="21">
        <v>0.92651399999999995</v>
      </c>
      <c r="BD214">
        <f t="shared" si="46"/>
        <v>17.975185185185186</v>
      </c>
      <c r="BE214">
        <f t="shared" si="47"/>
        <v>16.667975792962963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0.73776200000000003</v>
      </c>
      <c r="H215" s="21">
        <v>7.2638800000000003</v>
      </c>
      <c r="I215" s="21">
        <v>-1.46851E-2</v>
      </c>
      <c r="J215" s="21">
        <v>205</v>
      </c>
      <c r="K215" s="21">
        <v>0.73718300000000003</v>
      </c>
      <c r="L215">
        <f t="shared" si="36"/>
        <v>18.12975308641975</v>
      </c>
      <c r="M215">
        <f t="shared" si="37"/>
        <v>13.375442896543209</v>
      </c>
      <c r="N215" s="9"/>
      <c r="O215" s="21">
        <v>0.93231200000000003</v>
      </c>
      <c r="P215" s="21">
        <v>11.022600000000001</v>
      </c>
      <c r="Q215" s="21">
        <v>-1.44806E-2</v>
      </c>
      <c r="R215" s="21">
        <v>205</v>
      </c>
      <c r="S215" s="21">
        <v>0.931396</v>
      </c>
      <c r="T215">
        <f t="shared" si="38"/>
        <v>17.877283950617283</v>
      </c>
      <c r="U215">
        <f t="shared" si="39"/>
        <v>16.667206354567902</v>
      </c>
      <c r="X215" s="9"/>
      <c r="Y215" s="21">
        <v>0.73776200000000003</v>
      </c>
      <c r="Z215" s="21">
        <v>16.490100000000002</v>
      </c>
      <c r="AA215" s="21">
        <v>-1.47736E-2</v>
      </c>
      <c r="AB215" s="21">
        <v>205</v>
      </c>
      <c r="AC215" s="21">
        <v>0.73715200000000003</v>
      </c>
      <c r="AD215">
        <f t="shared" si="40"/>
        <v>18.239012345679011</v>
      </c>
      <c r="AE215">
        <f t="shared" si="41"/>
        <v>13.45605022617284</v>
      </c>
      <c r="AF215" s="9"/>
      <c r="AG215" s="21">
        <v>0.93231200000000003</v>
      </c>
      <c r="AH215" s="21">
        <v>20.248899999999999</v>
      </c>
      <c r="AI215" s="21">
        <v>-1.45264E-2</v>
      </c>
      <c r="AJ215" s="21">
        <v>205</v>
      </c>
      <c r="AK215" s="21">
        <v>0.931091</v>
      </c>
      <c r="AL215">
        <f t="shared" si="42"/>
        <v>17.933827160493827</v>
      </c>
      <c r="AM215">
        <f t="shared" si="43"/>
        <v>16.719922267654322</v>
      </c>
      <c r="AP215" s="9"/>
      <c r="AQ215" s="21">
        <v>0.73776200000000003</v>
      </c>
      <c r="AR215" s="21">
        <v>25.691299999999998</v>
      </c>
      <c r="AS215" s="21">
        <v>-1.4694199999999999E-2</v>
      </c>
      <c r="AT215" s="21">
        <v>205</v>
      </c>
      <c r="AU215" s="21">
        <v>0.73712200000000005</v>
      </c>
      <c r="AV215">
        <f t="shared" si="44"/>
        <v>18.140987654320988</v>
      </c>
      <c r="AW215">
        <f t="shared" si="45"/>
        <v>13.383731333827161</v>
      </c>
      <c r="AX215" s="9"/>
      <c r="AY215" s="21">
        <v>0.93231200000000003</v>
      </c>
      <c r="AZ215" s="21">
        <v>29.450099999999999</v>
      </c>
      <c r="BA215" s="21">
        <v>-1.45538E-2</v>
      </c>
      <c r="BB215" s="21">
        <v>205</v>
      </c>
      <c r="BC215" s="21">
        <v>0.93170200000000003</v>
      </c>
      <c r="BD215">
        <f t="shared" si="46"/>
        <v>17.967654320987652</v>
      </c>
      <c r="BE215">
        <f t="shared" si="47"/>
        <v>16.751459735308639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0.73272700000000002</v>
      </c>
      <c r="H216" s="21">
        <v>7.2739500000000001</v>
      </c>
      <c r="I216" s="21">
        <v>-1.46851E-2</v>
      </c>
      <c r="J216" s="21">
        <v>206</v>
      </c>
      <c r="K216" s="21">
        <v>0.73208600000000001</v>
      </c>
      <c r="L216">
        <f t="shared" si="36"/>
        <v>18.12975308641975</v>
      </c>
      <c r="M216">
        <f t="shared" si="37"/>
        <v>13.284159589753084</v>
      </c>
      <c r="N216" s="9"/>
      <c r="O216" s="21">
        <v>0.93734700000000004</v>
      </c>
      <c r="P216" s="21">
        <v>11.0327</v>
      </c>
      <c r="Q216" s="21">
        <v>-1.4471400000000001E-2</v>
      </c>
      <c r="R216" s="21">
        <v>206</v>
      </c>
      <c r="S216" s="21">
        <v>0.93627899999999997</v>
      </c>
      <c r="T216">
        <f t="shared" si="38"/>
        <v>17.865925925925925</v>
      </c>
      <c r="U216">
        <f t="shared" si="39"/>
        <v>16.746572068888888</v>
      </c>
      <c r="X216" s="9"/>
      <c r="Y216" s="21">
        <v>0.73272700000000002</v>
      </c>
      <c r="Z216" s="21">
        <v>16.5002</v>
      </c>
      <c r="AA216" s="21">
        <v>-1.47797E-2</v>
      </c>
      <c r="AB216" s="21">
        <v>206</v>
      </c>
      <c r="AC216" s="21">
        <v>0.73205600000000004</v>
      </c>
      <c r="AD216">
        <f t="shared" si="40"/>
        <v>18.246543209876542</v>
      </c>
      <c r="AE216">
        <f t="shared" si="41"/>
        <v>13.36973486654321</v>
      </c>
      <c r="AF216" s="9"/>
      <c r="AG216" s="21">
        <v>0.93734700000000004</v>
      </c>
      <c r="AH216" s="21">
        <v>20.258900000000001</v>
      </c>
      <c r="AI216" s="21">
        <v>-1.45203E-2</v>
      </c>
      <c r="AJ216" s="21">
        <v>206</v>
      </c>
      <c r="AK216" s="21">
        <v>0.93689</v>
      </c>
      <c r="AL216">
        <f t="shared" si="42"/>
        <v>17.926296296296293</v>
      </c>
      <c r="AM216">
        <f t="shared" si="43"/>
        <v>16.803160054444444</v>
      </c>
      <c r="AP216" s="9"/>
      <c r="AQ216" s="21">
        <v>0.73272700000000002</v>
      </c>
      <c r="AR216" s="21">
        <v>25.7014</v>
      </c>
      <c r="AS216" s="21">
        <v>-1.47034E-2</v>
      </c>
      <c r="AT216" s="21">
        <v>206</v>
      </c>
      <c r="AU216" s="21">
        <v>0.73208600000000001</v>
      </c>
      <c r="AV216">
        <f t="shared" si="44"/>
        <v>18.152345679012342</v>
      </c>
      <c r="AW216">
        <f t="shared" si="45"/>
        <v>13.300713792345677</v>
      </c>
      <c r="AX216" s="9"/>
      <c r="AY216" s="21">
        <v>0.93734700000000004</v>
      </c>
      <c r="AZ216" s="21">
        <v>29.4602</v>
      </c>
      <c r="BA216" s="21">
        <v>-1.45477E-2</v>
      </c>
      <c r="BB216" s="21">
        <v>206</v>
      </c>
      <c r="BC216" s="21">
        <v>0.93689</v>
      </c>
      <c r="BD216">
        <f t="shared" si="46"/>
        <v>17.960123456790122</v>
      </c>
      <c r="BE216">
        <f t="shared" si="47"/>
        <v>16.83486784185185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0.72769200000000001</v>
      </c>
      <c r="H217" s="21">
        <v>7.2840199999999999</v>
      </c>
      <c r="I217" s="21">
        <v>-1.46973E-2</v>
      </c>
      <c r="J217" s="21">
        <v>207</v>
      </c>
      <c r="K217" s="21">
        <v>0.72702</v>
      </c>
      <c r="L217">
        <f t="shared" si="36"/>
        <v>18.144814814814815</v>
      </c>
      <c r="M217">
        <f t="shared" si="37"/>
        <v>13.203836582222223</v>
      </c>
      <c r="N217" s="9"/>
      <c r="O217" s="21">
        <v>0.94238299999999997</v>
      </c>
      <c r="P217" s="21">
        <v>11.0428</v>
      </c>
      <c r="Q217" s="21">
        <v>-1.4468399999999999E-2</v>
      </c>
      <c r="R217" s="21">
        <v>207</v>
      </c>
      <c r="S217" s="21">
        <v>0.94177200000000005</v>
      </c>
      <c r="T217">
        <f t="shared" si="38"/>
        <v>17.862222222222222</v>
      </c>
      <c r="U217">
        <f t="shared" si="39"/>
        <v>16.833054564444442</v>
      </c>
      <c r="X217" s="9"/>
      <c r="Y217" s="21">
        <v>0.72769200000000001</v>
      </c>
      <c r="Z217" s="21">
        <v>16.510200000000001</v>
      </c>
      <c r="AA217" s="21">
        <v>-1.4776600000000001E-2</v>
      </c>
      <c r="AB217" s="21">
        <v>207</v>
      </c>
      <c r="AC217" s="21">
        <v>0.727051</v>
      </c>
      <c r="AD217">
        <f t="shared" si="40"/>
        <v>18.242716049382715</v>
      </c>
      <c r="AE217">
        <f t="shared" si="41"/>
        <v>13.275078527407407</v>
      </c>
      <c r="AF217" s="9"/>
      <c r="AG217" s="21">
        <v>0.94238299999999997</v>
      </c>
      <c r="AH217" s="21">
        <v>20.268999999999998</v>
      </c>
      <c r="AI217" s="21">
        <v>-1.4517199999999999E-2</v>
      </c>
      <c r="AJ217" s="21">
        <v>207</v>
      </c>
      <c r="AK217" s="21">
        <v>0.94146700000000005</v>
      </c>
      <c r="AL217">
        <f t="shared" si="42"/>
        <v>17.922469135802466</v>
      </c>
      <c r="AM217">
        <f t="shared" si="43"/>
        <v>16.889830231604936</v>
      </c>
      <c r="AP217" s="9"/>
      <c r="AQ217" s="21">
        <v>0.72769200000000001</v>
      </c>
      <c r="AR217" s="21">
        <v>25.711500000000001</v>
      </c>
      <c r="AS217" s="21">
        <v>-1.4721700000000001E-2</v>
      </c>
      <c r="AT217" s="21">
        <v>207</v>
      </c>
      <c r="AU217" s="21">
        <v>0.72689800000000004</v>
      </c>
      <c r="AV217">
        <f t="shared" si="44"/>
        <v>18.174938271604937</v>
      </c>
      <c r="AW217">
        <f t="shared" si="45"/>
        <v>13.225757180740739</v>
      </c>
      <c r="AX217" s="9"/>
      <c r="AY217" s="21">
        <v>0.94238299999999997</v>
      </c>
      <c r="AZ217" s="21">
        <v>29.470199999999998</v>
      </c>
      <c r="BA217" s="21">
        <v>-1.45355E-2</v>
      </c>
      <c r="BB217" s="21">
        <v>207</v>
      </c>
      <c r="BC217" s="21">
        <v>0.94146700000000005</v>
      </c>
      <c r="BD217">
        <f t="shared" si="46"/>
        <v>17.945061728395061</v>
      </c>
      <c r="BE217">
        <f t="shared" si="47"/>
        <v>16.911121106790123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0.72265599999999997</v>
      </c>
      <c r="H218" s="21">
        <v>7.2940899999999997</v>
      </c>
      <c r="I218" s="21">
        <v>-1.4700299999999999E-2</v>
      </c>
      <c r="J218" s="21">
        <v>208</v>
      </c>
      <c r="K218" s="21">
        <v>0.72198499999999999</v>
      </c>
      <c r="L218">
        <f t="shared" si="36"/>
        <v>18.148518518518514</v>
      </c>
      <c r="M218">
        <f t="shared" si="37"/>
        <v>13.115135798518516</v>
      </c>
      <c r="N218" s="9"/>
      <c r="O218" s="21">
        <v>0.94741799999999998</v>
      </c>
      <c r="P218" s="21">
        <v>11.052899999999999</v>
      </c>
      <c r="Q218" s="21">
        <v>-1.44653E-2</v>
      </c>
      <c r="R218" s="21">
        <v>208</v>
      </c>
      <c r="S218" s="21">
        <v>0.94635000000000002</v>
      </c>
      <c r="T218">
        <f t="shared" si="38"/>
        <v>17.858395061728395</v>
      </c>
      <c r="U218">
        <f t="shared" si="39"/>
        <v>16.919364932592593</v>
      </c>
      <c r="X218" s="9"/>
      <c r="Y218" s="21">
        <v>0.72265599999999997</v>
      </c>
      <c r="Z218" s="21">
        <v>16.520299999999999</v>
      </c>
      <c r="AA218" s="21">
        <v>-1.4782699999999999E-2</v>
      </c>
      <c r="AB218" s="21">
        <v>208</v>
      </c>
      <c r="AC218" s="21">
        <v>0.72198499999999999</v>
      </c>
      <c r="AD218">
        <f t="shared" si="40"/>
        <v>18.250246913580245</v>
      </c>
      <c r="AE218">
        <f t="shared" si="41"/>
        <v>13.188650433580245</v>
      </c>
      <c r="AF218" s="9"/>
      <c r="AG218" s="21">
        <v>0.94741799999999998</v>
      </c>
      <c r="AH218" s="21">
        <v>20.2791</v>
      </c>
      <c r="AI218" s="21">
        <v>-1.4517199999999999E-2</v>
      </c>
      <c r="AJ218" s="21">
        <v>208</v>
      </c>
      <c r="AK218" s="21">
        <v>0.94635000000000002</v>
      </c>
      <c r="AL218">
        <f t="shared" si="42"/>
        <v>17.922469135802466</v>
      </c>
      <c r="AM218">
        <f t="shared" si="43"/>
        <v>16.980069863703701</v>
      </c>
      <c r="AP218" s="9"/>
      <c r="AQ218" s="21">
        <v>0.72265599999999997</v>
      </c>
      <c r="AR218" s="21">
        <v>25.721499999999999</v>
      </c>
      <c r="AS218" s="21">
        <v>-1.4727799999999999E-2</v>
      </c>
      <c r="AT218" s="21">
        <v>208</v>
      </c>
      <c r="AU218" s="21">
        <v>0.72201499999999996</v>
      </c>
      <c r="AV218">
        <f t="shared" si="44"/>
        <v>18.182469135802467</v>
      </c>
      <c r="AW218">
        <f t="shared" si="45"/>
        <v>13.139670415802467</v>
      </c>
      <c r="AX218" s="9"/>
      <c r="AY218" s="21">
        <v>0.94741799999999998</v>
      </c>
      <c r="AZ218" s="21">
        <v>29.4803</v>
      </c>
      <c r="BA218" s="21">
        <v>-1.45264E-2</v>
      </c>
      <c r="BB218" s="21">
        <v>208</v>
      </c>
      <c r="BC218" s="21">
        <v>0.94635000000000002</v>
      </c>
      <c r="BD218">
        <f t="shared" si="46"/>
        <v>17.933827160493827</v>
      </c>
      <c r="BE218">
        <f t="shared" si="47"/>
        <v>16.990830660740741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0.71762099999999995</v>
      </c>
      <c r="H219" s="21">
        <v>7.3041600000000004</v>
      </c>
      <c r="I219" s="21">
        <v>-1.4700299999999999E-2</v>
      </c>
      <c r="J219" s="21">
        <v>209</v>
      </c>
      <c r="K219" s="21">
        <v>0.71697999999999995</v>
      </c>
      <c r="L219">
        <f t="shared" si="36"/>
        <v>18.148518518518514</v>
      </c>
      <c r="M219">
        <f t="shared" si="37"/>
        <v>13.023758007777774</v>
      </c>
      <c r="N219" s="9"/>
      <c r="O219" s="21">
        <v>0.95245400000000002</v>
      </c>
      <c r="P219" s="21">
        <v>11.062900000000001</v>
      </c>
      <c r="Q219" s="21">
        <v>-1.4456200000000001E-2</v>
      </c>
      <c r="R219" s="21">
        <v>209</v>
      </c>
      <c r="S219" s="21">
        <v>0.950928</v>
      </c>
      <c r="T219">
        <f t="shared" si="38"/>
        <v>17.847160493827161</v>
      </c>
      <c r="U219">
        <f t="shared" si="39"/>
        <v>16.998599400987654</v>
      </c>
      <c r="X219" s="9"/>
      <c r="Y219" s="21">
        <v>0.71762099999999995</v>
      </c>
      <c r="Z219" s="21">
        <v>16.5304</v>
      </c>
      <c r="AA219" s="21">
        <v>-1.47888E-2</v>
      </c>
      <c r="AB219" s="21">
        <v>209</v>
      </c>
      <c r="AC219" s="21">
        <v>0.71701000000000004</v>
      </c>
      <c r="AD219">
        <f t="shared" si="40"/>
        <v>18.257777777777775</v>
      </c>
      <c r="AE219">
        <f t="shared" si="41"/>
        <v>13.102164746666665</v>
      </c>
      <c r="AF219" s="9"/>
      <c r="AG219" s="21">
        <v>0.95245400000000002</v>
      </c>
      <c r="AH219" s="21">
        <v>20.289100000000001</v>
      </c>
      <c r="AI219" s="21">
        <v>-1.4517199999999999E-2</v>
      </c>
      <c r="AJ219" s="21">
        <v>209</v>
      </c>
      <c r="AK219" s="21">
        <v>0.951233</v>
      </c>
      <c r="AL219">
        <f t="shared" si="42"/>
        <v>17.922469135802466</v>
      </c>
      <c r="AM219">
        <f t="shared" si="43"/>
        <v>17.070327418271603</v>
      </c>
      <c r="AP219" s="9"/>
      <c r="AQ219" s="21">
        <v>0.71762099999999995</v>
      </c>
      <c r="AR219" s="21">
        <v>25.7316</v>
      </c>
      <c r="AS219" s="21">
        <v>-1.4736900000000001E-2</v>
      </c>
      <c r="AT219" s="21">
        <v>209</v>
      </c>
      <c r="AU219" s="21">
        <v>0.71701000000000004</v>
      </c>
      <c r="AV219">
        <f t="shared" si="44"/>
        <v>18.193703703703704</v>
      </c>
      <c r="AW219">
        <f t="shared" si="45"/>
        <v>13.056183845555555</v>
      </c>
      <c r="AX219" s="9"/>
      <c r="AY219" s="21">
        <v>0.95245400000000002</v>
      </c>
      <c r="AZ219" s="21">
        <v>29.490400000000001</v>
      </c>
      <c r="BA219" s="21">
        <v>-1.4511100000000001E-2</v>
      </c>
      <c r="BB219" s="21">
        <v>209</v>
      </c>
      <c r="BC219" s="21">
        <v>0.951233</v>
      </c>
      <c r="BD219">
        <f t="shared" si="46"/>
        <v>17.914938271604939</v>
      </c>
      <c r="BE219">
        <f t="shared" si="47"/>
        <v>17.063154616543212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0.71258500000000002</v>
      </c>
      <c r="H220" s="21">
        <v>7.3142300000000002</v>
      </c>
      <c r="I220" s="21">
        <v>-1.47064E-2</v>
      </c>
      <c r="J220" s="21">
        <v>210</v>
      </c>
      <c r="K220" s="21">
        <v>0.71200600000000003</v>
      </c>
      <c r="L220">
        <f t="shared" si="36"/>
        <v>18.156049382716049</v>
      </c>
      <c r="M220">
        <f t="shared" si="37"/>
        <v>12.937728449382716</v>
      </c>
      <c r="N220" s="9"/>
      <c r="O220" s="21">
        <v>0.95748900000000003</v>
      </c>
      <c r="P220" s="21">
        <v>11.073</v>
      </c>
      <c r="Q220" s="21">
        <v>-1.4444E-2</v>
      </c>
      <c r="R220" s="21">
        <v>210</v>
      </c>
      <c r="S220" s="21">
        <v>0.95642099999999997</v>
      </c>
      <c r="T220">
        <f t="shared" si="38"/>
        <v>17.832098765432097</v>
      </c>
      <c r="U220">
        <f t="shared" si="39"/>
        <v>17.074038414814812</v>
      </c>
      <c r="X220" s="9"/>
      <c r="Y220" s="21">
        <v>0.71258500000000002</v>
      </c>
      <c r="Z220" s="21">
        <v>16.540400000000002</v>
      </c>
      <c r="AA220" s="21">
        <v>-1.47888E-2</v>
      </c>
      <c r="AB220" s="21">
        <v>210</v>
      </c>
      <c r="AC220" s="21">
        <v>0.71194500000000005</v>
      </c>
      <c r="AD220">
        <f t="shared" si="40"/>
        <v>18.257777777777775</v>
      </c>
      <c r="AE220">
        <f t="shared" si="41"/>
        <v>13.010218577777776</v>
      </c>
      <c r="AF220" s="9"/>
      <c r="AG220" s="21">
        <v>0.95748900000000003</v>
      </c>
      <c r="AH220" s="21">
        <v>20.299199999999999</v>
      </c>
      <c r="AI220" s="21">
        <v>-1.4508099999999999E-2</v>
      </c>
      <c r="AJ220" s="21">
        <v>210</v>
      </c>
      <c r="AK220" s="21">
        <v>0.95672599999999997</v>
      </c>
      <c r="AL220">
        <f t="shared" si="42"/>
        <v>17.911234567901232</v>
      </c>
      <c r="AM220">
        <f t="shared" si="43"/>
        <v>17.149810075185183</v>
      </c>
      <c r="AP220" s="9"/>
      <c r="AQ220" s="21">
        <v>0.71258500000000002</v>
      </c>
      <c r="AR220" s="21">
        <v>25.741700000000002</v>
      </c>
      <c r="AS220" s="21">
        <v>-1.4736900000000001E-2</v>
      </c>
      <c r="AT220" s="21">
        <v>210</v>
      </c>
      <c r="AU220" s="21">
        <v>0.71194500000000005</v>
      </c>
      <c r="AV220">
        <f t="shared" si="44"/>
        <v>18.193703703703704</v>
      </c>
      <c r="AW220">
        <f t="shared" si="45"/>
        <v>12.964560353703705</v>
      </c>
      <c r="AX220" s="9"/>
      <c r="AY220" s="21">
        <v>0.95748900000000003</v>
      </c>
      <c r="AZ220" s="21">
        <v>29.500399999999999</v>
      </c>
      <c r="BA220" s="21">
        <v>-1.44989E-2</v>
      </c>
      <c r="BB220" s="21">
        <v>210</v>
      </c>
      <c r="BC220" s="21">
        <v>0.95642099999999997</v>
      </c>
      <c r="BD220">
        <f t="shared" si="46"/>
        <v>17.899876543209874</v>
      </c>
      <c r="BE220">
        <f t="shared" si="47"/>
        <v>17.13893489148148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0.70755000000000001</v>
      </c>
      <c r="H221" s="21">
        <v>7.3243</v>
      </c>
      <c r="I221" s="21">
        <v>-1.47034E-2</v>
      </c>
      <c r="J221" s="21">
        <v>211</v>
      </c>
      <c r="K221" s="21">
        <v>0.70696999999999999</v>
      </c>
      <c r="L221">
        <f t="shared" si="36"/>
        <v>18.152345679012342</v>
      </c>
      <c r="M221">
        <f t="shared" si="37"/>
        <v>12.843692185185184</v>
      </c>
      <c r="N221" s="9"/>
      <c r="O221" s="21">
        <v>0.96252400000000005</v>
      </c>
      <c r="P221" s="21">
        <v>11.0831</v>
      </c>
      <c r="Q221" s="21">
        <v>-1.44409E-2</v>
      </c>
      <c r="R221" s="21">
        <v>211</v>
      </c>
      <c r="S221" s="21">
        <v>0.96130400000000005</v>
      </c>
      <c r="T221">
        <f t="shared" si="38"/>
        <v>17.828271604938269</v>
      </c>
      <c r="U221">
        <f t="shared" si="39"/>
        <v>17.160139298271602</v>
      </c>
      <c r="X221" s="9"/>
      <c r="Y221" s="21">
        <v>0.70755000000000001</v>
      </c>
      <c r="Z221" s="21">
        <v>16.5505</v>
      </c>
      <c r="AA221" s="21">
        <v>-1.4798E-2</v>
      </c>
      <c r="AB221" s="21">
        <v>211</v>
      </c>
      <c r="AC221" s="21">
        <v>0.70700099999999999</v>
      </c>
      <c r="AD221">
        <f t="shared" si="40"/>
        <v>18.269135802469137</v>
      </c>
      <c r="AE221">
        <f t="shared" si="41"/>
        <v>12.926327037037037</v>
      </c>
      <c r="AF221" s="9"/>
      <c r="AG221" s="21">
        <v>0.96252400000000005</v>
      </c>
      <c r="AH221" s="21">
        <v>20.3093</v>
      </c>
      <c r="AI221" s="21">
        <v>-1.4501999999999999E-2</v>
      </c>
      <c r="AJ221" s="21">
        <v>211</v>
      </c>
      <c r="AK221" s="21">
        <v>0.96099900000000005</v>
      </c>
      <c r="AL221">
        <f t="shared" si="42"/>
        <v>17.903703703703702</v>
      </c>
      <c r="AM221">
        <f t="shared" si="43"/>
        <v>17.232744503703703</v>
      </c>
      <c r="AP221" s="9"/>
      <c r="AQ221" s="21">
        <v>0.70755000000000001</v>
      </c>
      <c r="AR221" s="21">
        <v>25.7517</v>
      </c>
      <c r="AS221" s="21">
        <v>-1.4742999999999999E-2</v>
      </c>
      <c r="AT221" s="21">
        <v>211</v>
      </c>
      <c r="AU221" s="21">
        <v>0.70690900000000001</v>
      </c>
      <c r="AV221">
        <f t="shared" si="44"/>
        <v>18.201234567901235</v>
      </c>
      <c r="AW221">
        <f t="shared" si="45"/>
        <v>12.878283518518518</v>
      </c>
      <c r="AX221" s="9"/>
      <c r="AY221" s="21">
        <v>0.96252400000000005</v>
      </c>
      <c r="AZ221" s="21">
        <v>29.5105</v>
      </c>
      <c r="BA221" s="21">
        <v>-1.4483599999999999E-2</v>
      </c>
      <c r="BB221" s="21">
        <v>211</v>
      </c>
      <c r="BC221" s="21">
        <v>0.96130400000000005</v>
      </c>
      <c r="BD221">
        <f t="shared" si="46"/>
        <v>17.880987654320986</v>
      </c>
      <c r="BE221">
        <f t="shared" si="47"/>
        <v>17.210879760987652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0.702515</v>
      </c>
      <c r="H222" s="21">
        <v>7.3343699999999998</v>
      </c>
      <c r="I222" s="21">
        <v>-1.47064E-2</v>
      </c>
      <c r="J222" s="21">
        <v>212</v>
      </c>
      <c r="K222" s="21">
        <v>0.701874</v>
      </c>
      <c r="L222">
        <f t="shared" si="36"/>
        <v>18.156049382716049</v>
      </c>
      <c r="M222">
        <f t="shared" si="37"/>
        <v>12.754897032098764</v>
      </c>
      <c r="N222" s="9"/>
      <c r="O222" s="21">
        <v>0.96755999999999998</v>
      </c>
      <c r="P222" s="21">
        <v>11.0931</v>
      </c>
      <c r="Q222" s="21">
        <v>-1.4434799999999999E-2</v>
      </c>
      <c r="R222" s="21">
        <v>212</v>
      </c>
      <c r="S222" s="21">
        <v>0.96649200000000002</v>
      </c>
      <c r="T222">
        <f t="shared" si="38"/>
        <v>17.820740740740739</v>
      </c>
      <c r="U222">
        <f t="shared" si="39"/>
        <v>17.242635911111108</v>
      </c>
      <c r="X222" s="9"/>
      <c r="Y222" s="21">
        <v>0.702515</v>
      </c>
      <c r="Z222" s="21">
        <v>16.560600000000001</v>
      </c>
      <c r="AA222" s="21">
        <v>-1.4804100000000001E-2</v>
      </c>
      <c r="AB222" s="21">
        <v>212</v>
      </c>
      <c r="AC222" s="21">
        <v>0.701874</v>
      </c>
      <c r="AD222">
        <f t="shared" si="40"/>
        <v>18.276666666666667</v>
      </c>
      <c r="AE222">
        <f t="shared" si="41"/>
        <v>12.839632483333334</v>
      </c>
      <c r="AF222" s="9"/>
      <c r="AG222" s="21">
        <v>0.96755999999999998</v>
      </c>
      <c r="AH222" s="21">
        <v>20.319400000000002</v>
      </c>
      <c r="AI222" s="21">
        <v>-1.44958E-2</v>
      </c>
      <c r="AJ222" s="21">
        <v>212</v>
      </c>
      <c r="AK222" s="21">
        <v>0.96618700000000002</v>
      </c>
      <c r="AL222">
        <f t="shared" si="42"/>
        <v>17.896049382716047</v>
      </c>
      <c r="AM222">
        <f t="shared" si="43"/>
        <v>17.315501540740737</v>
      </c>
      <c r="AP222" s="9"/>
      <c r="AQ222" s="21">
        <v>0.702515</v>
      </c>
      <c r="AR222" s="21">
        <v>25.761800000000001</v>
      </c>
      <c r="AS222" s="21">
        <v>-1.47461E-2</v>
      </c>
      <c r="AT222" s="21">
        <v>212</v>
      </c>
      <c r="AU222" s="21">
        <v>0.70193499999999998</v>
      </c>
      <c r="AV222">
        <f t="shared" si="44"/>
        <v>18.205061728395062</v>
      </c>
      <c r="AW222">
        <f t="shared" si="45"/>
        <v>12.789328940123458</v>
      </c>
      <c r="AX222" s="9"/>
      <c r="AY222" s="21">
        <v>0.96755999999999998</v>
      </c>
      <c r="AZ222" s="21">
        <v>29.520600000000002</v>
      </c>
      <c r="BA222" s="21">
        <v>-1.44745E-2</v>
      </c>
      <c r="BB222" s="21">
        <v>212</v>
      </c>
      <c r="BC222" s="21">
        <v>0.96679700000000002</v>
      </c>
      <c r="BD222">
        <f t="shared" si="46"/>
        <v>17.869753086419752</v>
      </c>
      <c r="BE222">
        <f t="shared" si="47"/>
        <v>17.290058296296294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0.69747899999999996</v>
      </c>
      <c r="H223" s="21">
        <v>7.3444500000000001</v>
      </c>
      <c r="I223" s="21">
        <v>-1.47125E-2</v>
      </c>
      <c r="J223" s="21">
        <v>213</v>
      </c>
      <c r="K223" s="21">
        <v>0.69677699999999998</v>
      </c>
      <c r="L223">
        <f t="shared" si="36"/>
        <v>18.163580246913579</v>
      </c>
      <c r="M223">
        <f t="shared" si="37"/>
        <v>12.668715787037035</v>
      </c>
      <c r="N223" s="9"/>
      <c r="O223" s="21">
        <v>0.97259499999999999</v>
      </c>
      <c r="P223" s="21">
        <v>11.103199999999999</v>
      </c>
      <c r="Q223" s="21">
        <v>-1.44318E-2</v>
      </c>
      <c r="R223" s="21">
        <v>213</v>
      </c>
      <c r="S223" s="21">
        <v>0.97198499999999999</v>
      </c>
      <c r="T223">
        <f t="shared" si="38"/>
        <v>17.817037037037036</v>
      </c>
      <c r="U223">
        <f t="shared" si="39"/>
        <v>17.328761137037034</v>
      </c>
      <c r="X223" s="9"/>
      <c r="Y223" s="21">
        <v>0.69747899999999996</v>
      </c>
      <c r="Z223" s="21">
        <v>16.570699999999999</v>
      </c>
      <c r="AA223" s="21">
        <v>-1.48132E-2</v>
      </c>
      <c r="AB223" s="21">
        <v>213</v>
      </c>
      <c r="AC223" s="21">
        <v>0.69696000000000002</v>
      </c>
      <c r="AD223">
        <f t="shared" si="40"/>
        <v>18.287901234567901</v>
      </c>
      <c r="AE223">
        <f t="shared" si="41"/>
        <v>12.755427065185184</v>
      </c>
      <c r="AF223" s="9"/>
      <c r="AG223" s="21">
        <v>0.97259499999999999</v>
      </c>
      <c r="AH223" s="21">
        <v>20.3294</v>
      </c>
      <c r="AI223" s="21">
        <v>-1.4483599999999999E-2</v>
      </c>
      <c r="AJ223" s="21">
        <v>213</v>
      </c>
      <c r="AK223" s="21">
        <v>0.97198499999999999</v>
      </c>
      <c r="AL223">
        <f t="shared" si="42"/>
        <v>17.880987654320986</v>
      </c>
      <c r="AM223">
        <f t="shared" si="43"/>
        <v>17.390959187654317</v>
      </c>
      <c r="AP223" s="9"/>
      <c r="AQ223" s="21">
        <v>0.69747899999999996</v>
      </c>
      <c r="AR223" s="21">
        <v>25.771899999999999</v>
      </c>
      <c r="AS223" s="21">
        <v>-1.4742999999999999E-2</v>
      </c>
      <c r="AT223" s="21">
        <v>213</v>
      </c>
      <c r="AU223" s="21">
        <v>0.69683799999999996</v>
      </c>
      <c r="AV223">
        <f t="shared" si="44"/>
        <v>18.201234567901235</v>
      </c>
      <c r="AW223">
        <f t="shared" si="45"/>
        <v>12.694978885185185</v>
      </c>
      <c r="AX223" s="9"/>
      <c r="AY223" s="21">
        <v>0.97259499999999999</v>
      </c>
      <c r="AZ223" s="21">
        <v>29.5307</v>
      </c>
      <c r="BA223" s="21">
        <v>-1.44653E-2</v>
      </c>
      <c r="BB223" s="21">
        <v>213</v>
      </c>
      <c r="BC223" s="21">
        <v>0.97137499999999999</v>
      </c>
      <c r="BD223">
        <f t="shared" si="46"/>
        <v>17.858395061728395</v>
      </c>
      <c r="BE223">
        <f t="shared" si="47"/>
        <v>17.368985745061728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0.69244399999999995</v>
      </c>
      <c r="H224" s="21">
        <v>7.3545199999999999</v>
      </c>
      <c r="I224" s="21">
        <v>-1.47125E-2</v>
      </c>
      <c r="J224" s="21">
        <v>214</v>
      </c>
      <c r="K224" s="21">
        <v>0.69180299999999995</v>
      </c>
      <c r="L224">
        <f t="shared" si="36"/>
        <v>18.163580246913579</v>
      </c>
      <c r="M224">
        <f t="shared" si="37"/>
        <v>12.577262160493826</v>
      </c>
      <c r="N224" s="9"/>
      <c r="O224" s="21">
        <v>0.97763100000000003</v>
      </c>
      <c r="P224" s="21">
        <v>11.113300000000001</v>
      </c>
      <c r="Q224" s="21">
        <v>-1.44257E-2</v>
      </c>
      <c r="R224" s="21">
        <v>214</v>
      </c>
      <c r="S224" s="21">
        <v>0.97686799999999996</v>
      </c>
      <c r="T224">
        <f t="shared" si="38"/>
        <v>17.809506172839505</v>
      </c>
      <c r="U224">
        <f t="shared" si="39"/>
        <v>17.41112532925926</v>
      </c>
      <c r="X224" s="9"/>
      <c r="Y224" s="21">
        <v>0.69244399999999995</v>
      </c>
      <c r="Z224" s="21">
        <v>16.5807</v>
      </c>
      <c r="AA224" s="21">
        <v>-1.4825400000000001E-2</v>
      </c>
      <c r="AB224" s="21">
        <v>214</v>
      </c>
      <c r="AC224" s="21">
        <v>0.69186400000000003</v>
      </c>
      <c r="AD224">
        <f t="shared" si="40"/>
        <v>18.302962962962962</v>
      </c>
      <c r="AE224">
        <f t="shared" si="41"/>
        <v>12.673776885925925</v>
      </c>
      <c r="AF224" s="9"/>
      <c r="AG224" s="21">
        <v>0.97763100000000003</v>
      </c>
      <c r="AH224" s="21">
        <v>20.339500000000001</v>
      </c>
      <c r="AI224" s="21">
        <v>-1.4477500000000001E-2</v>
      </c>
      <c r="AJ224" s="21">
        <v>214</v>
      </c>
      <c r="AK224" s="21">
        <v>0.97595200000000004</v>
      </c>
      <c r="AL224">
        <f t="shared" si="42"/>
        <v>17.873456790123456</v>
      </c>
      <c r="AM224">
        <f t="shared" si="43"/>
        <v>17.473645435185183</v>
      </c>
      <c r="AP224" s="9"/>
      <c r="AQ224" s="21">
        <v>0.69244399999999995</v>
      </c>
      <c r="AR224" s="21">
        <v>25.782</v>
      </c>
      <c r="AS224" s="21">
        <v>-1.47461E-2</v>
      </c>
      <c r="AT224" s="21">
        <v>214</v>
      </c>
      <c r="AU224" s="21">
        <v>0.69180299999999995</v>
      </c>
      <c r="AV224">
        <f t="shared" si="44"/>
        <v>18.205061728395062</v>
      </c>
      <c r="AW224">
        <f t="shared" si="45"/>
        <v>12.60598576345679</v>
      </c>
      <c r="AX224" s="9"/>
      <c r="AY224" s="21">
        <v>0.97763100000000003</v>
      </c>
      <c r="AZ224" s="21">
        <v>29.540700000000001</v>
      </c>
      <c r="BA224" s="21">
        <v>-1.4456200000000001E-2</v>
      </c>
      <c r="BB224" s="21">
        <v>214</v>
      </c>
      <c r="BC224" s="21">
        <v>0.97625700000000004</v>
      </c>
      <c r="BD224">
        <f t="shared" si="46"/>
        <v>17.847160493827161</v>
      </c>
      <c r="BE224">
        <f t="shared" si="47"/>
        <v>17.447937360740742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0.68740800000000002</v>
      </c>
      <c r="H225" s="21">
        <v>7.3645899999999997</v>
      </c>
      <c r="I225" s="21">
        <v>-1.47186E-2</v>
      </c>
      <c r="J225" s="21">
        <v>215</v>
      </c>
      <c r="K225" s="21">
        <v>0.68673700000000004</v>
      </c>
      <c r="L225">
        <f t="shared" si="36"/>
        <v>18.171111111111109</v>
      </c>
      <c r="M225">
        <f t="shared" si="37"/>
        <v>12.490967146666666</v>
      </c>
      <c r="N225" s="9"/>
      <c r="O225" s="21">
        <v>0.98266600000000004</v>
      </c>
      <c r="P225" s="21">
        <v>11.1234</v>
      </c>
      <c r="Q225" s="21">
        <v>-1.4413499999999999E-2</v>
      </c>
      <c r="R225" s="21">
        <v>215</v>
      </c>
      <c r="S225" s="21">
        <v>0.98175000000000001</v>
      </c>
      <c r="T225">
        <f t="shared" si="38"/>
        <v>17.794444444444444</v>
      </c>
      <c r="U225">
        <f t="shared" si="39"/>
        <v>17.485995544444446</v>
      </c>
      <c r="X225" s="9"/>
      <c r="Y225" s="21">
        <v>0.68740800000000002</v>
      </c>
      <c r="Z225" s="21">
        <v>16.590800000000002</v>
      </c>
      <c r="AA225" s="21">
        <v>-1.4825400000000001E-2</v>
      </c>
      <c r="AB225" s="21">
        <v>215</v>
      </c>
      <c r="AC225" s="21">
        <v>0.68673700000000004</v>
      </c>
      <c r="AD225">
        <f t="shared" si="40"/>
        <v>18.302962962962962</v>
      </c>
      <c r="AE225">
        <f t="shared" si="41"/>
        <v>12.581603164444443</v>
      </c>
      <c r="AF225" s="9"/>
      <c r="AG225" s="21">
        <v>0.98266600000000004</v>
      </c>
      <c r="AH225" s="21">
        <v>20.349599999999999</v>
      </c>
      <c r="AI225" s="21">
        <v>-1.44653E-2</v>
      </c>
      <c r="AJ225" s="21">
        <v>215</v>
      </c>
      <c r="AK225" s="21">
        <v>0.98175000000000001</v>
      </c>
      <c r="AL225">
        <f t="shared" si="42"/>
        <v>17.858395061728395</v>
      </c>
      <c r="AM225">
        <f t="shared" si="43"/>
        <v>17.548837641728394</v>
      </c>
      <c r="AP225" s="9"/>
      <c r="AQ225" s="21">
        <v>0.68740800000000002</v>
      </c>
      <c r="AR225" s="21">
        <v>25.792000000000002</v>
      </c>
      <c r="AS225" s="21">
        <v>-1.47522E-2</v>
      </c>
      <c r="AT225" s="21">
        <v>215</v>
      </c>
      <c r="AU225" s="21">
        <v>0.68673700000000004</v>
      </c>
      <c r="AV225">
        <f t="shared" si="44"/>
        <v>18.212592592592593</v>
      </c>
      <c r="AW225">
        <f t="shared" si="45"/>
        <v>12.519481848888889</v>
      </c>
      <c r="AX225" s="9"/>
      <c r="AY225" s="21">
        <v>0.98266600000000004</v>
      </c>
      <c r="AZ225" s="21">
        <v>29.550799999999999</v>
      </c>
      <c r="BA225" s="21">
        <v>-1.44501E-2</v>
      </c>
      <c r="BB225" s="21">
        <v>215</v>
      </c>
      <c r="BC225" s="21">
        <v>0.98175000000000001</v>
      </c>
      <c r="BD225">
        <f t="shared" si="46"/>
        <v>17.839629629629631</v>
      </c>
      <c r="BE225">
        <f t="shared" si="47"/>
        <v>17.530397489629632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0.68237300000000001</v>
      </c>
      <c r="H226" s="21">
        <v>7.3746600000000004</v>
      </c>
      <c r="I226" s="21">
        <v>-1.4721700000000001E-2</v>
      </c>
      <c r="J226" s="21">
        <v>216</v>
      </c>
      <c r="K226" s="21">
        <v>0.68176300000000001</v>
      </c>
      <c r="L226">
        <f t="shared" si="36"/>
        <v>18.174938271604937</v>
      </c>
      <c r="M226">
        <f t="shared" si="37"/>
        <v>12.402087153209875</v>
      </c>
      <c r="N226" s="9"/>
      <c r="O226" s="21">
        <v>0.98770100000000005</v>
      </c>
      <c r="P226" s="21">
        <v>11.1334</v>
      </c>
      <c r="Q226" s="21">
        <v>-1.4401199999999999E-2</v>
      </c>
      <c r="R226" s="21">
        <v>216</v>
      </c>
      <c r="S226" s="21">
        <v>0.98632799999999998</v>
      </c>
      <c r="T226">
        <f t="shared" si="38"/>
        <v>17.779259259259259</v>
      </c>
      <c r="U226">
        <f t="shared" si="39"/>
        <v>17.560592149629631</v>
      </c>
      <c r="X226" s="9"/>
      <c r="Y226" s="21">
        <v>0.68237300000000001</v>
      </c>
      <c r="Z226" s="21">
        <v>16.600899999999999</v>
      </c>
      <c r="AA226" s="21">
        <v>-1.4825400000000001E-2</v>
      </c>
      <c r="AB226" s="21">
        <v>216</v>
      </c>
      <c r="AC226" s="21">
        <v>0.681732</v>
      </c>
      <c r="AD226">
        <f t="shared" si="40"/>
        <v>18.302962962962962</v>
      </c>
      <c r="AE226">
        <f t="shared" si="41"/>
        <v>12.489447745925926</v>
      </c>
      <c r="AF226" s="9"/>
      <c r="AG226" s="21">
        <v>0.98770100000000005</v>
      </c>
      <c r="AH226" s="21">
        <v>20.3596</v>
      </c>
      <c r="AI226" s="21">
        <v>-1.4456200000000001E-2</v>
      </c>
      <c r="AJ226" s="21">
        <v>216</v>
      </c>
      <c r="AK226" s="21">
        <v>0.98693799999999998</v>
      </c>
      <c r="AL226">
        <f t="shared" si="42"/>
        <v>17.847160493827161</v>
      </c>
      <c r="AM226">
        <f t="shared" si="43"/>
        <v>17.627658266913581</v>
      </c>
      <c r="AP226" s="9"/>
      <c r="AQ226" s="21">
        <v>0.68237300000000001</v>
      </c>
      <c r="AR226" s="21">
        <v>25.802099999999999</v>
      </c>
      <c r="AS226" s="21">
        <v>-1.4761399999999999E-2</v>
      </c>
      <c r="AT226" s="21">
        <v>216</v>
      </c>
      <c r="AU226" s="21">
        <v>0.68170200000000003</v>
      </c>
      <c r="AV226">
        <f t="shared" si="44"/>
        <v>18.22395061728395</v>
      </c>
      <c r="AW226">
        <f t="shared" si="45"/>
        <v>12.435531854567902</v>
      </c>
      <c r="AX226" s="9"/>
      <c r="AY226" s="21">
        <v>0.98770100000000005</v>
      </c>
      <c r="AZ226" s="21">
        <v>29.5609</v>
      </c>
      <c r="BA226" s="21">
        <v>-1.4444E-2</v>
      </c>
      <c r="BB226" s="21">
        <v>216</v>
      </c>
      <c r="BC226" s="21">
        <v>0.98663299999999998</v>
      </c>
      <c r="BD226">
        <f t="shared" si="46"/>
        <v>17.832098765432097</v>
      </c>
      <c r="BE226">
        <f t="shared" si="47"/>
        <v>17.612781782716048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0.677338</v>
      </c>
      <c r="H227" s="21">
        <v>7.3847300000000002</v>
      </c>
      <c r="I227" s="21">
        <v>-1.47308E-2</v>
      </c>
      <c r="J227" s="21">
        <v>217</v>
      </c>
      <c r="K227" s="21">
        <v>0.67675799999999997</v>
      </c>
      <c r="L227">
        <f t="shared" si="36"/>
        <v>18.186172839506174</v>
      </c>
      <c r="M227">
        <f t="shared" si="37"/>
        <v>12.318185938765433</v>
      </c>
      <c r="N227" s="9"/>
      <c r="O227" s="21">
        <v>0.99273699999999998</v>
      </c>
      <c r="P227" s="21">
        <v>11.1435</v>
      </c>
      <c r="Q227" s="21">
        <v>-1.43921E-2</v>
      </c>
      <c r="R227" s="21">
        <v>217</v>
      </c>
      <c r="S227" s="21">
        <v>0.99212599999999995</v>
      </c>
      <c r="T227">
        <f t="shared" si="38"/>
        <v>17.768024691358022</v>
      </c>
      <c r="U227">
        <f t="shared" si="39"/>
        <v>17.638975528024687</v>
      </c>
      <c r="X227" s="9"/>
      <c r="Y227" s="21">
        <v>0.677338</v>
      </c>
      <c r="Z227" s="21">
        <v>16.610900000000001</v>
      </c>
      <c r="AA227" s="21">
        <v>-1.4822399999999999E-2</v>
      </c>
      <c r="AB227" s="21">
        <v>217</v>
      </c>
      <c r="AC227" s="21">
        <v>0.67666599999999999</v>
      </c>
      <c r="AD227">
        <f t="shared" si="40"/>
        <v>18.299259259259259</v>
      </c>
      <c r="AE227">
        <f t="shared" si="41"/>
        <v>12.394783668148147</v>
      </c>
      <c r="AF227" s="9"/>
      <c r="AG227" s="21">
        <v>0.99273699999999998</v>
      </c>
      <c r="AH227" s="21">
        <v>20.369700000000002</v>
      </c>
      <c r="AI227" s="21">
        <v>-1.44501E-2</v>
      </c>
      <c r="AJ227" s="21">
        <v>217</v>
      </c>
      <c r="AK227" s="21">
        <v>0.99212599999999995</v>
      </c>
      <c r="AL227">
        <f t="shared" si="42"/>
        <v>17.839629629629631</v>
      </c>
      <c r="AM227">
        <f t="shared" si="43"/>
        <v>17.710060399629629</v>
      </c>
      <c r="AP227" s="9"/>
      <c r="AQ227" s="21">
        <v>0.677338</v>
      </c>
      <c r="AR227" s="21">
        <v>25.812200000000001</v>
      </c>
      <c r="AS227" s="21">
        <v>-1.47644E-2</v>
      </c>
      <c r="AT227" s="21">
        <v>217</v>
      </c>
      <c r="AU227" s="21">
        <v>0.67672699999999997</v>
      </c>
      <c r="AV227">
        <f t="shared" si="44"/>
        <v>18.227654320987654</v>
      </c>
      <c r="AW227">
        <f t="shared" si="45"/>
        <v>12.346282922469134</v>
      </c>
      <c r="AX227" s="9"/>
      <c r="AY227" s="21">
        <v>0.99273699999999998</v>
      </c>
      <c r="AZ227" s="21">
        <v>29.570900000000002</v>
      </c>
      <c r="BA227" s="21">
        <v>-1.44379E-2</v>
      </c>
      <c r="BB227" s="21">
        <v>217</v>
      </c>
      <c r="BC227" s="21">
        <v>0.99151599999999995</v>
      </c>
      <c r="BD227">
        <f t="shared" si="46"/>
        <v>17.824567901234566</v>
      </c>
      <c r="BE227">
        <f t="shared" si="47"/>
        <v>17.695108064567901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0.67230199999999996</v>
      </c>
      <c r="H228" s="21">
        <v>7.3948</v>
      </c>
      <c r="I228" s="21">
        <v>-1.474E-2</v>
      </c>
      <c r="J228" s="21">
        <v>218</v>
      </c>
      <c r="K228" s="21">
        <v>0.67163099999999998</v>
      </c>
      <c r="L228">
        <f t="shared" si="36"/>
        <v>18.197530864197528</v>
      </c>
      <c r="M228">
        <f t="shared" si="37"/>
        <v>12.234236395061727</v>
      </c>
      <c r="N228" s="9"/>
      <c r="O228" s="21">
        <v>0.99777199999999999</v>
      </c>
      <c r="P228" s="21">
        <v>11.153600000000001</v>
      </c>
      <c r="Q228" s="21">
        <v>-1.4395099999999999E-2</v>
      </c>
      <c r="R228" s="21">
        <v>218</v>
      </c>
      <c r="S228" s="21">
        <v>0.99670400000000003</v>
      </c>
      <c r="T228">
        <f t="shared" si="38"/>
        <v>17.771728395061729</v>
      </c>
      <c r="U228">
        <f t="shared" si="39"/>
        <v>17.732132984197531</v>
      </c>
      <c r="X228" s="9"/>
      <c r="Y228" s="21">
        <v>0.67230199999999996</v>
      </c>
      <c r="Z228" s="21">
        <v>16.620999999999999</v>
      </c>
      <c r="AA228" s="21">
        <v>-1.4825400000000001E-2</v>
      </c>
      <c r="AB228" s="21">
        <v>218</v>
      </c>
      <c r="AC228" s="21">
        <v>0.67159999999999997</v>
      </c>
      <c r="AD228">
        <f t="shared" si="40"/>
        <v>18.302962962962962</v>
      </c>
      <c r="AE228">
        <f t="shared" si="41"/>
        <v>12.305118605925925</v>
      </c>
      <c r="AF228" s="9"/>
      <c r="AG228" s="21">
        <v>0.99777199999999999</v>
      </c>
      <c r="AH228" s="21">
        <v>20.379799999999999</v>
      </c>
      <c r="AI228" s="21">
        <v>-1.44379E-2</v>
      </c>
      <c r="AJ228" s="21">
        <v>218</v>
      </c>
      <c r="AK228" s="21">
        <v>0.99700900000000003</v>
      </c>
      <c r="AL228">
        <f t="shared" si="42"/>
        <v>17.824567901234566</v>
      </c>
      <c r="AM228">
        <f t="shared" si="43"/>
        <v>17.784854763950616</v>
      </c>
      <c r="AP228" s="9"/>
      <c r="AQ228" s="21">
        <v>0.67230199999999996</v>
      </c>
      <c r="AR228" s="21">
        <v>25.822199999999999</v>
      </c>
      <c r="AS228" s="21">
        <v>-1.4767499999999999E-2</v>
      </c>
      <c r="AT228" s="21">
        <v>218</v>
      </c>
      <c r="AU228" s="21">
        <v>0.67163099999999998</v>
      </c>
      <c r="AV228">
        <f t="shared" si="44"/>
        <v>18.231481481481481</v>
      </c>
      <c r="AW228">
        <f t="shared" si="45"/>
        <v>12.257061462962962</v>
      </c>
      <c r="AX228" s="9"/>
      <c r="AY228" s="21">
        <v>0.99777199999999999</v>
      </c>
      <c r="AZ228" s="21">
        <v>29.581</v>
      </c>
      <c r="BA228" s="21">
        <v>-1.4434799999999999E-2</v>
      </c>
      <c r="BB228" s="21">
        <v>218</v>
      </c>
      <c r="BC228" s="21">
        <v>0.99639900000000003</v>
      </c>
      <c r="BD228">
        <f t="shared" si="46"/>
        <v>17.820740740740739</v>
      </c>
      <c r="BE228">
        <f t="shared" si="47"/>
        <v>17.781036130370367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0.66726700000000005</v>
      </c>
      <c r="H229" s="21">
        <v>7.4048699999999998</v>
      </c>
      <c r="I229" s="21">
        <v>-1.47461E-2</v>
      </c>
      <c r="J229" s="21">
        <v>219</v>
      </c>
      <c r="K229" s="21">
        <v>0.66662600000000005</v>
      </c>
      <c r="L229">
        <f t="shared" si="36"/>
        <v>18.205061728395062</v>
      </c>
      <c r="M229">
        <f t="shared" si="37"/>
        <v>12.14763692432099</v>
      </c>
      <c r="N229" s="9"/>
      <c r="O229" s="21">
        <v>1.00281</v>
      </c>
      <c r="P229" s="21">
        <v>11.163600000000001</v>
      </c>
      <c r="Q229" s="21">
        <v>-1.43921E-2</v>
      </c>
      <c r="R229" s="21">
        <v>219</v>
      </c>
      <c r="S229" s="21">
        <v>1.0018899999999999</v>
      </c>
      <c r="T229">
        <f t="shared" si="38"/>
        <v>17.768024691358022</v>
      </c>
      <c r="U229">
        <f t="shared" si="39"/>
        <v>17.817952840740737</v>
      </c>
      <c r="X229" s="9"/>
      <c r="Y229" s="21">
        <v>0.66726700000000005</v>
      </c>
      <c r="Z229" s="21">
        <v>16.6311</v>
      </c>
      <c r="AA229" s="21">
        <v>-1.4819300000000001E-2</v>
      </c>
      <c r="AB229" s="21">
        <v>219</v>
      </c>
      <c r="AC229" s="21">
        <v>0.66662600000000005</v>
      </c>
      <c r="AD229">
        <f t="shared" si="40"/>
        <v>18.295432098765431</v>
      </c>
      <c r="AE229">
        <f t="shared" si="41"/>
        <v>12.207938090246914</v>
      </c>
      <c r="AF229" s="9"/>
      <c r="AG229" s="21">
        <v>1.00281</v>
      </c>
      <c r="AH229" s="21">
        <v>20.389800000000001</v>
      </c>
      <c r="AI229" s="21">
        <v>-1.4434799999999999E-2</v>
      </c>
      <c r="AJ229" s="21">
        <v>219</v>
      </c>
      <c r="AK229" s="21">
        <v>1.0018899999999999</v>
      </c>
      <c r="AL229">
        <f t="shared" si="42"/>
        <v>17.820740740740739</v>
      </c>
      <c r="AM229">
        <f t="shared" si="43"/>
        <v>17.870817022222219</v>
      </c>
      <c r="AP229" s="9"/>
      <c r="AQ229" s="21">
        <v>0.66726700000000005</v>
      </c>
      <c r="AR229" s="21">
        <v>25.8323</v>
      </c>
      <c r="AS229" s="21">
        <v>-1.4767499999999999E-2</v>
      </c>
      <c r="AT229" s="21">
        <v>219</v>
      </c>
      <c r="AU229" s="21">
        <v>0.66665600000000003</v>
      </c>
      <c r="AV229">
        <f t="shared" si="44"/>
        <v>18.231481481481481</v>
      </c>
      <c r="AW229">
        <f t="shared" si="45"/>
        <v>12.165265953703704</v>
      </c>
      <c r="AX229" s="9"/>
      <c r="AY229" s="21">
        <v>1.00281</v>
      </c>
      <c r="AZ229" s="21">
        <v>29.591100000000001</v>
      </c>
      <c r="BA229" s="21">
        <v>-1.4428699999999999E-2</v>
      </c>
      <c r="BB229" s="21">
        <v>219</v>
      </c>
      <c r="BC229" s="21">
        <v>1.0018899999999999</v>
      </c>
      <c r="BD229">
        <f t="shared" si="46"/>
        <v>17.813209876543205</v>
      </c>
      <c r="BE229">
        <f t="shared" si="47"/>
        <v>17.863264996296291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0.66223100000000001</v>
      </c>
      <c r="H230" s="21">
        <v>7.4149399999999996</v>
      </c>
      <c r="I230" s="21">
        <v>-1.47461E-2</v>
      </c>
      <c r="J230" s="21">
        <v>220</v>
      </c>
      <c r="K230" s="21">
        <v>0.66156000000000004</v>
      </c>
      <c r="L230">
        <f t="shared" si="36"/>
        <v>18.205061728395062</v>
      </c>
      <c r="M230">
        <f t="shared" si="37"/>
        <v>12.05595623345679</v>
      </c>
      <c r="N230" s="9"/>
      <c r="O230" s="21">
        <v>1.0078400000000001</v>
      </c>
      <c r="P230" s="21">
        <v>11.1737</v>
      </c>
      <c r="Q230" s="21">
        <v>-1.4389000000000001E-2</v>
      </c>
      <c r="R230" s="21">
        <v>220</v>
      </c>
      <c r="S230" s="21">
        <v>1.00708</v>
      </c>
      <c r="T230">
        <f t="shared" si="38"/>
        <v>17.764197530864198</v>
      </c>
      <c r="U230">
        <f t="shared" si="39"/>
        <v>17.903468839506175</v>
      </c>
      <c r="X230" s="9"/>
      <c r="Y230" s="21">
        <v>0.66223100000000001</v>
      </c>
      <c r="Z230" s="21">
        <v>16.641200000000001</v>
      </c>
      <c r="AA230" s="21">
        <v>-1.4816299999999999E-2</v>
      </c>
      <c r="AB230" s="21">
        <v>220</v>
      </c>
      <c r="AC230" s="21">
        <v>0.66165200000000002</v>
      </c>
      <c r="AD230">
        <f t="shared" si="40"/>
        <v>18.291728395061728</v>
      </c>
      <c r="AE230">
        <f t="shared" si="41"/>
        <v>12.113349586790124</v>
      </c>
      <c r="AF230" s="9"/>
      <c r="AG230" s="21">
        <v>1.0078400000000001</v>
      </c>
      <c r="AH230" s="21">
        <v>20.399899999999999</v>
      </c>
      <c r="AI230" s="21">
        <v>-1.44318E-2</v>
      </c>
      <c r="AJ230" s="21">
        <v>220</v>
      </c>
      <c r="AK230" s="21">
        <v>1.00739</v>
      </c>
      <c r="AL230">
        <f t="shared" si="42"/>
        <v>17.817037037037036</v>
      </c>
      <c r="AM230">
        <f t="shared" si="43"/>
        <v>17.956722607407407</v>
      </c>
      <c r="AP230" s="9"/>
      <c r="AQ230" s="21">
        <v>0.66223100000000001</v>
      </c>
      <c r="AR230" s="21">
        <v>25.842400000000001</v>
      </c>
      <c r="AS230" s="21">
        <v>-1.47736E-2</v>
      </c>
      <c r="AT230" s="21">
        <v>220</v>
      </c>
      <c r="AU230" s="21">
        <v>0.66162100000000001</v>
      </c>
      <c r="AV230">
        <f t="shared" si="44"/>
        <v>18.239012345679011</v>
      </c>
      <c r="AW230">
        <f t="shared" si="45"/>
        <v>12.078439384691357</v>
      </c>
      <c r="AX230" s="9"/>
      <c r="AY230" s="21">
        <v>1.0078400000000001</v>
      </c>
      <c r="AZ230" s="21">
        <v>29.601099999999999</v>
      </c>
      <c r="BA230" s="21">
        <v>-1.4428699999999999E-2</v>
      </c>
      <c r="BB230" s="21">
        <v>220</v>
      </c>
      <c r="BC230" s="21">
        <v>1.0067699999999999</v>
      </c>
      <c r="BD230">
        <f t="shared" si="46"/>
        <v>17.813209876543205</v>
      </c>
      <c r="BE230">
        <f t="shared" si="47"/>
        <v>17.952865441975305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0.657196</v>
      </c>
      <c r="H231" s="21">
        <v>7.4250100000000003</v>
      </c>
      <c r="I231" s="21">
        <v>-1.4742999999999999E-2</v>
      </c>
      <c r="J231" s="21">
        <v>221</v>
      </c>
      <c r="K231" s="21">
        <v>0.656555</v>
      </c>
      <c r="L231">
        <f t="shared" si="36"/>
        <v>18.201234567901235</v>
      </c>
      <c r="M231">
        <f t="shared" si="37"/>
        <v>11.96177855308642</v>
      </c>
      <c r="N231" s="9"/>
      <c r="O231" s="21">
        <v>1.01288</v>
      </c>
      <c r="P231" s="21">
        <v>11.1838</v>
      </c>
      <c r="Q231" s="21">
        <v>-1.43768E-2</v>
      </c>
      <c r="R231" s="21">
        <v>221</v>
      </c>
      <c r="S231" s="21">
        <v>1.01196</v>
      </c>
      <c r="T231">
        <f t="shared" si="38"/>
        <v>17.749135802469137</v>
      </c>
      <c r="U231">
        <f t="shared" si="39"/>
        <v>17.977744671604938</v>
      </c>
      <c r="X231" s="9"/>
      <c r="Y231" s="21">
        <v>0.657196</v>
      </c>
      <c r="Z231" s="21">
        <v>16.651199999999999</v>
      </c>
      <c r="AA231" s="21">
        <v>-1.48132E-2</v>
      </c>
      <c r="AB231" s="21">
        <v>221</v>
      </c>
      <c r="AC231" s="21">
        <v>0.656586</v>
      </c>
      <c r="AD231">
        <f t="shared" si="40"/>
        <v>18.287901234567901</v>
      </c>
      <c r="AE231">
        <f t="shared" si="41"/>
        <v>12.018735539753086</v>
      </c>
      <c r="AF231" s="9"/>
      <c r="AG231" s="21">
        <v>1.01288</v>
      </c>
      <c r="AH231" s="21">
        <v>20.41</v>
      </c>
      <c r="AI231" s="21">
        <v>-1.4422600000000001E-2</v>
      </c>
      <c r="AJ231" s="21">
        <v>221</v>
      </c>
      <c r="AK231" s="21">
        <v>1.01227</v>
      </c>
      <c r="AL231">
        <f t="shared" si="42"/>
        <v>17.805679012345678</v>
      </c>
      <c r="AM231">
        <f t="shared" si="43"/>
        <v>18.035016158024689</v>
      </c>
      <c r="AP231" s="9"/>
      <c r="AQ231" s="21">
        <v>0.657196</v>
      </c>
      <c r="AR231" s="21">
        <v>25.852499999999999</v>
      </c>
      <c r="AS231" s="21">
        <v>-1.4782699999999999E-2</v>
      </c>
      <c r="AT231" s="21">
        <v>221</v>
      </c>
      <c r="AU231" s="21">
        <v>0.65661599999999998</v>
      </c>
      <c r="AV231">
        <f t="shared" si="44"/>
        <v>18.250246913580245</v>
      </c>
      <c r="AW231">
        <f t="shared" si="45"/>
        <v>11.993989270617282</v>
      </c>
      <c r="AX231" s="9"/>
      <c r="AY231" s="21">
        <v>1.01288</v>
      </c>
      <c r="AZ231" s="21">
        <v>29.6112</v>
      </c>
      <c r="BA231" s="21">
        <v>-1.4428699999999999E-2</v>
      </c>
      <c r="BB231" s="21">
        <v>221</v>
      </c>
      <c r="BC231" s="21">
        <v>1.01227</v>
      </c>
      <c r="BD231">
        <f t="shared" si="46"/>
        <v>17.813209876543205</v>
      </c>
      <c r="BE231">
        <f t="shared" si="47"/>
        <v>18.04264401975308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0.65216099999999999</v>
      </c>
      <c r="H232" s="21">
        <v>7.4350800000000001</v>
      </c>
      <c r="I232" s="21">
        <v>-1.474E-2</v>
      </c>
      <c r="J232" s="21">
        <v>222</v>
      </c>
      <c r="K232" s="21">
        <v>0.65154999999999996</v>
      </c>
      <c r="L232">
        <f t="shared" si="36"/>
        <v>18.197530864197528</v>
      </c>
      <c r="M232">
        <f t="shared" si="37"/>
        <v>11.867719925925924</v>
      </c>
      <c r="N232" s="9"/>
      <c r="O232" s="21">
        <v>1.0179100000000001</v>
      </c>
      <c r="P232" s="21">
        <v>11.193899999999999</v>
      </c>
      <c r="Q232" s="21">
        <v>-1.43616E-2</v>
      </c>
      <c r="R232" s="21">
        <v>222</v>
      </c>
      <c r="S232" s="21">
        <v>1.01654</v>
      </c>
      <c r="T232">
        <f t="shared" si="38"/>
        <v>17.73037037037037</v>
      </c>
      <c r="U232">
        <f t="shared" si="39"/>
        <v>18.047921303703706</v>
      </c>
      <c r="X232" s="9"/>
      <c r="Y232" s="21">
        <v>0.65216099999999999</v>
      </c>
      <c r="Z232" s="21">
        <v>16.661300000000001</v>
      </c>
      <c r="AA232" s="21">
        <v>-1.48132E-2</v>
      </c>
      <c r="AB232" s="21">
        <v>222</v>
      </c>
      <c r="AC232" s="21">
        <v>0.65154999999999996</v>
      </c>
      <c r="AD232">
        <f t="shared" si="40"/>
        <v>18.287901234567901</v>
      </c>
      <c r="AE232">
        <f t="shared" si="41"/>
        <v>11.926655957037037</v>
      </c>
      <c r="AF232" s="9"/>
      <c r="AG232" s="21">
        <v>1.0179100000000001</v>
      </c>
      <c r="AH232" s="21">
        <v>20.420100000000001</v>
      </c>
      <c r="AI232" s="21">
        <v>-1.4419599999999999E-2</v>
      </c>
      <c r="AJ232" s="21">
        <v>222</v>
      </c>
      <c r="AK232" s="21">
        <v>1.01685</v>
      </c>
      <c r="AL232">
        <f t="shared" si="42"/>
        <v>17.801975308641975</v>
      </c>
      <c r="AM232">
        <f t="shared" si="43"/>
        <v>18.120808686419753</v>
      </c>
      <c r="AP232" s="9"/>
      <c r="AQ232" s="21">
        <v>0.65216099999999999</v>
      </c>
      <c r="AR232" s="21">
        <v>25.862500000000001</v>
      </c>
      <c r="AS232" s="21">
        <v>-1.47888E-2</v>
      </c>
      <c r="AT232" s="21">
        <v>222</v>
      </c>
      <c r="AU232" s="21">
        <v>0.65151999999999999</v>
      </c>
      <c r="AV232">
        <f t="shared" si="44"/>
        <v>18.257777777777775</v>
      </c>
      <c r="AW232">
        <f t="shared" si="45"/>
        <v>11.907010613333332</v>
      </c>
      <c r="AX232" s="9"/>
      <c r="AY232" s="21">
        <v>1.0179100000000001</v>
      </c>
      <c r="AZ232" s="21">
        <v>29.621300000000002</v>
      </c>
      <c r="BA232" s="21">
        <v>-1.44257E-2</v>
      </c>
      <c r="BB232" s="21">
        <v>222</v>
      </c>
      <c r="BC232" s="21">
        <v>1.01685</v>
      </c>
      <c r="BD232">
        <f t="shared" si="46"/>
        <v>17.809506172839505</v>
      </c>
      <c r="BE232">
        <f t="shared" si="47"/>
        <v>18.128474428395062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0.64712499999999995</v>
      </c>
      <c r="H233" s="21">
        <v>7.4451599999999996</v>
      </c>
      <c r="I233" s="21">
        <v>-1.4736900000000001E-2</v>
      </c>
      <c r="J233" s="21">
        <v>223</v>
      </c>
      <c r="K233" s="21">
        <v>0.64648399999999995</v>
      </c>
      <c r="L233">
        <f t="shared" si="36"/>
        <v>18.193703703703704</v>
      </c>
      <c r="M233">
        <f t="shared" si="37"/>
        <v>11.773600509259259</v>
      </c>
      <c r="N233" s="9"/>
      <c r="O233" s="21">
        <v>1.02295</v>
      </c>
      <c r="P233" s="21">
        <v>11.203900000000001</v>
      </c>
      <c r="Q233" s="21">
        <v>-1.43524E-2</v>
      </c>
      <c r="R233" s="21">
        <v>223</v>
      </c>
      <c r="S233" s="21">
        <v>1.02173</v>
      </c>
      <c r="T233">
        <f t="shared" si="38"/>
        <v>17.719012345679008</v>
      </c>
      <c r="U233">
        <f t="shared" si="39"/>
        <v>18.125663679012341</v>
      </c>
      <c r="X233" s="9"/>
      <c r="Y233" s="21">
        <v>0.64712499999999995</v>
      </c>
      <c r="Z233" s="21">
        <v>16.671399999999998</v>
      </c>
      <c r="AA233" s="21">
        <v>-1.4816299999999999E-2</v>
      </c>
      <c r="AB233" s="21">
        <v>223</v>
      </c>
      <c r="AC233" s="21">
        <v>0.64651499999999995</v>
      </c>
      <c r="AD233">
        <f t="shared" si="40"/>
        <v>18.291728395061728</v>
      </c>
      <c r="AE233">
        <f t="shared" si="41"/>
        <v>11.837034737654321</v>
      </c>
      <c r="AF233" s="9"/>
      <c r="AG233" s="21">
        <v>1.02295</v>
      </c>
      <c r="AH233" s="21">
        <v>20.430099999999999</v>
      </c>
      <c r="AI233" s="21">
        <v>-1.44165E-2</v>
      </c>
      <c r="AJ233" s="21">
        <v>223</v>
      </c>
      <c r="AK233" s="21">
        <v>1.02234</v>
      </c>
      <c r="AL233">
        <f t="shared" si="42"/>
        <v>17.798148148148147</v>
      </c>
      <c r="AM233">
        <f t="shared" si="43"/>
        <v>18.206615648148148</v>
      </c>
      <c r="AP233" s="9"/>
      <c r="AQ233" s="21">
        <v>0.64712499999999995</v>
      </c>
      <c r="AR233" s="21">
        <v>25.872599999999998</v>
      </c>
      <c r="AS233" s="21">
        <v>-1.47858E-2</v>
      </c>
      <c r="AT233" s="21">
        <v>223</v>
      </c>
      <c r="AU233" s="21">
        <v>0.64648399999999995</v>
      </c>
      <c r="AV233">
        <f t="shared" si="44"/>
        <v>18.254074074074072</v>
      </c>
      <c r="AW233">
        <f t="shared" si="45"/>
        <v>11.812667685185183</v>
      </c>
      <c r="AX233" s="9"/>
      <c r="AY233" s="21">
        <v>1.02295</v>
      </c>
      <c r="AZ233" s="21">
        <v>29.631399999999999</v>
      </c>
      <c r="BA233" s="21">
        <v>-1.4419599999999999E-2</v>
      </c>
      <c r="BB233" s="21">
        <v>223</v>
      </c>
      <c r="BC233" s="21">
        <v>1.02173</v>
      </c>
      <c r="BD233">
        <f t="shared" si="46"/>
        <v>17.801975308641975</v>
      </c>
      <c r="BE233">
        <f t="shared" si="47"/>
        <v>18.210530641975307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0.64209000000000005</v>
      </c>
      <c r="H234" s="21">
        <v>7.4552300000000002</v>
      </c>
      <c r="I234" s="21">
        <v>-1.47461E-2</v>
      </c>
      <c r="J234" s="21">
        <v>224</v>
      </c>
      <c r="K234" s="21">
        <v>0.64141800000000004</v>
      </c>
      <c r="L234">
        <f t="shared" si="36"/>
        <v>18.205061728395062</v>
      </c>
      <c r="M234">
        <f t="shared" si="37"/>
        <v>11.689288085185186</v>
      </c>
      <c r="N234" s="9"/>
      <c r="O234" s="21">
        <v>1.0279799999999999</v>
      </c>
      <c r="P234" s="21">
        <v>11.214</v>
      </c>
      <c r="Q234" s="21">
        <v>-1.43433E-2</v>
      </c>
      <c r="R234" s="21">
        <v>224</v>
      </c>
      <c r="S234" s="21">
        <v>1.02661</v>
      </c>
      <c r="T234">
        <f t="shared" si="38"/>
        <v>17.707777777777778</v>
      </c>
      <c r="U234">
        <f t="shared" si="39"/>
        <v>18.2032414</v>
      </c>
      <c r="X234" s="9"/>
      <c r="Y234" s="21">
        <v>0.64209000000000005</v>
      </c>
      <c r="Z234" s="21">
        <v>16.6814</v>
      </c>
      <c r="AA234" s="21">
        <v>-1.4816299999999999E-2</v>
      </c>
      <c r="AB234" s="21">
        <v>224</v>
      </c>
      <c r="AC234" s="21">
        <v>0.64154100000000003</v>
      </c>
      <c r="AD234">
        <f t="shared" si="40"/>
        <v>18.291728395061728</v>
      </c>
      <c r="AE234">
        <f t="shared" si="41"/>
        <v>11.744935885185185</v>
      </c>
      <c r="AF234" s="9"/>
      <c r="AG234" s="21">
        <v>1.0279799999999999</v>
      </c>
      <c r="AH234" s="21">
        <v>20.440200000000001</v>
      </c>
      <c r="AI234" s="21">
        <v>-1.44104E-2</v>
      </c>
      <c r="AJ234" s="21">
        <v>224</v>
      </c>
      <c r="AK234" s="21">
        <v>1.0269200000000001</v>
      </c>
      <c r="AL234">
        <f t="shared" si="42"/>
        <v>17.790617283950617</v>
      </c>
      <c r="AM234">
        <f t="shared" si="43"/>
        <v>18.288398755555555</v>
      </c>
      <c r="AP234" s="9"/>
      <c r="AQ234" s="21">
        <v>0.64209000000000005</v>
      </c>
      <c r="AR234" s="21">
        <v>25.8827</v>
      </c>
      <c r="AS234" s="21">
        <v>-1.47858E-2</v>
      </c>
      <c r="AT234" s="21">
        <v>224</v>
      </c>
      <c r="AU234" s="21">
        <v>0.64151000000000002</v>
      </c>
      <c r="AV234">
        <f t="shared" si="44"/>
        <v>18.254074074074072</v>
      </c>
      <c r="AW234">
        <f t="shared" si="45"/>
        <v>11.720758422222222</v>
      </c>
      <c r="AX234" s="9"/>
      <c r="AY234" s="21">
        <v>1.0279799999999999</v>
      </c>
      <c r="AZ234" s="21">
        <v>29.641400000000001</v>
      </c>
      <c r="BA234" s="21">
        <v>-1.44165E-2</v>
      </c>
      <c r="BB234" s="21">
        <v>224</v>
      </c>
      <c r="BC234" s="21">
        <v>1.02661</v>
      </c>
      <c r="BD234">
        <f t="shared" si="46"/>
        <v>17.798148148148147</v>
      </c>
      <c r="BE234">
        <f t="shared" si="47"/>
        <v>18.29614033333333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0.63705400000000001</v>
      </c>
      <c r="H235" s="21">
        <v>7.4653</v>
      </c>
      <c r="I235" s="21">
        <v>-1.47552E-2</v>
      </c>
      <c r="J235" s="21">
        <v>225</v>
      </c>
      <c r="K235" s="21">
        <v>0.63638300000000003</v>
      </c>
      <c r="L235">
        <f t="shared" si="36"/>
        <v>18.216296296296292</v>
      </c>
      <c r="M235">
        <f t="shared" si="37"/>
        <v>11.604764420740738</v>
      </c>
      <c r="N235" s="9"/>
      <c r="O235" s="21">
        <v>1.03302</v>
      </c>
      <c r="P235" s="21">
        <v>11.2241</v>
      </c>
      <c r="Q235" s="21">
        <v>-1.4334100000000001E-2</v>
      </c>
      <c r="R235" s="21">
        <v>225</v>
      </c>
      <c r="S235" s="21">
        <v>1.0318000000000001</v>
      </c>
      <c r="T235">
        <f t="shared" si="38"/>
        <v>17.69641975308642</v>
      </c>
      <c r="U235">
        <f t="shared" si="39"/>
        <v>18.280755533333334</v>
      </c>
      <c r="X235" s="9"/>
      <c r="Y235" s="21">
        <v>0.63705400000000001</v>
      </c>
      <c r="Z235" s="21">
        <v>16.691500000000001</v>
      </c>
      <c r="AA235" s="21">
        <v>-1.4822399999999999E-2</v>
      </c>
      <c r="AB235" s="21">
        <v>225</v>
      </c>
      <c r="AC235" s="21">
        <v>0.63638300000000003</v>
      </c>
      <c r="AD235">
        <f t="shared" si="40"/>
        <v>18.299259259259259</v>
      </c>
      <c r="AE235">
        <f t="shared" si="41"/>
        <v>11.657616308148148</v>
      </c>
      <c r="AF235" s="9"/>
      <c r="AG235" s="21">
        <v>1.03302</v>
      </c>
      <c r="AH235" s="21">
        <v>20.450299999999999</v>
      </c>
      <c r="AI235" s="21">
        <v>-1.44043E-2</v>
      </c>
      <c r="AJ235" s="21">
        <v>225</v>
      </c>
      <c r="AK235" s="21">
        <v>1.0321</v>
      </c>
      <c r="AL235">
        <f t="shared" si="42"/>
        <v>17.783086419753086</v>
      </c>
      <c r="AM235">
        <f t="shared" si="43"/>
        <v>18.370283933333333</v>
      </c>
      <c r="AP235" s="9"/>
      <c r="AQ235" s="21">
        <v>0.63705400000000001</v>
      </c>
      <c r="AR235" s="21">
        <v>25.892700000000001</v>
      </c>
      <c r="AS235" s="21">
        <v>-1.47888E-2</v>
      </c>
      <c r="AT235" s="21">
        <v>225</v>
      </c>
      <c r="AU235" s="21">
        <v>0.63641400000000004</v>
      </c>
      <c r="AV235">
        <f t="shared" si="44"/>
        <v>18.257777777777775</v>
      </c>
      <c r="AW235">
        <f t="shared" si="45"/>
        <v>11.631190364444443</v>
      </c>
      <c r="AX235" s="9"/>
      <c r="AY235" s="21">
        <v>1.03302</v>
      </c>
      <c r="AZ235" s="21">
        <v>29.651499999999999</v>
      </c>
      <c r="BA235" s="21">
        <v>-1.44073E-2</v>
      </c>
      <c r="BB235" s="21">
        <v>225</v>
      </c>
      <c r="BC235" s="21">
        <v>1.0318000000000001</v>
      </c>
      <c r="BD235">
        <f t="shared" si="46"/>
        <v>17.78679012345679</v>
      </c>
      <c r="BE235">
        <f t="shared" si="47"/>
        <v>18.374109933333333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0.632019</v>
      </c>
      <c r="H236" s="21">
        <v>7.4753699999999998</v>
      </c>
      <c r="I236" s="21">
        <v>-1.47552E-2</v>
      </c>
      <c r="J236" s="21">
        <v>226</v>
      </c>
      <c r="K236" s="21">
        <v>0.63143899999999997</v>
      </c>
      <c r="L236">
        <f t="shared" si="36"/>
        <v>18.216296296296292</v>
      </c>
      <c r="M236">
        <f t="shared" si="37"/>
        <v>11.513045368888886</v>
      </c>
      <c r="N236" s="9"/>
      <c r="O236" s="21">
        <v>1.03806</v>
      </c>
      <c r="P236" s="21">
        <v>11.2341</v>
      </c>
      <c r="Q236" s="21">
        <v>-1.4324999999999999E-2</v>
      </c>
      <c r="R236" s="21">
        <v>226</v>
      </c>
      <c r="S236" s="21">
        <v>1.03668</v>
      </c>
      <c r="T236">
        <f t="shared" si="38"/>
        <v>17.685185185185183</v>
      </c>
      <c r="U236">
        <f t="shared" si="39"/>
        <v>18.358283333333333</v>
      </c>
      <c r="X236" s="9"/>
      <c r="Y236" s="21">
        <v>0.632019</v>
      </c>
      <c r="Z236" s="21">
        <v>16.701599999999999</v>
      </c>
      <c r="AA236" s="21">
        <v>-1.4816299999999999E-2</v>
      </c>
      <c r="AB236" s="21">
        <v>226</v>
      </c>
      <c r="AC236" s="21">
        <v>0.631409</v>
      </c>
      <c r="AD236">
        <f t="shared" si="40"/>
        <v>18.291728395061728</v>
      </c>
      <c r="AE236">
        <f t="shared" si="41"/>
        <v>11.560719888518518</v>
      </c>
      <c r="AF236" s="9"/>
      <c r="AG236" s="21">
        <v>1.03806</v>
      </c>
      <c r="AH236" s="21">
        <v>20.4603</v>
      </c>
      <c r="AI236" s="21">
        <v>-1.4401199999999999E-2</v>
      </c>
      <c r="AJ236" s="21">
        <v>226</v>
      </c>
      <c r="AK236" s="21">
        <v>1.03729</v>
      </c>
      <c r="AL236">
        <f t="shared" si="42"/>
        <v>17.779259259259259</v>
      </c>
      <c r="AM236">
        <f t="shared" si="43"/>
        <v>18.455937866666666</v>
      </c>
      <c r="AP236" s="9"/>
      <c r="AQ236" s="21">
        <v>0.632019</v>
      </c>
      <c r="AR236" s="21">
        <v>25.902799999999999</v>
      </c>
      <c r="AS236" s="21">
        <v>-1.47919E-2</v>
      </c>
      <c r="AT236" s="21">
        <v>226</v>
      </c>
      <c r="AU236" s="21">
        <v>0.63137799999999999</v>
      </c>
      <c r="AV236">
        <f t="shared" si="44"/>
        <v>18.261604938271603</v>
      </c>
      <c r="AW236">
        <f t="shared" si="45"/>
        <v>11.541681291481479</v>
      </c>
      <c r="AX236" s="9"/>
      <c r="AY236" s="21">
        <v>1.03806</v>
      </c>
      <c r="AZ236" s="21">
        <v>29.6616</v>
      </c>
      <c r="BA236" s="21">
        <v>-1.43982E-2</v>
      </c>
      <c r="BB236" s="21">
        <v>226</v>
      </c>
      <c r="BC236" s="21">
        <v>1.03668</v>
      </c>
      <c r="BD236">
        <f t="shared" si="46"/>
        <v>17.775555555555556</v>
      </c>
      <c r="BE236">
        <f t="shared" si="47"/>
        <v>18.4520932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0.62698399999999999</v>
      </c>
      <c r="H237" s="21">
        <v>7.4854399999999996</v>
      </c>
      <c r="I237" s="21">
        <v>-1.47461E-2</v>
      </c>
      <c r="J237" s="21">
        <v>227</v>
      </c>
      <c r="K237" s="21">
        <v>0.62634299999999998</v>
      </c>
      <c r="L237">
        <f t="shared" si="36"/>
        <v>18.205061728395062</v>
      </c>
      <c r="M237">
        <f t="shared" si="37"/>
        <v>11.414282422716049</v>
      </c>
      <c r="N237" s="9"/>
      <c r="O237" s="21">
        <v>1.0430900000000001</v>
      </c>
      <c r="P237" s="21">
        <v>11.244199999999999</v>
      </c>
      <c r="Q237" s="21">
        <v>-1.43158E-2</v>
      </c>
      <c r="R237" s="21">
        <v>227</v>
      </c>
      <c r="S237" s="21">
        <v>1.0421800000000001</v>
      </c>
      <c r="T237">
        <f t="shared" si="38"/>
        <v>17.673827160493826</v>
      </c>
      <c r="U237">
        <f t="shared" si="39"/>
        <v>18.435392372839505</v>
      </c>
      <c r="X237" s="9"/>
      <c r="Y237" s="21">
        <v>0.62698399999999999</v>
      </c>
      <c r="Z237" s="21">
        <v>16.7117</v>
      </c>
      <c r="AA237" s="21">
        <v>-1.4825400000000001E-2</v>
      </c>
      <c r="AB237" s="21">
        <v>227</v>
      </c>
      <c r="AC237" s="21">
        <v>0.62634299999999998</v>
      </c>
      <c r="AD237">
        <f t="shared" si="40"/>
        <v>18.302962962962962</v>
      </c>
      <c r="AE237">
        <f t="shared" si="41"/>
        <v>11.475664930370369</v>
      </c>
      <c r="AF237" s="9"/>
      <c r="AG237" s="21">
        <v>1.0430900000000001</v>
      </c>
      <c r="AH237" s="21">
        <v>20.470400000000001</v>
      </c>
      <c r="AI237" s="21">
        <v>-1.4385999999999999E-2</v>
      </c>
      <c r="AJ237" s="21">
        <v>227</v>
      </c>
      <c r="AK237" s="21">
        <v>1.0421800000000001</v>
      </c>
      <c r="AL237">
        <f t="shared" si="42"/>
        <v>17.760493827160492</v>
      </c>
      <c r="AM237">
        <f t="shared" si="43"/>
        <v>18.525793506172839</v>
      </c>
      <c r="AP237" s="9"/>
      <c r="AQ237" s="21">
        <v>0.62698399999999999</v>
      </c>
      <c r="AR237" s="21">
        <v>25.9129</v>
      </c>
      <c r="AS237" s="21">
        <v>-1.47949E-2</v>
      </c>
      <c r="AT237" s="21">
        <v>227</v>
      </c>
      <c r="AU237" s="21">
        <v>0.62640399999999996</v>
      </c>
      <c r="AV237">
        <f t="shared" si="44"/>
        <v>18.265308641975306</v>
      </c>
      <c r="AW237">
        <f t="shared" si="45"/>
        <v>11.452056273580245</v>
      </c>
      <c r="AX237" s="9"/>
      <c r="AY237" s="21">
        <v>1.0430900000000001</v>
      </c>
      <c r="AZ237" s="21">
        <v>29.671600000000002</v>
      </c>
      <c r="BA237" s="21">
        <v>-1.4382900000000001E-2</v>
      </c>
      <c r="BB237" s="21">
        <v>227</v>
      </c>
      <c r="BC237" s="21">
        <v>1.0424800000000001</v>
      </c>
      <c r="BD237">
        <f t="shared" si="46"/>
        <v>17.756666666666668</v>
      </c>
      <c r="BE237">
        <f t="shared" si="47"/>
        <v>18.521801433333337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0.62194799999999995</v>
      </c>
      <c r="H238" s="21">
        <v>7.4955100000000003</v>
      </c>
      <c r="I238" s="21">
        <v>-1.4742999999999999E-2</v>
      </c>
      <c r="J238" s="21">
        <v>228</v>
      </c>
      <c r="K238" s="21">
        <v>0.62136800000000003</v>
      </c>
      <c r="L238">
        <f t="shared" si="36"/>
        <v>18.201234567901235</v>
      </c>
      <c r="M238">
        <f t="shared" si="37"/>
        <v>11.320221437037036</v>
      </c>
      <c r="N238" s="9"/>
      <c r="O238" s="21">
        <v>1.04813</v>
      </c>
      <c r="P238" s="21">
        <v>11.254300000000001</v>
      </c>
      <c r="Q238" s="21">
        <v>-1.43097E-2</v>
      </c>
      <c r="R238" s="21">
        <v>228</v>
      </c>
      <c r="S238" s="21">
        <v>1.0473600000000001</v>
      </c>
      <c r="T238">
        <f t="shared" si="38"/>
        <v>17.666296296296295</v>
      </c>
      <c r="U238">
        <f t="shared" si="39"/>
        <v>18.516575137037037</v>
      </c>
      <c r="X238" s="9"/>
      <c r="Y238" s="21">
        <v>0.62194799999999995</v>
      </c>
      <c r="Z238" s="21">
        <v>16.721699999999998</v>
      </c>
      <c r="AA238" s="21">
        <v>-1.48285E-2</v>
      </c>
      <c r="AB238" s="21">
        <v>228</v>
      </c>
      <c r="AC238" s="21">
        <v>0.62121599999999999</v>
      </c>
      <c r="AD238">
        <f t="shared" si="40"/>
        <v>18.306790123456789</v>
      </c>
      <c r="AE238">
        <f t="shared" si="41"/>
        <v>11.385871503703703</v>
      </c>
      <c r="AF238" s="9"/>
      <c r="AG238" s="21">
        <v>1.04813</v>
      </c>
      <c r="AH238" s="21">
        <v>20.480499999999999</v>
      </c>
      <c r="AI238" s="21">
        <v>-1.43768E-2</v>
      </c>
      <c r="AJ238" s="21">
        <v>228</v>
      </c>
      <c r="AK238" s="21">
        <v>1.0473600000000001</v>
      </c>
      <c r="AL238">
        <f t="shared" si="42"/>
        <v>17.749135802469137</v>
      </c>
      <c r="AM238">
        <f t="shared" si="43"/>
        <v>18.603401708641975</v>
      </c>
      <c r="AP238" s="9"/>
      <c r="AQ238" s="21">
        <v>0.62194799999999995</v>
      </c>
      <c r="AR238" s="21">
        <v>25.922999999999998</v>
      </c>
      <c r="AS238" s="21">
        <v>-1.47919E-2</v>
      </c>
      <c r="AT238" s="21">
        <v>228</v>
      </c>
      <c r="AU238" s="21">
        <v>0.62133799999999995</v>
      </c>
      <c r="AV238">
        <f t="shared" si="44"/>
        <v>18.261604938271603</v>
      </c>
      <c r="AW238">
        <f t="shared" si="45"/>
        <v>11.357768668148147</v>
      </c>
      <c r="AX238" s="9"/>
      <c r="AY238" s="21">
        <v>1.04813</v>
      </c>
      <c r="AZ238" s="21">
        <v>29.681699999999999</v>
      </c>
      <c r="BA238" s="21">
        <v>-1.43768E-2</v>
      </c>
      <c r="BB238" s="21">
        <v>228</v>
      </c>
      <c r="BC238" s="21">
        <v>1.0470600000000001</v>
      </c>
      <c r="BD238">
        <f t="shared" si="46"/>
        <v>17.749135802469137</v>
      </c>
      <c r="BE238">
        <f t="shared" si="47"/>
        <v>18.603401708641975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0.61691300000000004</v>
      </c>
      <c r="H239" s="21">
        <v>7.5055800000000001</v>
      </c>
      <c r="I239" s="21">
        <v>-1.47461E-2</v>
      </c>
      <c r="J239" s="21">
        <v>229</v>
      </c>
      <c r="K239" s="21">
        <v>0.61624100000000004</v>
      </c>
      <c r="L239">
        <f t="shared" si="36"/>
        <v>18.205061728395062</v>
      </c>
      <c r="M239">
        <f t="shared" si="37"/>
        <v>11.230939246049385</v>
      </c>
      <c r="N239" s="9"/>
      <c r="O239" s="21">
        <v>1.0531600000000001</v>
      </c>
      <c r="P239" s="21">
        <v>11.2643</v>
      </c>
      <c r="Q239" s="21">
        <v>-1.4297499999999999E-2</v>
      </c>
      <c r="R239" s="21">
        <v>229</v>
      </c>
      <c r="S239" s="21">
        <v>1.0522499999999999</v>
      </c>
      <c r="T239">
        <f t="shared" si="38"/>
        <v>17.651234567901231</v>
      </c>
      <c r="U239">
        <f t="shared" si="39"/>
        <v>18.589574197530862</v>
      </c>
      <c r="X239" s="9"/>
      <c r="Y239" s="21">
        <v>0.61691300000000004</v>
      </c>
      <c r="Z239" s="21">
        <v>16.7318</v>
      </c>
      <c r="AA239" s="21">
        <v>-1.48346E-2</v>
      </c>
      <c r="AB239" s="21">
        <v>229</v>
      </c>
      <c r="AC239" s="21">
        <v>0.61633300000000002</v>
      </c>
      <c r="AD239">
        <f t="shared" si="40"/>
        <v>18.31432098765432</v>
      </c>
      <c r="AE239">
        <f t="shared" si="41"/>
        <v>11.29834270345679</v>
      </c>
      <c r="AF239" s="9"/>
      <c r="AG239" s="21">
        <v>1.0531600000000001</v>
      </c>
      <c r="AH239" s="21">
        <v>20.490600000000001</v>
      </c>
      <c r="AI239" s="21">
        <v>-1.4367700000000001E-2</v>
      </c>
      <c r="AJ239" s="21">
        <v>229</v>
      </c>
      <c r="AK239" s="21">
        <v>1.0522499999999999</v>
      </c>
      <c r="AL239">
        <f t="shared" si="42"/>
        <v>17.7379012345679</v>
      </c>
      <c r="AM239">
        <f t="shared" si="43"/>
        <v>18.68084806419753</v>
      </c>
      <c r="AP239" s="9"/>
      <c r="AQ239" s="21">
        <v>0.61691300000000004</v>
      </c>
      <c r="AR239" s="21">
        <v>25.933</v>
      </c>
      <c r="AS239" s="21">
        <v>-1.4798E-2</v>
      </c>
      <c r="AT239" s="21">
        <v>229</v>
      </c>
      <c r="AU239" s="21">
        <v>0.61617999999999995</v>
      </c>
      <c r="AV239">
        <f t="shared" si="44"/>
        <v>18.269135802469137</v>
      </c>
      <c r="AW239">
        <f t="shared" si="45"/>
        <v>11.270467375308643</v>
      </c>
      <c r="AX239" s="9"/>
      <c r="AY239" s="21">
        <v>1.0531600000000001</v>
      </c>
      <c r="AZ239" s="21">
        <v>29.691800000000001</v>
      </c>
      <c r="BA239" s="21">
        <v>-1.4367700000000001E-2</v>
      </c>
      <c r="BB239" s="21">
        <v>229</v>
      </c>
      <c r="BC239" s="21">
        <v>1.0525500000000001</v>
      </c>
      <c r="BD239">
        <f t="shared" si="46"/>
        <v>17.7379012345679</v>
      </c>
      <c r="BE239">
        <f t="shared" si="47"/>
        <v>18.68084806419753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0.611877</v>
      </c>
      <c r="H240" s="21">
        <v>7.5156499999999999</v>
      </c>
      <c r="I240" s="21">
        <v>-1.4749099999999999E-2</v>
      </c>
      <c r="J240" s="21">
        <v>230</v>
      </c>
      <c r="K240" s="21">
        <v>0.61129800000000001</v>
      </c>
      <c r="L240">
        <f t="shared" si="36"/>
        <v>18.208765432098765</v>
      </c>
      <c r="M240">
        <f t="shared" si="37"/>
        <v>11.141524766296296</v>
      </c>
      <c r="N240" s="9"/>
      <c r="O240" s="21">
        <v>1.0582</v>
      </c>
      <c r="P240" s="21">
        <v>11.2744</v>
      </c>
      <c r="Q240" s="21">
        <v>-1.4294400000000001E-2</v>
      </c>
      <c r="R240" s="21">
        <v>230</v>
      </c>
      <c r="S240" s="21">
        <v>1.0568200000000001</v>
      </c>
      <c r="T240">
        <f t="shared" si="38"/>
        <v>17.647407407407407</v>
      </c>
      <c r="U240">
        <f t="shared" si="39"/>
        <v>18.674486518518517</v>
      </c>
      <c r="X240" s="9"/>
      <c r="Y240" s="21">
        <v>0.611877</v>
      </c>
      <c r="Z240" s="21">
        <v>16.741900000000001</v>
      </c>
      <c r="AA240" s="21">
        <v>-1.4831499999999999E-2</v>
      </c>
      <c r="AB240" s="21">
        <v>230</v>
      </c>
      <c r="AC240" s="21">
        <v>0.61114500000000005</v>
      </c>
      <c r="AD240">
        <f t="shared" si="40"/>
        <v>18.310493827160489</v>
      </c>
      <c r="AE240">
        <f t="shared" si="41"/>
        <v>11.203770031481479</v>
      </c>
      <c r="AF240" s="9"/>
      <c r="AG240" s="21">
        <v>1.0582</v>
      </c>
      <c r="AH240" s="21">
        <v>20.500599999999999</v>
      </c>
      <c r="AI240" s="21">
        <v>-1.43555E-2</v>
      </c>
      <c r="AJ240" s="21">
        <v>230</v>
      </c>
      <c r="AK240" s="21">
        <v>1.0574300000000001</v>
      </c>
      <c r="AL240">
        <f t="shared" si="42"/>
        <v>17.722839506172836</v>
      </c>
      <c r="AM240">
        <f t="shared" si="43"/>
        <v>18.754308765432096</v>
      </c>
      <c r="AP240" s="9"/>
      <c r="AQ240" s="21">
        <v>0.611877</v>
      </c>
      <c r="AR240" s="21">
        <v>25.943100000000001</v>
      </c>
      <c r="AS240" s="21">
        <v>-1.47949E-2</v>
      </c>
      <c r="AT240" s="21">
        <v>230</v>
      </c>
      <c r="AU240" s="21">
        <v>0.61129800000000001</v>
      </c>
      <c r="AV240">
        <f t="shared" si="44"/>
        <v>18.265308641975306</v>
      </c>
      <c r="AW240">
        <f t="shared" si="45"/>
        <v>11.176122255925923</v>
      </c>
      <c r="AX240" s="9"/>
      <c r="AY240" s="21">
        <v>1.0582</v>
      </c>
      <c r="AZ240" s="21">
        <v>29.701899999999998</v>
      </c>
      <c r="BA240" s="21">
        <v>-1.43616E-2</v>
      </c>
      <c r="BB240" s="21">
        <v>230</v>
      </c>
      <c r="BC240" s="21">
        <v>1.0574300000000001</v>
      </c>
      <c r="BD240">
        <f t="shared" si="46"/>
        <v>17.73037037037037</v>
      </c>
      <c r="BE240">
        <f t="shared" si="47"/>
        <v>18.762277925925925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0.60684199999999999</v>
      </c>
      <c r="H241" s="21">
        <v>7.5257199999999997</v>
      </c>
      <c r="I241" s="21">
        <v>-1.47552E-2</v>
      </c>
      <c r="J241" s="21">
        <v>231</v>
      </c>
      <c r="K241" s="21">
        <v>0.60617100000000002</v>
      </c>
      <c r="L241">
        <f t="shared" si="36"/>
        <v>18.216296296296292</v>
      </c>
      <c r="M241">
        <f t="shared" si="37"/>
        <v>11.054413677037035</v>
      </c>
      <c r="N241" s="9"/>
      <c r="O241" s="21">
        <v>1.0632299999999999</v>
      </c>
      <c r="P241" s="21">
        <v>11.2845</v>
      </c>
      <c r="Q241" s="21">
        <v>-1.4285300000000001E-2</v>
      </c>
      <c r="R241" s="21">
        <v>231</v>
      </c>
      <c r="S241" s="21">
        <v>1.0623199999999999</v>
      </c>
      <c r="T241">
        <f t="shared" si="38"/>
        <v>17.636172839506173</v>
      </c>
      <c r="U241">
        <f t="shared" si="39"/>
        <v>18.751308048148147</v>
      </c>
      <c r="X241" s="9"/>
      <c r="Y241" s="21">
        <v>0.60684199999999999</v>
      </c>
      <c r="Z241" s="21">
        <v>16.751899999999999</v>
      </c>
      <c r="AA241" s="21">
        <v>-1.48285E-2</v>
      </c>
      <c r="AB241" s="21">
        <v>231</v>
      </c>
      <c r="AC241" s="21">
        <v>0.60623199999999999</v>
      </c>
      <c r="AD241">
        <f t="shared" si="40"/>
        <v>18.306790123456789</v>
      </c>
      <c r="AE241">
        <f t="shared" si="41"/>
        <v>11.109329132098765</v>
      </c>
      <c r="AF241" s="9"/>
      <c r="AG241" s="21">
        <v>1.0632299999999999</v>
      </c>
      <c r="AH241" s="21">
        <v>20.5107</v>
      </c>
      <c r="AI241" s="21">
        <v>-1.43494E-2</v>
      </c>
      <c r="AJ241" s="21">
        <v>231</v>
      </c>
      <c r="AK241" s="21">
        <v>1.0626199999999999</v>
      </c>
      <c r="AL241">
        <f t="shared" si="42"/>
        <v>17.715308641975309</v>
      </c>
      <c r="AM241">
        <f t="shared" si="43"/>
        <v>18.835447607407406</v>
      </c>
      <c r="AP241" s="9"/>
      <c r="AQ241" s="21">
        <v>0.60684199999999999</v>
      </c>
      <c r="AR241" s="21">
        <v>25.953199999999999</v>
      </c>
      <c r="AS241" s="21">
        <v>-1.47919E-2</v>
      </c>
      <c r="AT241" s="21">
        <v>231</v>
      </c>
      <c r="AU241" s="21">
        <v>0.60620099999999999</v>
      </c>
      <c r="AV241">
        <f t="shared" si="44"/>
        <v>18.261604938271603</v>
      </c>
      <c r="AW241">
        <f t="shared" si="45"/>
        <v>11.081908863950616</v>
      </c>
      <c r="AX241" s="9"/>
      <c r="AY241" s="21">
        <v>1.0632299999999999</v>
      </c>
      <c r="AZ241" s="21">
        <v>29.7119</v>
      </c>
      <c r="BA241" s="21">
        <v>-1.43555E-2</v>
      </c>
      <c r="BB241" s="21">
        <v>231</v>
      </c>
      <c r="BC241" s="21">
        <v>1.0617099999999999</v>
      </c>
      <c r="BD241">
        <f t="shared" si="46"/>
        <v>17.722839506172836</v>
      </c>
      <c r="BE241">
        <f t="shared" si="47"/>
        <v>18.843454648148143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0.60180699999999998</v>
      </c>
      <c r="H242" s="21">
        <v>7.5357900000000004</v>
      </c>
      <c r="I242" s="21">
        <v>-1.47583E-2</v>
      </c>
      <c r="J242" s="21">
        <v>232</v>
      </c>
      <c r="K242" s="21">
        <v>0.60113499999999997</v>
      </c>
      <c r="L242">
        <f t="shared" si="36"/>
        <v>18.22012345679012</v>
      </c>
      <c r="M242">
        <f t="shared" si="37"/>
        <v>10.964997837160491</v>
      </c>
      <c r="N242" s="9"/>
      <c r="O242" s="21">
        <v>1.0682700000000001</v>
      </c>
      <c r="P242" s="21">
        <v>11.294600000000001</v>
      </c>
      <c r="Q242" s="21">
        <v>-1.42731E-2</v>
      </c>
      <c r="R242" s="21">
        <v>232</v>
      </c>
      <c r="S242" s="21">
        <v>1.0674999999999999</v>
      </c>
      <c r="T242">
        <f t="shared" si="38"/>
        <v>17.621111111111112</v>
      </c>
      <c r="U242">
        <f t="shared" si="39"/>
        <v>18.824104366666671</v>
      </c>
      <c r="X242" s="9"/>
      <c r="Y242" s="21">
        <v>0.60180699999999998</v>
      </c>
      <c r="Z242" s="21">
        <v>16.762</v>
      </c>
      <c r="AA242" s="21">
        <v>-1.48346E-2</v>
      </c>
      <c r="AB242" s="21">
        <v>232</v>
      </c>
      <c r="AC242" s="21">
        <v>0.60113499999999997</v>
      </c>
      <c r="AD242">
        <f t="shared" si="40"/>
        <v>18.31432098765432</v>
      </c>
      <c r="AE242">
        <f t="shared" si="41"/>
        <v>11.021686570617282</v>
      </c>
      <c r="AF242" s="9"/>
      <c r="AG242" s="21">
        <v>1.0682700000000001</v>
      </c>
      <c r="AH242" s="21">
        <v>20.520800000000001</v>
      </c>
      <c r="AI242" s="21">
        <v>-1.4340200000000001E-2</v>
      </c>
      <c r="AJ242" s="21">
        <v>232</v>
      </c>
      <c r="AK242" s="21">
        <v>1.0674999999999999</v>
      </c>
      <c r="AL242">
        <f t="shared" si="42"/>
        <v>17.703950617283951</v>
      </c>
      <c r="AM242">
        <f t="shared" si="43"/>
        <v>18.912599325925928</v>
      </c>
      <c r="AP242" s="9"/>
      <c r="AQ242" s="21">
        <v>0.60180699999999998</v>
      </c>
      <c r="AR242" s="21">
        <v>25.963200000000001</v>
      </c>
      <c r="AS242" s="21">
        <v>-1.47858E-2</v>
      </c>
      <c r="AT242" s="21">
        <v>232</v>
      </c>
      <c r="AU242" s="21">
        <v>0.601105</v>
      </c>
      <c r="AV242">
        <f t="shared" si="44"/>
        <v>18.254074074074072</v>
      </c>
      <c r="AW242">
        <f t="shared" si="45"/>
        <v>10.985429556296294</v>
      </c>
      <c r="AX242" s="9"/>
      <c r="AY242" s="21">
        <v>1.0682700000000001</v>
      </c>
      <c r="AZ242" s="21">
        <v>29.722000000000001</v>
      </c>
      <c r="BA242" s="21">
        <v>-1.43555E-2</v>
      </c>
      <c r="BB242" s="21">
        <v>232</v>
      </c>
      <c r="BC242" s="21">
        <v>1.0674999999999999</v>
      </c>
      <c r="BD242">
        <f t="shared" si="46"/>
        <v>17.722839506172836</v>
      </c>
      <c r="BE242">
        <f t="shared" si="47"/>
        <v>18.932777759259256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0.59677100000000005</v>
      </c>
      <c r="H243" s="21">
        <v>7.5458699999999999</v>
      </c>
      <c r="I243" s="21">
        <v>-1.47583E-2</v>
      </c>
      <c r="J243" s="21">
        <v>233</v>
      </c>
      <c r="K243" s="21">
        <v>0.59609999999999996</v>
      </c>
      <c r="L243">
        <f t="shared" si="36"/>
        <v>18.22012345679012</v>
      </c>
      <c r="M243">
        <f t="shared" si="37"/>
        <v>10.873241295432097</v>
      </c>
      <c r="N243" s="9"/>
      <c r="O243" s="21">
        <v>1.0732999999999999</v>
      </c>
      <c r="P243" s="21">
        <v>11.304600000000001</v>
      </c>
      <c r="Q243" s="21">
        <v>-1.42609E-2</v>
      </c>
      <c r="R243" s="21">
        <v>233</v>
      </c>
      <c r="S243" s="21">
        <v>1.07239</v>
      </c>
      <c r="T243">
        <f t="shared" si="38"/>
        <v>17.606049382716048</v>
      </c>
      <c r="U243">
        <f t="shared" si="39"/>
        <v>18.896572802469134</v>
      </c>
      <c r="X243" s="9"/>
      <c r="Y243" s="21">
        <v>0.59677100000000005</v>
      </c>
      <c r="Z243" s="21">
        <v>16.772099999999998</v>
      </c>
      <c r="AA243" s="21">
        <v>-1.4837599999999999E-2</v>
      </c>
      <c r="AB243" s="21">
        <v>233</v>
      </c>
      <c r="AC243" s="21">
        <v>0.59609999999999996</v>
      </c>
      <c r="AD243">
        <f t="shared" si="40"/>
        <v>18.318024691358023</v>
      </c>
      <c r="AE243">
        <f t="shared" si="41"/>
        <v>10.93166591308642</v>
      </c>
      <c r="AF243" s="9"/>
      <c r="AG243" s="21">
        <v>1.0732999999999999</v>
      </c>
      <c r="AH243" s="21">
        <v>20.530799999999999</v>
      </c>
      <c r="AI243" s="21">
        <v>-1.4340200000000001E-2</v>
      </c>
      <c r="AJ243" s="21">
        <v>233</v>
      </c>
      <c r="AK243" s="21">
        <v>1.07239</v>
      </c>
      <c r="AL243">
        <f t="shared" si="42"/>
        <v>17.703950617283951</v>
      </c>
      <c r="AM243">
        <f t="shared" si="43"/>
        <v>19.001650197530864</v>
      </c>
      <c r="AP243" s="9"/>
      <c r="AQ243" s="21">
        <v>0.59677100000000005</v>
      </c>
      <c r="AR243" s="21">
        <v>25.973299999999998</v>
      </c>
      <c r="AS243" s="21">
        <v>-1.47949E-2</v>
      </c>
      <c r="AT243" s="21">
        <v>233</v>
      </c>
      <c r="AU243" s="21">
        <v>0.59616100000000005</v>
      </c>
      <c r="AV243">
        <f t="shared" si="44"/>
        <v>18.265308641975306</v>
      </c>
      <c r="AW243">
        <f t="shared" si="45"/>
        <v>10.900206503580247</v>
      </c>
      <c r="AX243" s="9"/>
      <c r="AY243" s="21">
        <v>1.0732999999999999</v>
      </c>
      <c r="AZ243" s="21">
        <v>29.732099999999999</v>
      </c>
      <c r="BA243" s="21">
        <v>-1.43524E-2</v>
      </c>
      <c r="BB243" s="21">
        <v>233</v>
      </c>
      <c r="BC243" s="21">
        <v>1.07239</v>
      </c>
      <c r="BD243">
        <f t="shared" si="46"/>
        <v>17.719012345679008</v>
      </c>
      <c r="BE243">
        <f t="shared" si="47"/>
        <v>19.01781595061728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0.59173600000000004</v>
      </c>
      <c r="H244" s="21">
        <v>7.5559399999999997</v>
      </c>
      <c r="I244" s="21">
        <v>-1.47644E-2</v>
      </c>
      <c r="J244" s="21">
        <v>234</v>
      </c>
      <c r="K244" s="21">
        <v>0.59106400000000003</v>
      </c>
      <c r="L244">
        <f t="shared" si="36"/>
        <v>18.227654320987654</v>
      </c>
      <c r="M244">
        <f t="shared" si="37"/>
        <v>10.785959257283951</v>
      </c>
      <c r="N244" s="9"/>
      <c r="O244" s="21">
        <v>1.0783400000000001</v>
      </c>
      <c r="P244" s="21">
        <v>11.3147</v>
      </c>
      <c r="Q244" s="21">
        <v>-1.42548E-2</v>
      </c>
      <c r="R244" s="21">
        <v>234</v>
      </c>
      <c r="S244" s="21">
        <v>1.07758</v>
      </c>
      <c r="T244">
        <f t="shared" si="38"/>
        <v>17.598518518518517</v>
      </c>
      <c r="U244">
        <f t="shared" si="39"/>
        <v>18.977186459259258</v>
      </c>
      <c r="X244" s="9"/>
      <c r="Y244" s="21">
        <v>0.59173600000000004</v>
      </c>
      <c r="Z244" s="21">
        <v>16.7821</v>
      </c>
      <c r="AA244" s="21">
        <v>-1.48407E-2</v>
      </c>
      <c r="AB244" s="21">
        <v>234</v>
      </c>
      <c r="AC244" s="21">
        <v>0.59112500000000001</v>
      </c>
      <c r="AD244">
        <f t="shared" si="40"/>
        <v>18.32185185185185</v>
      </c>
      <c r="AE244">
        <f t="shared" si="41"/>
        <v>10.841699327407406</v>
      </c>
      <c r="AF244" s="9"/>
      <c r="AG244" s="21">
        <v>1.0783400000000001</v>
      </c>
      <c r="AH244" s="21">
        <v>20.540900000000001</v>
      </c>
      <c r="AI244" s="21">
        <v>-1.4334100000000001E-2</v>
      </c>
      <c r="AJ244" s="21">
        <v>234</v>
      </c>
      <c r="AK244" s="21">
        <v>1.07697</v>
      </c>
      <c r="AL244">
        <f t="shared" si="42"/>
        <v>17.69641975308642</v>
      </c>
      <c r="AM244">
        <f t="shared" si="43"/>
        <v>19.082757276543212</v>
      </c>
      <c r="AP244" s="9"/>
      <c r="AQ244" s="21">
        <v>0.59173600000000004</v>
      </c>
      <c r="AR244" s="21">
        <v>25.9834</v>
      </c>
      <c r="AS244" s="21">
        <v>-1.47919E-2</v>
      </c>
      <c r="AT244" s="21">
        <v>234</v>
      </c>
      <c r="AU244" s="21">
        <v>0.59109500000000004</v>
      </c>
      <c r="AV244">
        <f t="shared" si="44"/>
        <v>18.261604938271603</v>
      </c>
      <c r="AW244">
        <f t="shared" si="45"/>
        <v>10.806049059753086</v>
      </c>
      <c r="AX244" s="9"/>
      <c r="AY244" s="21">
        <v>1.0783400000000001</v>
      </c>
      <c r="AZ244" s="21">
        <v>29.742100000000001</v>
      </c>
      <c r="BA244" s="21">
        <v>-1.4346299999999999E-2</v>
      </c>
      <c r="BB244" s="21">
        <v>234</v>
      </c>
      <c r="BC244" s="21">
        <v>1.0778799999999999</v>
      </c>
      <c r="BD244">
        <f t="shared" si="46"/>
        <v>17.711481481481481</v>
      </c>
      <c r="BE244">
        <f t="shared" si="47"/>
        <v>19.098998940740742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0.5867</v>
      </c>
      <c r="H245" s="21">
        <v>7.5660100000000003</v>
      </c>
      <c r="I245" s="21">
        <v>-1.4770500000000001E-2</v>
      </c>
      <c r="J245" s="21">
        <v>235</v>
      </c>
      <c r="K245" s="21">
        <v>0.58602900000000002</v>
      </c>
      <c r="L245">
        <f t="shared" si="36"/>
        <v>18.235185185185184</v>
      </c>
      <c r="M245">
        <f t="shared" si="37"/>
        <v>10.698583148148147</v>
      </c>
      <c r="N245" s="9"/>
      <c r="O245" s="21">
        <v>1.0833699999999999</v>
      </c>
      <c r="P245" s="21">
        <v>11.3248</v>
      </c>
      <c r="Q245" s="21">
        <v>-1.42609E-2</v>
      </c>
      <c r="R245" s="21">
        <v>235</v>
      </c>
      <c r="S245" s="21">
        <v>1.0827599999999999</v>
      </c>
      <c r="T245">
        <f t="shared" si="38"/>
        <v>17.606049382716048</v>
      </c>
      <c r="U245">
        <f t="shared" si="39"/>
        <v>19.073865719753083</v>
      </c>
      <c r="X245" s="9"/>
      <c r="Y245" s="21">
        <v>0.5867</v>
      </c>
      <c r="Z245" s="21">
        <v>16.792200000000001</v>
      </c>
      <c r="AA245" s="21">
        <v>-1.4843800000000001E-2</v>
      </c>
      <c r="AB245" s="21">
        <v>235</v>
      </c>
      <c r="AC245" s="21">
        <v>0.58606000000000003</v>
      </c>
      <c r="AD245">
        <f t="shared" si="40"/>
        <v>18.325679012345677</v>
      </c>
      <c r="AE245">
        <f t="shared" si="41"/>
        <v>10.751675876543208</v>
      </c>
      <c r="AF245" s="9"/>
      <c r="AG245" s="21">
        <v>1.0833699999999999</v>
      </c>
      <c r="AH245" s="21">
        <v>20.550999999999998</v>
      </c>
      <c r="AI245" s="21">
        <v>-1.4324999999999999E-2</v>
      </c>
      <c r="AJ245" s="21">
        <v>235</v>
      </c>
      <c r="AK245" s="21">
        <v>1.08307</v>
      </c>
      <c r="AL245">
        <f t="shared" si="42"/>
        <v>17.685185185185183</v>
      </c>
      <c r="AM245">
        <f t="shared" si="43"/>
        <v>19.15959907407407</v>
      </c>
      <c r="AP245" s="9"/>
      <c r="AQ245" s="21">
        <v>0.5867</v>
      </c>
      <c r="AR245" s="21">
        <v>25.993500000000001</v>
      </c>
      <c r="AS245" s="21">
        <v>-1.47949E-2</v>
      </c>
      <c r="AT245" s="21">
        <v>235</v>
      </c>
      <c r="AU245" s="21">
        <v>0.58602900000000002</v>
      </c>
      <c r="AV245">
        <f t="shared" si="44"/>
        <v>18.265308641975306</v>
      </c>
      <c r="AW245">
        <f t="shared" si="45"/>
        <v>10.716256580246911</v>
      </c>
      <c r="AX245" s="9"/>
      <c r="AY245" s="21">
        <v>1.0833699999999999</v>
      </c>
      <c r="AZ245" s="21">
        <v>29.752199999999998</v>
      </c>
      <c r="BA245" s="21">
        <v>-1.43372E-2</v>
      </c>
      <c r="BB245" s="21">
        <v>235</v>
      </c>
      <c r="BC245" s="21">
        <v>1.08185</v>
      </c>
      <c r="BD245">
        <f t="shared" si="46"/>
        <v>17.700246913580244</v>
      </c>
      <c r="BE245">
        <f t="shared" si="47"/>
        <v>19.175916498765428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0.58166499999999999</v>
      </c>
      <c r="H246" s="21">
        <v>7.5760800000000001</v>
      </c>
      <c r="I246" s="21">
        <v>-1.4776600000000001E-2</v>
      </c>
      <c r="J246" s="21">
        <v>236</v>
      </c>
      <c r="K246" s="21">
        <v>0.58105499999999999</v>
      </c>
      <c r="L246">
        <f t="shared" si="36"/>
        <v>18.242716049382715</v>
      </c>
      <c r="M246">
        <f t="shared" si="37"/>
        <v>10.611149430864197</v>
      </c>
      <c r="N246" s="9"/>
      <c r="O246" s="21">
        <v>1.0884100000000001</v>
      </c>
      <c r="P246" s="21">
        <v>11.3348</v>
      </c>
      <c r="Q246" s="21">
        <v>-1.4257799999999999E-2</v>
      </c>
      <c r="R246" s="21">
        <v>236</v>
      </c>
      <c r="S246" s="21">
        <v>1.08765</v>
      </c>
      <c r="T246">
        <f t="shared" si="38"/>
        <v>17.60222222222222</v>
      </c>
      <c r="U246">
        <f t="shared" si="39"/>
        <v>19.158434688888889</v>
      </c>
      <c r="X246" s="9"/>
      <c r="Y246" s="21">
        <v>0.58166499999999999</v>
      </c>
      <c r="Z246" s="21">
        <v>16.802299999999999</v>
      </c>
      <c r="AA246" s="21">
        <v>-1.48346E-2</v>
      </c>
      <c r="AB246" s="21">
        <v>236</v>
      </c>
      <c r="AC246" s="21">
        <v>0.58102399999999998</v>
      </c>
      <c r="AD246">
        <f t="shared" si="40"/>
        <v>18.31432098765432</v>
      </c>
      <c r="AE246">
        <f t="shared" si="41"/>
        <v>10.652799517283949</v>
      </c>
      <c r="AF246" s="9"/>
      <c r="AG246" s="21">
        <v>1.0884100000000001</v>
      </c>
      <c r="AH246" s="21">
        <v>20.5611</v>
      </c>
      <c r="AI246" s="21">
        <v>-1.4306599999999999E-2</v>
      </c>
      <c r="AJ246" s="21">
        <v>236</v>
      </c>
      <c r="AK246" s="21">
        <v>1.08765</v>
      </c>
      <c r="AL246">
        <f t="shared" si="42"/>
        <v>17.662469135802468</v>
      </c>
      <c r="AM246">
        <f t="shared" si="43"/>
        <v>19.224008032098766</v>
      </c>
      <c r="AP246" s="9"/>
      <c r="AQ246" s="21">
        <v>0.58166499999999999</v>
      </c>
      <c r="AR246" s="21">
        <v>26.003499999999999</v>
      </c>
      <c r="AS246" s="21">
        <v>-1.47919E-2</v>
      </c>
      <c r="AT246" s="21">
        <v>236</v>
      </c>
      <c r="AU246" s="21">
        <v>0.58102399999999998</v>
      </c>
      <c r="AV246">
        <f t="shared" si="44"/>
        <v>18.261604938271603</v>
      </c>
      <c r="AW246">
        <f t="shared" si="45"/>
        <v>10.622136436419751</v>
      </c>
      <c r="AX246" s="9"/>
      <c r="AY246" s="21">
        <v>1.0884100000000001</v>
      </c>
      <c r="AZ246" s="21">
        <v>29.7623</v>
      </c>
      <c r="BA246" s="21">
        <v>-1.4331099999999999E-2</v>
      </c>
      <c r="BB246" s="21">
        <v>236</v>
      </c>
      <c r="BC246" s="21">
        <v>1.08765</v>
      </c>
      <c r="BD246">
        <f t="shared" si="46"/>
        <v>17.692716049382714</v>
      </c>
      <c r="BE246">
        <f t="shared" si="47"/>
        <v>19.256929075308641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0.57662999999999998</v>
      </c>
      <c r="H247" s="21">
        <v>7.5861499999999999</v>
      </c>
      <c r="I247" s="21">
        <v>-1.47858E-2</v>
      </c>
      <c r="J247" s="21">
        <v>237</v>
      </c>
      <c r="K247" s="21">
        <v>0.57598899999999997</v>
      </c>
      <c r="L247">
        <f t="shared" si="36"/>
        <v>18.254074074074072</v>
      </c>
      <c r="M247">
        <f t="shared" si="37"/>
        <v>10.525846733333331</v>
      </c>
      <c r="N247" s="9"/>
      <c r="O247" s="21">
        <v>1.09344</v>
      </c>
      <c r="P247" s="21">
        <v>11.344900000000001</v>
      </c>
      <c r="Q247" s="21">
        <v>-1.4257799999999999E-2</v>
      </c>
      <c r="R247" s="21">
        <v>237</v>
      </c>
      <c r="S247" s="21">
        <v>1.09222</v>
      </c>
      <c r="T247">
        <f t="shared" si="38"/>
        <v>17.60222222222222</v>
      </c>
      <c r="U247">
        <f t="shared" si="39"/>
        <v>19.246973866666664</v>
      </c>
      <c r="X247" s="9"/>
      <c r="Y247" s="21">
        <v>0.57662999999999998</v>
      </c>
      <c r="Z247" s="21">
        <v>16.8124</v>
      </c>
      <c r="AA247" s="21">
        <v>-1.4831499999999999E-2</v>
      </c>
      <c r="AB247" s="21">
        <v>237</v>
      </c>
      <c r="AC247" s="21">
        <v>0.57598899999999997</v>
      </c>
      <c r="AD247">
        <f t="shared" si="40"/>
        <v>18.310493827160489</v>
      </c>
      <c r="AE247">
        <f t="shared" si="41"/>
        <v>10.558380055555553</v>
      </c>
      <c r="AF247" s="9"/>
      <c r="AG247" s="21">
        <v>1.09344</v>
      </c>
      <c r="AH247" s="21">
        <v>20.571100000000001</v>
      </c>
      <c r="AI247" s="21">
        <v>-1.4294400000000001E-2</v>
      </c>
      <c r="AJ247" s="21">
        <v>237</v>
      </c>
      <c r="AK247" s="21">
        <v>1.09222</v>
      </c>
      <c r="AL247">
        <f t="shared" si="42"/>
        <v>17.647407407407407</v>
      </c>
      <c r="AM247">
        <f t="shared" si="43"/>
        <v>19.296381155555554</v>
      </c>
      <c r="AP247" s="9"/>
      <c r="AQ247" s="21">
        <v>0.57662999999999998</v>
      </c>
      <c r="AR247" s="21">
        <v>26.0136</v>
      </c>
      <c r="AS247" s="21">
        <v>-1.47919E-2</v>
      </c>
      <c r="AT247" s="21">
        <v>237</v>
      </c>
      <c r="AU247" s="21">
        <v>0.57598899999999997</v>
      </c>
      <c r="AV247">
        <f t="shared" si="44"/>
        <v>18.261604938271603</v>
      </c>
      <c r="AW247">
        <f t="shared" si="45"/>
        <v>10.530189255555554</v>
      </c>
      <c r="AX247" s="9"/>
      <c r="AY247" s="21">
        <v>1.09344</v>
      </c>
      <c r="AZ247" s="21">
        <v>29.772400000000001</v>
      </c>
      <c r="BA247" s="21">
        <v>-1.43219E-2</v>
      </c>
      <c r="BB247" s="21">
        <v>237</v>
      </c>
      <c r="BC247" s="21">
        <v>1.09314</v>
      </c>
      <c r="BD247">
        <f t="shared" si="46"/>
        <v>17.68135802469136</v>
      </c>
      <c r="BE247">
        <f t="shared" si="47"/>
        <v>19.333504118518519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0.57159400000000005</v>
      </c>
      <c r="H248" s="21">
        <v>7.5962199999999998</v>
      </c>
      <c r="I248" s="21">
        <v>-1.47888E-2</v>
      </c>
      <c r="J248" s="21">
        <v>238</v>
      </c>
      <c r="K248" s="21">
        <v>0.57086199999999998</v>
      </c>
      <c r="L248">
        <f t="shared" si="36"/>
        <v>18.257777777777775</v>
      </c>
      <c r="M248">
        <f t="shared" si="37"/>
        <v>10.43603623111111</v>
      </c>
      <c r="N248" s="9"/>
      <c r="O248" s="21">
        <v>1.0984799999999999</v>
      </c>
      <c r="P248" s="21">
        <v>11.355</v>
      </c>
      <c r="Q248" s="21">
        <v>-1.42487E-2</v>
      </c>
      <c r="R248" s="21">
        <v>238</v>
      </c>
      <c r="S248" s="21">
        <v>1.09711</v>
      </c>
      <c r="T248">
        <f t="shared" si="38"/>
        <v>17.590987654320987</v>
      </c>
      <c r="U248">
        <f t="shared" si="39"/>
        <v>19.323348118518517</v>
      </c>
      <c r="X248" s="9"/>
      <c r="Y248" s="21">
        <v>0.57159400000000005</v>
      </c>
      <c r="Z248" s="21">
        <v>16.822399999999998</v>
      </c>
      <c r="AA248" s="21">
        <v>-1.4831499999999999E-2</v>
      </c>
      <c r="AB248" s="21">
        <v>238</v>
      </c>
      <c r="AC248" s="21">
        <v>0.57089199999999996</v>
      </c>
      <c r="AD248">
        <f t="shared" si="40"/>
        <v>18.310493827160489</v>
      </c>
      <c r="AE248">
        <f t="shared" si="41"/>
        <v>10.466168408641973</v>
      </c>
      <c r="AF248" s="9"/>
      <c r="AG248" s="21">
        <v>1.0984799999999999</v>
      </c>
      <c r="AH248" s="21">
        <v>20.581199999999999</v>
      </c>
      <c r="AI248" s="21">
        <v>-1.4291399999999999E-2</v>
      </c>
      <c r="AJ248" s="21">
        <v>238</v>
      </c>
      <c r="AK248" s="21">
        <v>1.09833</v>
      </c>
      <c r="AL248">
        <f t="shared" si="42"/>
        <v>17.643703703703704</v>
      </c>
      <c r="AM248">
        <f t="shared" si="43"/>
        <v>19.381255644444444</v>
      </c>
      <c r="AP248" s="9"/>
      <c r="AQ248" s="21">
        <v>0.57159400000000005</v>
      </c>
      <c r="AR248" s="21">
        <v>26.023700000000002</v>
      </c>
      <c r="AS248" s="21">
        <v>-1.4798E-2</v>
      </c>
      <c r="AT248" s="21">
        <v>238</v>
      </c>
      <c r="AU248" s="21">
        <v>0.57092299999999996</v>
      </c>
      <c r="AV248">
        <f t="shared" si="44"/>
        <v>18.269135802469137</v>
      </c>
      <c r="AW248">
        <f t="shared" si="45"/>
        <v>10.442528409876545</v>
      </c>
      <c r="AX248" s="9"/>
      <c r="AY248" s="21">
        <v>1.0984799999999999</v>
      </c>
      <c r="AZ248" s="21">
        <v>29.782399999999999</v>
      </c>
      <c r="BA248" s="21">
        <v>-1.43158E-2</v>
      </c>
      <c r="BB248" s="21">
        <v>238</v>
      </c>
      <c r="BC248" s="21">
        <v>1.09772</v>
      </c>
      <c r="BD248">
        <f t="shared" si="46"/>
        <v>17.673827160493826</v>
      </c>
      <c r="BE248">
        <f t="shared" si="47"/>
        <v>19.414345659259254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0.56655900000000003</v>
      </c>
      <c r="H249" s="21">
        <v>7.6062900000000004</v>
      </c>
      <c r="I249" s="21">
        <v>-1.47949E-2</v>
      </c>
      <c r="J249" s="21">
        <v>239</v>
      </c>
      <c r="K249" s="21">
        <v>0.56594800000000001</v>
      </c>
      <c r="L249">
        <f t="shared" si="36"/>
        <v>18.265308641975306</v>
      </c>
      <c r="M249">
        <f t="shared" si="37"/>
        <v>10.348374998888888</v>
      </c>
      <c r="N249" s="9"/>
      <c r="O249" s="21">
        <v>1.1035200000000001</v>
      </c>
      <c r="P249" s="21">
        <v>11.3651</v>
      </c>
      <c r="Q249" s="21">
        <v>-1.42395E-2</v>
      </c>
      <c r="R249" s="21">
        <v>239</v>
      </c>
      <c r="S249" s="21">
        <v>1.1029100000000001</v>
      </c>
      <c r="T249">
        <f t="shared" si="38"/>
        <v>17.579629629629629</v>
      </c>
      <c r="U249">
        <f t="shared" si="39"/>
        <v>19.399472888888891</v>
      </c>
      <c r="X249" s="9"/>
      <c r="Y249" s="21">
        <v>0.56655900000000003</v>
      </c>
      <c r="Z249" s="21">
        <v>16.8325</v>
      </c>
      <c r="AA249" s="21">
        <v>-1.4837599999999999E-2</v>
      </c>
      <c r="AB249" s="21">
        <v>239</v>
      </c>
      <c r="AC249" s="21">
        <v>0.56582600000000005</v>
      </c>
      <c r="AD249">
        <f t="shared" si="40"/>
        <v>18.318024691358023</v>
      </c>
      <c r="AE249">
        <f t="shared" si="41"/>
        <v>10.37824175111111</v>
      </c>
      <c r="AF249" s="9"/>
      <c r="AG249" s="21">
        <v>1.1035200000000001</v>
      </c>
      <c r="AH249" s="21">
        <v>20.5913</v>
      </c>
      <c r="AI249" s="21">
        <v>-1.42822E-2</v>
      </c>
      <c r="AJ249" s="21">
        <v>239</v>
      </c>
      <c r="AK249" s="21">
        <v>1.1029100000000001</v>
      </c>
      <c r="AL249">
        <f t="shared" si="42"/>
        <v>17.632345679012342</v>
      </c>
      <c r="AM249">
        <f t="shared" si="43"/>
        <v>19.457646103703702</v>
      </c>
      <c r="AP249" s="9"/>
      <c r="AQ249" s="21">
        <v>0.56655900000000003</v>
      </c>
      <c r="AR249" s="21">
        <v>26.0337</v>
      </c>
      <c r="AS249" s="21">
        <v>-1.48071E-2</v>
      </c>
      <c r="AT249" s="21">
        <v>239</v>
      </c>
      <c r="AU249" s="21">
        <v>0.56597900000000001</v>
      </c>
      <c r="AV249">
        <f t="shared" si="44"/>
        <v>18.28037037037037</v>
      </c>
      <c r="AW249">
        <f t="shared" si="45"/>
        <v>10.356908356666667</v>
      </c>
      <c r="AX249" s="9"/>
      <c r="AY249" s="21">
        <v>1.1035200000000001</v>
      </c>
      <c r="AZ249" s="21">
        <v>29.7925</v>
      </c>
      <c r="BA249" s="21">
        <v>-1.4306599999999999E-2</v>
      </c>
      <c r="BB249" s="21">
        <v>239</v>
      </c>
      <c r="BC249" s="21">
        <v>1.10229</v>
      </c>
      <c r="BD249">
        <f t="shared" si="46"/>
        <v>17.662469135802468</v>
      </c>
      <c r="BE249">
        <f t="shared" si="47"/>
        <v>19.490887940740741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0.56152299999999999</v>
      </c>
      <c r="H250" s="21">
        <v>7.6163600000000002</v>
      </c>
      <c r="I250" s="21">
        <v>-1.4798E-2</v>
      </c>
      <c r="J250" s="21">
        <v>240</v>
      </c>
      <c r="K250" s="21">
        <v>0.56082200000000004</v>
      </c>
      <c r="L250">
        <f t="shared" si="36"/>
        <v>18.269135802469137</v>
      </c>
      <c r="M250">
        <f t="shared" si="37"/>
        <v>10.258539943209877</v>
      </c>
      <c r="N250" s="9"/>
      <c r="O250" s="21">
        <v>1.1085499999999999</v>
      </c>
      <c r="P250" s="21">
        <v>11.3751</v>
      </c>
      <c r="Q250" s="21">
        <v>-1.4236499999999999E-2</v>
      </c>
      <c r="R250" s="21">
        <v>240</v>
      </c>
      <c r="S250" s="21">
        <v>1.10748</v>
      </c>
      <c r="T250">
        <f t="shared" si="38"/>
        <v>17.575925925925926</v>
      </c>
      <c r="U250">
        <f t="shared" si="39"/>
        <v>19.483792685185183</v>
      </c>
      <c r="X250" s="9"/>
      <c r="Y250" s="21">
        <v>0.56152299999999999</v>
      </c>
      <c r="Z250" s="21">
        <v>16.842600000000001</v>
      </c>
      <c r="AA250" s="21">
        <v>-1.4843800000000001E-2</v>
      </c>
      <c r="AB250" s="21">
        <v>240</v>
      </c>
      <c r="AC250" s="21">
        <v>0.56088300000000002</v>
      </c>
      <c r="AD250">
        <f t="shared" si="40"/>
        <v>18.325679012345677</v>
      </c>
      <c r="AE250">
        <f t="shared" si="41"/>
        <v>10.290290256049381</v>
      </c>
      <c r="AF250" s="9"/>
      <c r="AG250" s="21">
        <v>1.1085499999999999</v>
      </c>
      <c r="AH250" s="21">
        <v>20.601299999999998</v>
      </c>
      <c r="AI250" s="21">
        <v>-1.42731E-2</v>
      </c>
      <c r="AJ250" s="21">
        <v>240</v>
      </c>
      <c r="AK250" s="21">
        <v>1.10748</v>
      </c>
      <c r="AL250">
        <f t="shared" si="42"/>
        <v>17.621111111111112</v>
      </c>
      <c r="AM250">
        <f t="shared" si="43"/>
        <v>19.533882722222224</v>
      </c>
      <c r="AP250" s="9"/>
      <c r="AQ250" s="21">
        <v>0.56152299999999999</v>
      </c>
      <c r="AR250" s="21">
        <v>26.043800000000001</v>
      </c>
      <c r="AS250" s="21">
        <v>-1.4816299999999999E-2</v>
      </c>
      <c r="AT250" s="21">
        <v>240</v>
      </c>
      <c r="AU250" s="21">
        <v>0.56091299999999999</v>
      </c>
      <c r="AV250">
        <f t="shared" si="44"/>
        <v>18.291728395061728</v>
      </c>
      <c r="AW250">
        <f t="shared" si="45"/>
        <v>10.271226203580246</v>
      </c>
      <c r="AX250" s="9"/>
      <c r="AY250" s="21">
        <v>1.1085499999999999</v>
      </c>
      <c r="AZ250" s="21">
        <v>29.802600000000002</v>
      </c>
      <c r="BA250" s="21">
        <v>-1.4297499999999999E-2</v>
      </c>
      <c r="BB250" s="21">
        <v>240</v>
      </c>
      <c r="BC250" s="21">
        <v>1.1084000000000001</v>
      </c>
      <c r="BD250">
        <f t="shared" si="46"/>
        <v>17.651234567901231</v>
      </c>
      <c r="BE250">
        <f t="shared" si="47"/>
        <v>19.567276080246909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0.55648799999999998</v>
      </c>
      <c r="H251" s="21">
        <v>7.62643</v>
      </c>
      <c r="I251" s="21">
        <v>-1.4801E-2</v>
      </c>
      <c r="J251" s="21">
        <v>241</v>
      </c>
      <c r="K251" s="21">
        <v>0.55575600000000003</v>
      </c>
      <c r="L251">
        <f t="shared" si="36"/>
        <v>18.27283950617284</v>
      </c>
      <c r="M251">
        <f t="shared" si="37"/>
        <v>10.168615911111111</v>
      </c>
      <c r="N251" s="9"/>
      <c r="O251" s="21">
        <v>1.1135900000000001</v>
      </c>
      <c r="P251" s="21">
        <v>11.385199999999999</v>
      </c>
      <c r="Q251" s="21">
        <v>-1.42334E-2</v>
      </c>
      <c r="R251" s="21">
        <v>241</v>
      </c>
      <c r="S251" s="21">
        <v>1.11267</v>
      </c>
      <c r="T251">
        <f t="shared" si="38"/>
        <v>17.572098765432099</v>
      </c>
      <c r="U251">
        <f t="shared" si="39"/>
        <v>19.568113464197531</v>
      </c>
      <c r="X251" s="9"/>
      <c r="Y251" s="21">
        <v>0.55648799999999998</v>
      </c>
      <c r="Z251" s="21">
        <v>16.852599999999999</v>
      </c>
      <c r="AA251" s="21">
        <v>-1.48468E-2</v>
      </c>
      <c r="AB251" s="21">
        <v>241</v>
      </c>
      <c r="AC251" s="21">
        <v>0.55584699999999998</v>
      </c>
      <c r="AD251">
        <f t="shared" si="40"/>
        <v>18.329382716049381</v>
      </c>
      <c r="AE251">
        <f t="shared" si="41"/>
        <v>10.200081528888887</v>
      </c>
      <c r="AF251" s="9"/>
      <c r="AG251" s="21">
        <v>1.1135900000000001</v>
      </c>
      <c r="AH251" s="21">
        <v>20.6114</v>
      </c>
      <c r="AI251" s="21">
        <v>-1.427E-2</v>
      </c>
      <c r="AJ251" s="21">
        <v>241</v>
      </c>
      <c r="AK251" s="21">
        <v>1.1129800000000001</v>
      </c>
      <c r="AL251">
        <f t="shared" si="42"/>
        <v>17.617283950617285</v>
      </c>
      <c r="AM251">
        <f t="shared" si="43"/>
        <v>19.618431234567904</v>
      </c>
      <c r="AP251" s="9"/>
      <c r="AQ251" s="21">
        <v>0.55648799999999998</v>
      </c>
      <c r="AR251" s="21">
        <v>26.053899999999999</v>
      </c>
      <c r="AS251" s="21">
        <v>-1.4819300000000001E-2</v>
      </c>
      <c r="AT251" s="21">
        <v>241</v>
      </c>
      <c r="AU251" s="21">
        <v>0.55581700000000001</v>
      </c>
      <c r="AV251">
        <f t="shared" si="44"/>
        <v>18.295432098765431</v>
      </c>
      <c r="AW251">
        <f t="shared" si="45"/>
        <v>10.181188417777777</v>
      </c>
      <c r="AX251" s="9"/>
      <c r="AY251" s="21">
        <v>1.1135900000000001</v>
      </c>
      <c r="AZ251" s="21">
        <v>29.8126</v>
      </c>
      <c r="BA251" s="21">
        <v>-1.42883E-2</v>
      </c>
      <c r="BB251" s="21">
        <v>241</v>
      </c>
      <c r="BC251" s="21">
        <v>1.11267</v>
      </c>
      <c r="BD251">
        <f t="shared" si="46"/>
        <v>17.639876543209876</v>
      </c>
      <c r="BE251">
        <f t="shared" si="47"/>
        <v>19.643590119753089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0.55145299999999997</v>
      </c>
      <c r="H252" s="21">
        <v>7.6364999999999998</v>
      </c>
      <c r="I252" s="21">
        <v>-1.4798E-2</v>
      </c>
      <c r="J252" s="21">
        <v>242</v>
      </c>
      <c r="K252" s="21">
        <v>0.55081199999999997</v>
      </c>
      <c r="L252">
        <f t="shared" si="36"/>
        <v>18.269135802469137</v>
      </c>
      <c r="M252">
        <f t="shared" si="37"/>
        <v>10.074569745679012</v>
      </c>
      <c r="N252" s="9"/>
      <c r="O252" s="21">
        <v>1.1186199999999999</v>
      </c>
      <c r="P252" s="21">
        <v>11.395300000000001</v>
      </c>
      <c r="Q252" s="21">
        <v>-1.4224199999999999E-2</v>
      </c>
      <c r="R252" s="21">
        <v>242</v>
      </c>
      <c r="S252" s="21">
        <v>1.1178600000000001</v>
      </c>
      <c r="T252">
        <f t="shared" si="38"/>
        <v>17.560740740740737</v>
      </c>
      <c r="U252">
        <f t="shared" si="39"/>
        <v>19.643795807407404</v>
      </c>
      <c r="X252" s="9"/>
      <c r="Y252" s="21">
        <v>0.55145299999999997</v>
      </c>
      <c r="Z252" s="21">
        <v>16.8627</v>
      </c>
      <c r="AA252" s="21">
        <v>-1.48529E-2</v>
      </c>
      <c r="AB252" s="21">
        <v>242</v>
      </c>
      <c r="AC252" s="21">
        <v>0.55084200000000005</v>
      </c>
      <c r="AD252">
        <f t="shared" si="40"/>
        <v>18.336913580246915</v>
      </c>
      <c r="AE252">
        <f t="shared" si="41"/>
        <v>10.111946004567901</v>
      </c>
      <c r="AF252" s="9"/>
      <c r="AG252" s="21">
        <v>1.1186199999999999</v>
      </c>
      <c r="AH252" s="21">
        <v>20.621500000000001</v>
      </c>
      <c r="AI252" s="21">
        <v>-1.42609E-2</v>
      </c>
      <c r="AJ252" s="21">
        <v>242</v>
      </c>
      <c r="AK252" s="21">
        <v>1.11755</v>
      </c>
      <c r="AL252">
        <f t="shared" si="42"/>
        <v>17.606049382716048</v>
      </c>
      <c r="AM252">
        <f t="shared" si="43"/>
        <v>19.694478960493825</v>
      </c>
      <c r="AP252" s="9"/>
      <c r="AQ252" s="21">
        <v>0.55145299999999997</v>
      </c>
      <c r="AR252" s="21">
        <v>26.0639</v>
      </c>
      <c r="AS252" s="21">
        <v>-1.4825400000000001E-2</v>
      </c>
      <c r="AT252" s="21">
        <v>242</v>
      </c>
      <c r="AU252" s="21">
        <v>0.55075099999999999</v>
      </c>
      <c r="AV252">
        <f t="shared" si="44"/>
        <v>18.302962962962962</v>
      </c>
      <c r="AW252">
        <f t="shared" si="45"/>
        <v>10.093223834814813</v>
      </c>
      <c r="AX252" s="9"/>
      <c r="AY252" s="21">
        <v>1.1186199999999999</v>
      </c>
      <c r="AZ252" s="21">
        <v>29.822700000000001</v>
      </c>
      <c r="BA252" s="21">
        <v>-1.4279200000000001E-2</v>
      </c>
      <c r="BB252" s="21">
        <v>242</v>
      </c>
      <c r="BC252" s="21">
        <v>1.1178600000000001</v>
      </c>
      <c r="BD252">
        <f t="shared" si="46"/>
        <v>17.628641975308639</v>
      </c>
      <c r="BE252">
        <f t="shared" si="47"/>
        <v>19.719751486419749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0.54641700000000004</v>
      </c>
      <c r="H253" s="21">
        <v>7.6465800000000002</v>
      </c>
      <c r="I253" s="21">
        <v>-1.47949E-2</v>
      </c>
      <c r="J253" s="21">
        <v>243</v>
      </c>
      <c r="K253" s="21">
        <v>0.54568499999999998</v>
      </c>
      <c r="L253">
        <f t="shared" si="36"/>
        <v>18.265308641975306</v>
      </c>
      <c r="M253">
        <f t="shared" si="37"/>
        <v>9.9804751522222208</v>
      </c>
      <c r="N253" s="9"/>
      <c r="O253" s="21">
        <v>1.1236600000000001</v>
      </c>
      <c r="P253" s="21">
        <v>11.4053</v>
      </c>
      <c r="Q253" s="21">
        <v>-1.4208999999999999E-2</v>
      </c>
      <c r="R253" s="21">
        <v>243</v>
      </c>
      <c r="S253" s="21">
        <v>1.1224400000000001</v>
      </c>
      <c r="T253">
        <f t="shared" si="38"/>
        <v>17.541975308641973</v>
      </c>
      <c r="U253">
        <f t="shared" si="39"/>
        <v>19.71121597530864</v>
      </c>
      <c r="X253" s="9"/>
      <c r="Y253" s="21">
        <v>0.54641700000000004</v>
      </c>
      <c r="Z253" s="21">
        <v>16.872800000000002</v>
      </c>
      <c r="AA253" s="21">
        <v>-1.4859000000000001E-2</v>
      </c>
      <c r="AB253" s="21">
        <v>243</v>
      </c>
      <c r="AC253" s="21">
        <v>0.54580700000000004</v>
      </c>
      <c r="AD253">
        <f t="shared" si="40"/>
        <v>18.344444444444445</v>
      </c>
      <c r="AE253">
        <f t="shared" si="41"/>
        <v>10.0237163</v>
      </c>
      <c r="AF253" s="9"/>
      <c r="AG253" s="21">
        <v>1.1236600000000001</v>
      </c>
      <c r="AH253" s="21">
        <v>20.631599999999999</v>
      </c>
      <c r="AI253" s="21">
        <v>-1.4251700000000001E-2</v>
      </c>
      <c r="AJ253" s="21">
        <v>243</v>
      </c>
      <c r="AK253" s="21">
        <v>1.1230500000000001</v>
      </c>
      <c r="AL253">
        <f t="shared" si="42"/>
        <v>17.594691358024694</v>
      </c>
      <c r="AM253">
        <f t="shared" si="43"/>
        <v>19.770450891358028</v>
      </c>
      <c r="AP253" s="9"/>
      <c r="AQ253" s="21">
        <v>0.54641700000000004</v>
      </c>
      <c r="AR253" s="21">
        <v>26.074000000000002</v>
      </c>
      <c r="AS253" s="21">
        <v>-1.48407E-2</v>
      </c>
      <c r="AT253" s="21">
        <v>243</v>
      </c>
      <c r="AU253" s="21">
        <v>0.54577600000000004</v>
      </c>
      <c r="AV253">
        <f t="shared" si="44"/>
        <v>18.32185185185185</v>
      </c>
      <c r="AW253">
        <f t="shared" si="45"/>
        <v>10.011371323333334</v>
      </c>
      <c r="AX253" s="9"/>
      <c r="AY253" s="21">
        <v>1.1236600000000001</v>
      </c>
      <c r="AZ253" s="21">
        <v>29.832799999999999</v>
      </c>
      <c r="BA253" s="21">
        <v>-1.4263899999999999E-2</v>
      </c>
      <c r="BB253" s="21">
        <v>243</v>
      </c>
      <c r="BC253" s="21">
        <v>1.1233500000000001</v>
      </c>
      <c r="BD253">
        <f t="shared" si="46"/>
        <v>17.609753086419751</v>
      </c>
      <c r="BE253">
        <f t="shared" si="47"/>
        <v>19.787375153086419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0.54138200000000003</v>
      </c>
      <c r="H254" s="21">
        <v>7.65665</v>
      </c>
      <c r="I254" s="21">
        <v>-1.4801E-2</v>
      </c>
      <c r="J254" s="21">
        <v>244</v>
      </c>
      <c r="K254" s="21">
        <v>0.54064900000000005</v>
      </c>
      <c r="L254">
        <f t="shared" si="36"/>
        <v>18.27283950617284</v>
      </c>
      <c r="M254">
        <f t="shared" si="37"/>
        <v>9.8925863975308648</v>
      </c>
      <c r="N254" s="9"/>
      <c r="O254" s="21">
        <v>1.12869</v>
      </c>
      <c r="P254" s="21">
        <v>11.4154</v>
      </c>
      <c r="Q254" s="21">
        <v>-1.41937E-2</v>
      </c>
      <c r="R254" s="21">
        <v>244</v>
      </c>
      <c r="S254" s="21">
        <v>1.1282300000000001</v>
      </c>
      <c r="T254">
        <f t="shared" si="38"/>
        <v>17.523086419753085</v>
      </c>
      <c r="U254">
        <f t="shared" si="39"/>
        <v>19.778132411111109</v>
      </c>
      <c r="X254" s="9"/>
      <c r="Y254" s="21">
        <v>0.54138200000000003</v>
      </c>
      <c r="Z254" s="21">
        <v>16.882899999999999</v>
      </c>
      <c r="AA254" s="21">
        <v>-1.4865099999999999E-2</v>
      </c>
      <c r="AB254" s="21">
        <v>244</v>
      </c>
      <c r="AC254" s="21">
        <v>0.54064900000000005</v>
      </c>
      <c r="AD254">
        <f t="shared" si="40"/>
        <v>18.351975308641972</v>
      </c>
      <c r="AE254">
        <f t="shared" si="41"/>
        <v>9.9354290965432082</v>
      </c>
      <c r="AF254" s="9"/>
      <c r="AG254" s="21">
        <v>1.12869</v>
      </c>
      <c r="AH254" s="21">
        <v>20.6416</v>
      </c>
      <c r="AI254" s="21">
        <v>-1.4245600000000001E-2</v>
      </c>
      <c r="AJ254" s="21">
        <v>244</v>
      </c>
      <c r="AK254" s="21">
        <v>1.1276200000000001</v>
      </c>
      <c r="AL254">
        <f t="shared" si="42"/>
        <v>17.58716049382716</v>
      </c>
      <c r="AM254">
        <f t="shared" si="43"/>
        <v>19.850452177777775</v>
      </c>
      <c r="AP254" s="9"/>
      <c r="AQ254" s="21">
        <v>0.54138200000000003</v>
      </c>
      <c r="AR254" s="21">
        <v>26.084099999999999</v>
      </c>
      <c r="AS254" s="21">
        <v>-1.48407E-2</v>
      </c>
      <c r="AT254" s="21">
        <v>244</v>
      </c>
      <c r="AU254" s="21">
        <v>0.540771</v>
      </c>
      <c r="AV254">
        <f t="shared" si="44"/>
        <v>18.32185185185185</v>
      </c>
      <c r="AW254">
        <f t="shared" si="45"/>
        <v>9.9191207992592592</v>
      </c>
      <c r="AX254" s="9"/>
      <c r="AY254" s="21">
        <v>1.12869</v>
      </c>
      <c r="AZ254" s="21">
        <v>29.8429</v>
      </c>
      <c r="BA254" s="21">
        <v>-1.4257799999999999E-2</v>
      </c>
      <c r="BB254" s="21">
        <v>244</v>
      </c>
      <c r="BC254" s="21">
        <v>1.1279300000000001</v>
      </c>
      <c r="BD254">
        <f t="shared" si="46"/>
        <v>17.60222222222222</v>
      </c>
      <c r="BE254">
        <f t="shared" si="47"/>
        <v>19.867452199999999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0.53634599999999999</v>
      </c>
      <c r="H255" s="21">
        <v>7.6667199999999998</v>
      </c>
      <c r="I255" s="21">
        <v>-1.4810200000000001E-2</v>
      </c>
      <c r="J255" s="21">
        <v>245</v>
      </c>
      <c r="K255" s="21">
        <v>0.53567500000000001</v>
      </c>
      <c r="L255">
        <f t="shared" si="36"/>
        <v>18.284197530864198</v>
      </c>
      <c r="M255">
        <f t="shared" si="37"/>
        <v>9.8066562088888887</v>
      </c>
      <c r="N255" s="9"/>
      <c r="O255" s="21">
        <v>1.1337299999999999</v>
      </c>
      <c r="P255" s="21">
        <v>11.4255</v>
      </c>
      <c r="Q255" s="21">
        <v>-1.41815E-2</v>
      </c>
      <c r="R255" s="21">
        <v>245</v>
      </c>
      <c r="S255" s="21">
        <v>1.1331199999999999</v>
      </c>
      <c r="T255">
        <f t="shared" si="38"/>
        <v>17.508024691358024</v>
      </c>
      <c r="U255">
        <f t="shared" si="39"/>
        <v>19.84937283333333</v>
      </c>
      <c r="X255" s="9"/>
      <c r="Y255" s="21">
        <v>0.53634599999999999</v>
      </c>
      <c r="Z255" s="21">
        <v>16.892900000000001</v>
      </c>
      <c r="AA255" s="21">
        <v>-1.48743E-2</v>
      </c>
      <c r="AB255" s="21">
        <v>245</v>
      </c>
      <c r="AC255" s="21">
        <v>0.53567500000000001</v>
      </c>
      <c r="AD255">
        <f t="shared" si="40"/>
        <v>18.363333333333333</v>
      </c>
      <c r="AE255">
        <f t="shared" si="41"/>
        <v>9.8491003799999994</v>
      </c>
      <c r="AF255" s="9"/>
      <c r="AG255" s="21">
        <v>1.1337299999999999</v>
      </c>
      <c r="AH255" s="21">
        <v>20.651700000000002</v>
      </c>
      <c r="AI255" s="21">
        <v>-1.42395E-2</v>
      </c>
      <c r="AJ255" s="21">
        <v>245</v>
      </c>
      <c r="AK255" s="21">
        <v>1.1331199999999999</v>
      </c>
      <c r="AL255">
        <f t="shared" si="42"/>
        <v>17.579629629629629</v>
      </c>
      <c r="AM255">
        <f t="shared" si="43"/>
        <v>19.930553499999998</v>
      </c>
      <c r="AP255" s="9"/>
      <c r="AQ255" s="21">
        <v>0.53634599999999999</v>
      </c>
      <c r="AR255" s="21">
        <v>26.094200000000001</v>
      </c>
      <c r="AS255" s="21">
        <v>-1.4849899999999999E-2</v>
      </c>
      <c r="AT255" s="21">
        <v>245</v>
      </c>
      <c r="AU255" s="21">
        <v>0.53567500000000001</v>
      </c>
      <c r="AV255">
        <f t="shared" si="44"/>
        <v>18.333209876543208</v>
      </c>
      <c r="AW255">
        <f t="shared" si="45"/>
        <v>9.8329437844444438</v>
      </c>
      <c r="AX255" s="9"/>
      <c r="AY255" s="21">
        <v>1.1337299999999999</v>
      </c>
      <c r="AZ255" s="21">
        <v>29.852900000000002</v>
      </c>
      <c r="BA255" s="21">
        <v>-1.42487E-2</v>
      </c>
      <c r="BB255" s="21">
        <v>245</v>
      </c>
      <c r="BC255" s="21">
        <v>1.1325099999999999</v>
      </c>
      <c r="BD255">
        <f t="shared" si="46"/>
        <v>17.590987654320987</v>
      </c>
      <c r="BE255">
        <f t="shared" si="47"/>
        <v>19.943430433333329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0.53131099999999998</v>
      </c>
      <c r="H256" s="21">
        <v>7.6767899999999996</v>
      </c>
      <c r="I256" s="21">
        <v>-1.4822399999999999E-2</v>
      </c>
      <c r="J256" s="21">
        <v>246</v>
      </c>
      <c r="K256" s="21">
        <v>0.530609</v>
      </c>
      <c r="L256">
        <f t="shared" si="36"/>
        <v>18.299259259259259</v>
      </c>
      <c r="M256">
        <f t="shared" si="37"/>
        <v>9.7225977362962954</v>
      </c>
      <c r="N256" s="9"/>
      <c r="O256" s="21">
        <v>1.13876</v>
      </c>
      <c r="P256" s="21">
        <v>11.435600000000001</v>
      </c>
      <c r="Q256" s="21">
        <v>-1.4169299999999999E-2</v>
      </c>
      <c r="R256" s="21">
        <v>246</v>
      </c>
      <c r="S256" s="21">
        <v>1.1379999999999999</v>
      </c>
      <c r="T256">
        <f t="shared" si="38"/>
        <v>17.492962962962959</v>
      </c>
      <c r="U256">
        <f t="shared" si="39"/>
        <v>19.9202865037037</v>
      </c>
      <c r="X256" s="9"/>
      <c r="Y256" s="21">
        <v>0.53131099999999998</v>
      </c>
      <c r="Z256" s="21">
        <v>16.902999999999999</v>
      </c>
      <c r="AA256" s="21">
        <v>-1.48834E-2</v>
      </c>
      <c r="AB256" s="21">
        <v>246</v>
      </c>
      <c r="AC256" s="21">
        <v>0.53070099999999998</v>
      </c>
      <c r="AD256">
        <f t="shared" si="40"/>
        <v>18.374567901234567</v>
      </c>
      <c r="AE256">
        <f t="shared" si="41"/>
        <v>9.7626100461728385</v>
      </c>
      <c r="AF256" s="9"/>
      <c r="AG256" s="21">
        <v>1.13876</v>
      </c>
      <c r="AH256" s="21">
        <v>20.661799999999999</v>
      </c>
      <c r="AI256" s="21">
        <v>-1.42273E-2</v>
      </c>
      <c r="AJ256" s="21">
        <v>246</v>
      </c>
      <c r="AK256" s="21">
        <v>1.1383099999999999</v>
      </c>
      <c r="AL256">
        <f t="shared" si="42"/>
        <v>17.564567901234565</v>
      </c>
      <c r="AM256">
        <f t="shared" si="43"/>
        <v>20.001827343209872</v>
      </c>
      <c r="AP256" s="9"/>
      <c r="AQ256" s="21">
        <v>0.53131099999999998</v>
      </c>
      <c r="AR256" s="21">
        <v>26.104199999999999</v>
      </c>
      <c r="AS256" s="21">
        <v>-1.4849899999999999E-2</v>
      </c>
      <c r="AT256" s="21">
        <v>246</v>
      </c>
      <c r="AU256" s="21">
        <v>0.53070099999999998</v>
      </c>
      <c r="AV256">
        <f t="shared" si="44"/>
        <v>18.333209876543208</v>
      </c>
      <c r="AW256">
        <f t="shared" si="45"/>
        <v>9.7406360727160486</v>
      </c>
      <c r="AX256" s="9"/>
      <c r="AY256" s="21">
        <v>1.13876</v>
      </c>
      <c r="AZ256" s="21">
        <v>29.863</v>
      </c>
      <c r="BA256" s="21">
        <v>-1.42334E-2</v>
      </c>
      <c r="BB256" s="21">
        <v>246</v>
      </c>
      <c r="BC256" s="21">
        <v>1.1379999999999999</v>
      </c>
      <c r="BD256">
        <f t="shared" si="46"/>
        <v>17.572098765432099</v>
      </c>
      <c r="BE256">
        <f t="shared" si="47"/>
        <v>20.010403190123455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0.52627599999999997</v>
      </c>
      <c r="H257" s="21">
        <v>7.6868600000000002</v>
      </c>
      <c r="I257" s="21">
        <v>-1.4822399999999999E-2</v>
      </c>
      <c r="J257" s="21">
        <v>247</v>
      </c>
      <c r="K257" s="21">
        <v>0.525787</v>
      </c>
      <c r="L257">
        <f t="shared" si="36"/>
        <v>18.299259259259259</v>
      </c>
      <c r="M257">
        <f t="shared" si="37"/>
        <v>9.6304609659259253</v>
      </c>
      <c r="N257" s="9"/>
      <c r="O257" s="21">
        <v>1.1437999999999999</v>
      </c>
      <c r="P257" s="21">
        <v>11.445600000000001</v>
      </c>
      <c r="Q257" s="21">
        <v>-1.41602E-2</v>
      </c>
      <c r="R257" s="21">
        <v>247</v>
      </c>
      <c r="S257" s="21">
        <v>1.1428799999999999</v>
      </c>
      <c r="T257">
        <f t="shared" si="38"/>
        <v>17.481728395061729</v>
      </c>
      <c r="U257">
        <f t="shared" si="39"/>
        <v>19.995600938271604</v>
      </c>
      <c r="X257" s="9"/>
      <c r="Y257" s="21">
        <v>0.52627599999999997</v>
      </c>
      <c r="Z257" s="21">
        <v>16.9131</v>
      </c>
      <c r="AA257" s="21">
        <v>-1.48865E-2</v>
      </c>
      <c r="AB257" s="21">
        <v>247</v>
      </c>
      <c r="AC257" s="21">
        <v>0.52560399999999996</v>
      </c>
      <c r="AD257">
        <f t="shared" si="40"/>
        <v>18.378395061728394</v>
      </c>
      <c r="AE257">
        <f t="shared" si="41"/>
        <v>9.672108239506171</v>
      </c>
      <c r="AF257" s="9"/>
      <c r="AG257" s="21">
        <v>1.1437999999999999</v>
      </c>
      <c r="AH257" s="21">
        <v>20.671800000000001</v>
      </c>
      <c r="AI257" s="21">
        <v>-1.4218099999999999E-2</v>
      </c>
      <c r="AJ257" s="21">
        <v>247</v>
      </c>
      <c r="AK257" s="21">
        <v>1.1428799999999999</v>
      </c>
      <c r="AL257">
        <f t="shared" si="42"/>
        <v>17.553209876543207</v>
      </c>
      <c r="AM257">
        <f t="shared" si="43"/>
        <v>20.077361456790118</v>
      </c>
      <c r="AP257" s="9"/>
      <c r="AQ257" s="21">
        <v>0.52627599999999997</v>
      </c>
      <c r="AR257" s="21">
        <v>26.1143</v>
      </c>
      <c r="AS257" s="21">
        <v>-1.4843800000000001E-2</v>
      </c>
      <c r="AT257" s="21">
        <v>247</v>
      </c>
      <c r="AU257" s="21">
        <v>0.52557399999999999</v>
      </c>
      <c r="AV257">
        <f t="shared" si="44"/>
        <v>18.325679012345677</v>
      </c>
      <c r="AW257">
        <f t="shared" si="45"/>
        <v>9.6443650479012337</v>
      </c>
      <c r="AX257" s="9"/>
      <c r="AY257" s="21">
        <v>1.1437999999999999</v>
      </c>
      <c r="AZ257" s="21">
        <v>29.873100000000001</v>
      </c>
      <c r="BA257" s="21">
        <v>-1.4212000000000001E-2</v>
      </c>
      <c r="BB257" s="21">
        <v>247</v>
      </c>
      <c r="BC257" s="21">
        <v>1.1428799999999999</v>
      </c>
      <c r="BD257">
        <f t="shared" si="46"/>
        <v>17.54567901234568</v>
      </c>
      <c r="BE257">
        <f t="shared" si="47"/>
        <v>20.068747654320987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0.52124000000000004</v>
      </c>
      <c r="H258" s="21">
        <v>7.69693</v>
      </c>
      <c r="I258" s="21">
        <v>-1.4831499999999999E-2</v>
      </c>
      <c r="J258" s="21">
        <v>248</v>
      </c>
      <c r="K258" s="21">
        <v>0.52069100000000001</v>
      </c>
      <c r="L258">
        <f t="shared" si="36"/>
        <v>18.310493827160489</v>
      </c>
      <c r="M258">
        <f t="shared" si="37"/>
        <v>9.5441618024691337</v>
      </c>
      <c r="N258" s="9"/>
      <c r="O258" s="21">
        <v>1.14883</v>
      </c>
      <c r="P258" s="21">
        <v>11.4557</v>
      </c>
      <c r="Q258" s="21">
        <v>-1.4151E-2</v>
      </c>
      <c r="R258" s="21">
        <v>248</v>
      </c>
      <c r="S258" s="21">
        <v>1.14777</v>
      </c>
      <c r="T258">
        <f t="shared" si="38"/>
        <v>17.470370370370368</v>
      </c>
      <c r="U258">
        <f t="shared" si="39"/>
        <v>20.07048559259259</v>
      </c>
      <c r="X258" s="9"/>
      <c r="Y258" s="21">
        <v>0.52124000000000004</v>
      </c>
      <c r="Z258" s="21">
        <v>16.923100000000002</v>
      </c>
      <c r="AA258" s="21">
        <v>-1.48773E-2</v>
      </c>
      <c r="AB258" s="21">
        <v>248</v>
      </c>
      <c r="AC258" s="21">
        <v>0.52066000000000001</v>
      </c>
      <c r="AD258">
        <f t="shared" si="40"/>
        <v>18.367037037037036</v>
      </c>
      <c r="AE258">
        <f t="shared" si="41"/>
        <v>9.5736343851851853</v>
      </c>
      <c r="AF258" s="9"/>
      <c r="AG258" s="21">
        <v>1.14883</v>
      </c>
      <c r="AH258" s="21">
        <v>20.681899999999999</v>
      </c>
      <c r="AI258" s="21">
        <v>-1.42059E-2</v>
      </c>
      <c r="AJ258" s="21">
        <v>248</v>
      </c>
      <c r="AK258" s="21">
        <v>1.14777</v>
      </c>
      <c r="AL258">
        <f t="shared" si="42"/>
        <v>17.538148148148146</v>
      </c>
      <c r="AM258">
        <f t="shared" si="43"/>
        <v>20.148350737037035</v>
      </c>
      <c r="AP258" s="9"/>
      <c r="AQ258" s="21">
        <v>0.52124000000000004</v>
      </c>
      <c r="AR258" s="21">
        <v>26.124400000000001</v>
      </c>
      <c r="AS258" s="21">
        <v>-1.48407E-2</v>
      </c>
      <c r="AT258" s="21">
        <v>248</v>
      </c>
      <c r="AU258" s="21">
        <v>0.52056899999999995</v>
      </c>
      <c r="AV258">
        <f t="shared" si="44"/>
        <v>18.32185185185185</v>
      </c>
      <c r="AW258">
        <f t="shared" si="45"/>
        <v>9.5500820592592586</v>
      </c>
      <c r="AX258" s="9"/>
      <c r="AY258" s="21">
        <v>1.14883</v>
      </c>
      <c r="AZ258" s="21">
        <v>29.883099999999999</v>
      </c>
      <c r="BA258" s="21">
        <v>-1.4196800000000001E-2</v>
      </c>
      <c r="BB258" s="21">
        <v>248</v>
      </c>
      <c r="BC258" s="21">
        <v>1.14777</v>
      </c>
      <c r="BD258">
        <f t="shared" si="46"/>
        <v>17.526913580246916</v>
      </c>
      <c r="BE258">
        <f t="shared" si="47"/>
        <v>20.135444128395065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0.51620500000000002</v>
      </c>
      <c r="H259" s="21">
        <v>7.7069999999999999</v>
      </c>
      <c r="I259" s="21">
        <v>-1.4837599999999999E-2</v>
      </c>
      <c r="J259" s="21">
        <v>249</v>
      </c>
      <c r="K259" s="21">
        <v>0.51541099999999995</v>
      </c>
      <c r="L259">
        <f t="shared" si="36"/>
        <v>18.318024691358023</v>
      </c>
      <c r="M259">
        <f t="shared" si="37"/>
        <v>9.4558559358024681</v>
      </c>
      <c r="N259" s="9"/>
      <c r="O259" s="21">
        <v>1.15387</v>
      </c>
      <c r="P259" s="21">
        <v>11.4658</v>
      </c>
      <c r="Q259" s="21">
        <v>-1.41418E-2</v>
      </c>
      <c r="R259" s="21">
        <v>249</v>
      </c>
      <c r="S259" s="21">
        <v>1.1523399999999999</v>
      </c>
      <c r="T259">
        <f t="shared" si="38"/>
        <v>17.45901234567901</v>
      </c>
      <c r="U259">
        <f t="shared" si="39"/>
        <v>20.145430575308637</v>
      </c>
      <c r="X259" s="9"/>
      <c r="Y259" s="21">
        <v>0.51620500000000002</v>
      </c>
      <c r="Z259" s="21">
        <v>16.933199999999999</v>
      </c>
      <c r="AA259" s="21">
        <v>-1.4871199999999999E-2</v>
      </c>
      <c r="AB259" s="21">
        <v>249</v>
      </c>
      <c r="AC259" s="21">
        <v>0.51553300000000002</v>
      </c>
      <c r="AD259">
        <f t="shared" si="40"/>
        <v>18.359506172839506</v>
      </c>
      <c r="AE259">
        <f t="shared" si="41"/>
        <v>9.4772688839506181</v>
      </c>
      <c r="AF259" s="9"/>
      <c r="AG259" s="21">
        <v>1.15387</v>
      </c>
      <c r="AH259" s="21">
        <v>20.692</v>
      </c>
      <c r="AI259" s="21">
        <v>-1.4190700000000001E-2</v>
      </c>
      <c r="AJ259" s="21">
        <v>249</v>
      </c>
      <c r="AK259" s="21">
        <v>1.1529499999999999</v>
      </c>
      <c r="AL259">
        <f t="shared" si="42"/>
        <v>17.519382716049382</v>
      </c>
      <c r="AM259">
        <f t="shared" si="43"/>
        <v>20.215090134567898</v>
      </c>
      <c r="AP259" s="9"/>
      <c r="AQ259" s="21">
        <v>0.51620500000000002</v>
      </c>
      <c r="AR259" s="21">
        <v>26.134399999999999</v>
      </c>
      <c r="AS259" s="21">
        <v>-1.4843800000000001E-2</v>
      </c>
      <c r="AT259" s="21">
        <v>249</v>
      </c>
      <c r="AU259" s="21">
        <v>0.51547200000000004</v>
      </c>
      <c r="AV259">
        <f t="shared" si="44"/>
        <v>18.325679012345677</v>
      </c>
      <c r="AW259">
        <f t="shared" si="45"/>
        <v>9.4598071345679013</v>
      </c>
      <c r="AX259" s="9"/>
      <c r="AY259" s="21">
        <v>1.15387</v>
      </c>
      <c r="AZ259" s="21">
        <v>29.8932</v>
      </c>
      <c r="BA259" s="21">
        <v>-1.41785E-2</v>
      </c>
      <c r="BB259" s="21">
        <v>249</v>
      </c>
      <c r="BC259" s="21">
        <v>1.15326</v>
      </c>
      <c r="BD259">
        <f t="shared" si="46"/>
        <v>17.504320987654321</v>
      </c>
      <c r="BE259">
        <f t="shared" si="47"/>
        <v>20.197710858024692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0.51116899999999998</v>
      </c>
      <c r="H260" s="21">
        <v>7.7170699999999997</v>
      </c>
      <c r="I260" s="21">
        <v>-1.4837599999999999E-2</v>
      </c>
      <c r="J260" s="21">
        <v>250</v>
      </c>
      <c r="K260" s="21">
        <v>0.51058999999999999</v>
      </c>
      <c r="L260">
        <f t="shared" si="36"/>
        <v>18.318024691358023</v>
      </c>
      <c r="M260">
        <f t="shared" si="37"/>
        <v>9.363606363456789</v>
      </c>
      <c r="N260" s="9"/>
      <c r="O260" s="21">
        <v>1.1589100000000001</v>
      </c>
      <c r="P260" s="21">
        <v>11.4758</v>
      </c>
      <c r="Q260" s="21">
        <v>-1.41327E-2</v>
      </c>
      <c r="R260" s="21">
        <v>250</v>
      </c>
      <c r="S260" s="21">
        <v>1.1581399999999999</v>
      </c>
      <c r="T260">
        <f t="shared" si="38"/>
        <v>17.447777777777777</v>
      </c>
      <c r="U260">
        <f t="shared" si="39"/>
        <v>20.220404144444444</v>
      </c>
      <c r="X260" s="9"/>
      <c r="Y260" s="21">
        <v>0.51116899999999998</v>
      </c>
      <c r="Z260" s="21">
        <v>16.943300000000001</v>
      </c>
      <c r="AA260" s="21">
        <v>-1.4871199999999999E-2</v>
      </c>
      <c r="AB260" s="21">
        <v>250</v>
      </c>
      <c r="AC260" s="21">
        <v>0.51061999999999996</v>
      </c>
      <c r="AD260">
        <f t="shared" si="40"/>
        <v>18.359506172839506</v>
      </c>
      <c r="AE260">
        <f t="shared" si="41"/>
        <v>9.3848104108641976</v>
      </c>
      <c r="AF260" s="9"/>
      <c r="AG260" s="21">
        <v>1.1589100000000001</v>
      </c>
      <c r="AH260" s="21">
        <v>20.702000000000002</v>
      </c>
      <c r="AI260" s="21">
        <v>-1.41785E-2</v>
      </c>
      <c r="AJ260" s="21">
        <v>250</v>
      </c>
      <c r="AK260" s="21">
        <v>1.15845</v>
      </c>
      <c r="AL260">
        <f t="shared" si="42"/>
        <v>17.504320987654321</v>
      </c>
      <c r="AM260">
        <f t="shared" si="43"/>
        <v>20.285932635802471</v>
      </c>
      <c r="AP260" s="9"/>
      <c r="AQ260" s="21">
        <v>0.51116899999999998</v>
      </c>
      <c r="AR260" s="21">
        <v>26.144500000000001</v>
      </c>
      <c r="AS260" s="21">
        <v>-1.48621E-2</v>
      </c>
      <c r="AT260" s="21">
        <v>250</v>
      </c>
      <c r="AU260" s="21">
        <v>0.51061999999999996</v>
      </c>
      <c r="AV260">
        <f t="shared" si="44"/>
        <v>18.348271604938269</v>
      </c>
      <c r="AW260">
        <f t="shared" si="45"/>
        <v>9.3790676480246891</v>
      </c>
      <c r="AX260" s="9"/>
      <c r="AY260" s="21">
        <v>1.1589100000000001</v>
      </c>
      <c r="AZ260" s="21">
        <v>29.903300000000002</v>
      </c>
      <c r="BA260" s="21">
        <v>-1.41724E-2</v>
      </c>
      <c r="BB260" s="21">
        <v>250</v>
      </c>
      <c r="BC260" s="21">
        <v>1.1581399999999999</v>
      </c>
      <c r="BD260">
        <f t="shared" si="46"/>
        <v>17.496790123456787</v>
      </c>
      <c r="BE260">
        <f t="shared" si="47"/>
        <v>20.277205041975307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0.50613399999999997</v>
      </c>
      <c r="H261" s="21">
        <v>7.7271400000000003</v>
      </c>
      <c r="I261" s="21">
        <v>-1.4843800000000001E-2</v>
      </c>
      <c r="J261" s="21">
        <v>251</v>
      </c>
      <c r="K261" s="21">
        <v>0.50552399999999997</v>
      </c>
      <c r="L261">
        <f t="shared" si="36"/>
        <v>18.325679012345677</v>
      </c>
      <c r="M261">
        <f t="shared" si="37"/>
        <v>9.2752492212345672</v>
      </c>
      <c r="N261" s="9"/>
      <c r="O261" s="21">
        <v>1.16394</v>
      </c>
      <c r="P261" s="21">
        <v>11.485900000000001</v>
      </c>
      <c r="Q261" s="21">
        <v>-1.4123500000000001E-2</v>
      </c>
      <c r="R261" s="21">
        <v>251</v>
      </c>
      <c r="S261" s="21">
        <v>1.16364</v>
      </c>
      <c r="T261">
        <f t="shared" si="38"/>
        <v>17.436419753086419</v>
      </c>
      <c r="U261">
        <f t="shared" si="39"/>
        <v>20.294946407407405</v>
      </c>
      <c r="X261" s="9"/>
      <c r="Y261" s="21">
        <v>0.50613399999999997</v>
      </c>
      <c r="Z261" s="21">
        <v>16.953399999999998</v>
      </c>
      <c r="AA261" s="21">
        <v>-1.48804E-2</v>
      </c>
      <c r="AB261" s="21">
        <v>251</v>
      </c>
      <c r="AC261" s="21">
        <v>0.50558499999999995</v>
      </c>
      <c r="AD261">
        <f t="shared" si="40"/>
        <v>18.370864197530864</v>
      </c>
      <c r="AE261">
        <f t="shared" si="41"/>
        <v>9.2981189797530863</v>
      </c>
      <c r="AF261" s="9"/>
      <c r="AG261" s="21">
        <v>1.16394</v>
      </c>
      <c r="AH261" s="21">
        <v>20.7121</v>
      </c>
      <c r="AI261" s="21">
        <v>-1.4169299999999999E-2</v>
      </c>
      <c r="AJ261" s="21">
        <v>251</v>
      </c>
      <c r="AK261" s="21">
        <v>1.16272</v>
      </c>
      <c r="AL261">
        <f t="shared" si="42"/>
        <v>17.492962962962959</v>
      </c>
      <c r="AM261">
        <f t="shared" si="43"/>
        <v>20.360759311111106</v>
      </c>
      <c r="AP261" s="9"/>
      <c r="AQ261" s="21">
        <v>0.50613399999999997</v>
      </c>
      <c r="AR261" s="21">
        <v>26.154599999999999</v>
      </c>
      <c r="AS261" s="21">
        <v>-1.4859000000000001E-2</v>
      </c>
      <c r="AT261" s="21">
        <v>251</v>
      </c>
      <c r="AU261" s="21">
        <v>0.505463</v>
      </c>
      <c r="AV261">
        <f t="shared" si="44"/>
        <v>18.344444444444445</v>
      </c>
      <c r="AW261">
        <f t="shared" si="45"/>
        <v>9.284747044444444</v>
      </c>
      <c r="AX261" s="9"/>
      <c r="AY261" s="21">
        <v>1.16394</v>
      </c>
      <c r="AZ261" s="21">
        <v>29.913399999999999</v>
      </c>
      <c r="BA261" s="21">
        <v>-1.41663E-2</v>
      </c>
      <c r="BB261" s="21">
        <v>251</v>
      </c>
      <c r="BC261" s="21">
        <v>1.16272</v>
      </c>
      <c r="BD261">
        <f t="shared" si="46"/>
        <v>17.489259259259256</v>
      </c>
      <c r="BE261">
        <f t="shared" si="47"/>
        <v>20.356448422222218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0.50109899999999996</v>
      </c>
      <c r="H262" s="21">
        <v>7.7372100000000001</v>
      </c>
      <c r="I262" s="21">
        <v>-1.4837599999999999E-2</v>
      </c>
      <c r="J262" s="21">
        <v>252</v>
      </c>
      <c r="K262" s="21">
        <v>0.50051900000000005</v>
      </c>
      <c r="L262">
        <f t="shared" si="36"/>
        <v>18.318024691358023</v>
      </c>
      <c r="M262">
        <f t="shared" si="37"/>
        <v>9.1791438548148125</v>
      </c>
      <c r="N262" s="9"/>
      <c r="O262" s="21">
        <v>1.1689799999999999</v>
      </c>
      <c r="P262" s="21">
        <v>11.496</v>
      </c>
      <c r="Q262" s="21">
        <v>-1.4123500000000001E-2</v>
      </c>
      <c r="R262" s="21">
        <v>252</v>
      </c>
      <c r="S262" s="21">
        <v>1.16791</v>
      </c>
      <c r="T262">
        <f t="shared" si="38"/>
        <v>17.436419753086419</v>
      </c>
      <c r="U262">
        <f t="shared" si="39"/>
        <v>20.382825962962961</v>
      </c>
      <c r="X262" s="9"/>
      <c r="Y262" s="21">
        <v>0.50109899999999996</v>
      </c>
      <c r="Z262" s="21">
        <v>16.9634</v>
      </c>
      <c r="AA262" s="21">
        <v>-1.48834E-2</v>
      </c>
      <c r="AB262" s="21">
        <v>252</v>
      </c>
      <c r="AC262" s="21">
        <v>0.50048800000000004</v>
      </c>
      <c r="AD262">
        <f t="shared" si="40"/>
        <v>18.374567901234567</v>
      </c>
      <c r="AE262">
        <f t="shared" si="41"/>
        <v>9.2074776007407397</v>
      </c>
      <c r="AF262" s="9"/>
      <c r="AG262" s="21">
        <v>1.1689799999999999</v>
      </c>
      <c r="AH262" s="21">
        <v>20.722200000000001</v>
      </c>
      <c r="AI262" s="21">
        <v>-1.4169299999999999E-2</v>
      </c>
      <c r="AJ262" s="21">
        <v>252</v>
      </c>
      <c r="AK262" s="21">
        <v>1.16821</v>
      </c>
      <c r="AL262">
        <f t="shared" si="42"/>
        <v>17.492962962962959</v>
      </c>
      <c r="AM262">
        <f t="shared" si="43"/>
        <v>20.44892384444444</v>
      </c>
      <c r="AP262" s="9"/>
      <c r="AQ262" s="21">
        <v>0.50109899999999996</v>
      </c>
      <c r="AR262" s="21">
        <v>26.1647</v>
      </c>
      <c r="AS262" s="21">
        <v>-1.4855999999999999E-2</v>
      </c>
      <c r="AT262" s="21">
        <v>252</v>
      </c>
      <c r="AU262" s="21">
        <v>0.50051900000000005</v>
      </c>
      <c r="AV262">
        <f t="shared" si="44"/>
        <v>18.340740740740738</v>
      </c>
      <c r="AW262">
        <f t="shared" si="45"/>
        <v>9.1905268444444417</v>
      </c>
      <c r="AX262" s="9"/>
      <c r="AY262" s="21">
        <v>1.1689799999999999</v>
      </c>
      <c r="AZ262" s="21">
        <v>29.923400000000001</v>
      </c>
      <c r="BA262" s="21">
        <v>-1.41602E-2</v>
      </c>
      <c r="BB262" s="21">
        <v>252</v>
      </c>
      <c r="BC262" s="21">
        <v>1.16791</v>
      </c>
      <c r="BD262">
        <f t="shared" si="46"/>
        <v>17.481728395061729</v>
      </c>
      <c r="BE262">
        <f t="shared" si="47"/>
        <v>20.43579085925926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0.49606299999999998</v>
      </c>
      <c r="H263" s="21">
        <v>7.7472899999999996</v>
      </c>
      <c r="I263" s="21">
        <v>-1.48285E-2</v>
      </c>
      <c r="J263" s="21">
        <v>253</v>
      </c>
      <c r="K263" s="21">
        <v>0.49551400000000001</v>
      </c>
      <c r="L263">
        <f t="shared" si="36"/>
        <v>18.306790123456789</v>
      </c>
      <c r="M263">
        <f t="shared" si="37"/>
        <v>9.0813212290123442</v>
      </c>
      <c r="N263" s="9"/>
      <c r="O263" s="21">
        <v>1.17401</v>
      </c>
      <c r="P263" s="21">
        <v>11.5061</v>
      </c>
      <c r="Q263" s="21">
        <v>-1.41113E-2</v>
      </c>
      <c r="R263" s="21">
        <v>253</v>
      </c>
      <c r="S263" s="21">
        <v>1.1734</v>
      </c>
      <c r="T263">
        <f t="shared" si="38"/>
        <v>17.421358024691358</v>
      </c>
      <c r="U263">
        <f t="shared" si="39"/>
        <v>20.452848534567902</v>
      </c>
      <c r="X263" s="9"/>
      <c r="Y263" s="21">
        <v>0.49606299999999998</v>
      </c>
      <c r="Z263" s="21">
        <v>16.973500000000001</v>
      </c>
      <c r="AA263" s="21">
        <v>-1.48773E-2</v>
      </c>
      <c r="AB263" s="21">
        <v>253</v>
      </c>
      <c r="AC263" s="21">
        <v>0.49548300000000001</v>
      </c>
      <c r="AD263">
        <f t="shared" si="40"/>
        <v>18.367037037037036</v>
      </c>
      <c r="AE263">
        <f t="shared" si="41"/>
        <v>9.1112074937037022</v>
      </c>
      <c r="AF263" s="9"/>
      <c r="AG263" s="21">
        <v>1.17401</v>
      </c>
      <c r="AH263" s="21">
        <v>20.732299999999999</v>
      </c>
      <c r="AI263" s="21">
        <v>-1.4163200000000001E-2</v>
      </c>
      <c r="AJ263" s="21">
        <v>253</v>
      </c>
      <c r="AK263" s="21">
        <v>1.1731</v>
      </c>
      <c r="AL263">
        <f t="shared" si="42"/>
        <v>17.485432098765433</v>
      </c>
      <c r="AM263">
        <f t="shared" si="43"/>
        <v>20.528072138271604</v>
      </c>
      <c r="AP263" s="9"/>
      <c r="AQ263" s="21">
        <v>0.49606299999999998</v>
      </c>
      <c r="AR263" s="21">
        <v>26.174700000000001</v>
      </c>
      <c r="AS263" s="21">
        <v>-1.4865099999999999E-2</v>
      </c>
      <c r="AT263" s="21">
        <v>253</v>
      </c>
      <c r="AU263" s="21">
        <v>0.49542199999999997</v>
      </c>
      <c r="AV263">
        <f t="shared" si="44"/>
        <v>18.351975308641972</v>
      </c>
      <c r="AW263">
        <f t="shared" si="45"/>
        <v>9.1037359275308614</v>
      </c>
      <c r="AX263" s="9"/>
      <c r="AY263" s="21">
        <v>1.17401</v>
      </c>
      <c r="AZ263" s="21">
        <v>29.933499999999999</v>
      </c>
      <c r="BA263" s="21">
        <v>-1.4151E-2</v>
      </c>
      <c r="BB263" s="21">
        <v>253</v>
      </c>
      <c r="BC263" s="21">
        <v>1.1731</v>
      </c>
      <c r="BD263">
        <f t="shared" si="46"/>
        <v>17.470370370370368</v>
      </c>
      <c r="BE263">
        <f t="shared" si="47"/>
        <v>20.510389518518515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0.49102800000000002</v>
      </c>
      <c r="H264" s="21">
        <v>7.7573600000000003</v>
      </c>
      <c r="I264" s="21">
        <v>-1.4819300000000001E-2</v>
      </c>
      <c r="J264" s="21">
        <v>254</v>
      </c>
      <c r="K264" s="21">
        <v>0.49041699999999999</v>
      </c>
      <c r="L264">
        <f t="shared" si="36"/>
        <v>18.295432098765431</v>
      </c>
      <c r="M264">
        <f t="shared" si="37"/>
        <v>8.9835694325925921</v>
      </c>
      <c r="N264" s="9"/>
      <c r="O264" s="21">
        <v>1.1790499999999999</v>
      </c>
      <c r="P264" s="21">
        <v>11.5161</v>
      </c>
      <c r="Q264" s="21">
        <v>-1.41052E-2</v>
      </c>
      <c r="R264" s="21">
        <v>254</v>
      </c>
      <c r="S264" s="21">
        <v>1.17828</v>
      </c>
      <c r="T264">
        <f t="shared" si="38"/>
        <v>17.413827160493828</v>
      </c>
      <c r="U264">
        <f t="shared" si="39"/>
        <v>20.531772913580244</v>
      </c>
      <c r="X264" s="9"/>
      <c r="Y264" s="21">
        <v>0.49102800000000002</v>
      </c>
      <c r="Z264" s="21">
        <v>16.983599999999999</v>
      </c>
      <c r="AA264" s="21">
        <v>-1.48743E-2</v>
      </c>
      <c r="AB264" s="21">
        <v>254</v>
      </c>
      <c r="AC264" s="21">
        <v>0.49029499999999998</v>
      </c>
      <c r="AD264">
        <f t="shared" si="40"/>
        <v>18.363333333333333</v>
      </c>
      <c r="AE264">
        <f t="shared" si="41"/>
        <v>9.0169108399999995</v>
      </c>
      <c r="AF264" s="9"/>
      <c r="AG264" s="21">
        <v>1.1790499999999999</v>
      </c>
      <c r="AH264" s="21">
        <v>20.7423</v>
      </c>
      <c r="AI264" s="21">
        <v>-1.41479E-2</v>
      </c>
      <c r="AJ264" s="21">
        <v>254</v>
      </c>
      <c r="AK264" s="21">
        <v>1.17798</v>
      </c>
      <c r="AL264">
        <f t="shared" si="42"/>
        <v>17.466543209876541</v>
      </c>
      <c r="AM264">
        <f t="shared" si="43"/>
        <v>20.593927771604935</v>
      </c>
      <c r="AP264" s="9"/>
      <c r="AQ264" s="21">
        <v>0.49102800000000002</v>
      </c>
      <c r="AR264" s="21">
        <v>26.184799999999999</v>
      </c>
      <c r="AS264" s="21">
        <v>-1.4871199999999999E-2</v>
      </c>
      <c r="AT264" s="21">
        <v>254</v>
      </c>
      <c r="AU264" s="21">
        <v>0.49038700000000002</v>
      </c>
      <c r="AV264">
        <f t="shared" si="44"/>
        <v>18.359506172839506</v>
      </c>
      <c r="AW264">
        <f t="shared" si="45"/>
        <v>9.0150315970370372</v>
      </c>
      <c r="AX264" s="9"/>
      <c r="AY264" s="21">
        <v>1.1790499999999999</v>
      </c>
      <c r="AZ264" s="21">
        <v>29.9436</v>
      </c>
      <c r="BA264" s="21">
        <v>-1.41388E-2</v>
      </c>
      <c r="BB264" s="21">
        <v>254</v>
      </c>
      <c r="BC264" s="21">
        <v>1.17828</v>
      </c>
      <c r="BD264">
        <f t="shared" si="46"/>
        <v>17.455308641975307</v>
      </c>
      <c r="BE264">
        <f t="shared" si="47"/>
        <v>20.580681654320983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0.48599199999999998</v>
      </c>
      <c r="H265" s="21">
        <v>7.7674300000000001</v>
      </c>
      <c r="I265" s="21">
        <v>-1.48285E-2</v>
      </c>
      <c r="J265" s="21">
        <v>255</v>
      </c>
      <c r="K265" s="21">
        <v>0.48535200000000001</v>
      </c>
      <c r="L265">
        <f t="shared" si="36"/>
        <v>18.306790123456789</v>
      </c>
      <c r="M265">
        <f t="shared" si="37"/>
        <v>8.8969535456790112</v>
      </c>
      <c r="N265" s="9"/>
      <c r="O265" s="21">
        <v>1.18408</v>
      </c>
      <c r="P265" s="21">
        <v>11.526199999999999</v>
      </c>
      <c r="Q265" s="21">
        <v>-1.41022E-2</v>
      </c>
      <c r="R265" s="21">
        <v>255</v>
      </c>
      <c r="S265" s="21">
        <v>1.1831700000000001</v>
      </c>
      <c r="T265">
        <f t="shared" si="38"/>
        <v>17.410123456790124</v>
      </c>
      <c r="U265">
        <f t="shared" si="39"/>
        <v>20.61497898271605</v>
      </c>
      <c r="X265" s="9"/>
      <c r="Y265" s="21">
        <v>0.48599199999999998</v>
      </c>
      <c r="Z265" s="21">
        <v>16.993600000000001</v>
      </c>
      <c r="AA265" s="21">
        <v>-1.48743E-2</v>
      </c>
      <c r="AB265" s="21">
        <v>255</v>
      </c>
      <c r="AC265" s="21">
        <v>0.48529099999999997</v>
      </c>
      <c r="AD265">
        <f t="shared" si="40"/>
        <v>18.363333333333333</v>
      </c>
      <c r="AE265">
        <f t="shared" si="41"/>
        <v>8.9244330933333327</v>
      </c>
      <c r="AF265" s="9"/>
      <c r="AG265" s="21">
        <v>1.18408</v>
      </c>
      <c r="AH265" s="21">
        <v>20.752400000000002</v>
      </c>
      <c r="AI265" s="21">
        <v>-1.41388E-2</v>
      </c>
      <c r="AJ265" s="21">
        <v>255</v>
      </c>
      <c r="AK265" s="21">
        <v>1.18286</v>
      </c>
      <c r="AL265">
        <f t="shared" si="42"/>
        <v>17.455308641975307</v>
      </c>
      <c r="AM265">
        <f t="shared" si="43"/>
        <v>20.668481856790123</v>
      </c>
      <c r="AP265" s="9"/>
      <c r="AQ265" s="21">
        <v>0.48599199999999998</v>
      </c>
      <c r="AR265" s="21">
        <v>26.194900000000001</v>
      </c>
      <c r="AS265" s="21">
        <v>-1.48834E-2</v>
      </c>
      <c r="AT265" s="21">
        <v>255</v>
      </c>
      <c r="AU265" s="21">
        <v>0.48541299999999998</v>
      </c>
      <c r="AV265">
        <f t="shared" si="44"/>
        <v>18.374567901234567</v>
      </c>
      <c r="AW265">
        <f t="shared" si="45"/>
        <v>8.9298930034567885</v>
      </c>
      <c r="AX265" s="9"/>
      <c r="AY265" s="21">
        <v>1.18408</v>
      </c>
      <c r="AZ265" s="21">
        <v>29.953600000000002</v>
      </c>
      <c r="BA265" s="21">
        <v>-1.41327E-2</v>
      </c>
      <c r="BB265" s="21">
        <v>255</v>
      </c>
      <c r="BC265" s="21">
        <v>1.18347</v>
      </c>
      <c r="BD265">
        <f t="shared" si="46"/>
        <v>17.447777777777777</v>
      </c>
      <c r="BE265">
        <f t="shared" si="47"/>
        <v>20.659564711111109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0.48095700000000002</v>
      </c>
      <c r="H266" s="21">
        <v>7.7774999999999999</v>
      </c>
      <c r="I266" s="21">
        <v>-1.4837599999999999E-2</v>
      </c>
      <c r="J266" s="21">
        <v>256</v>
      </c>
      <c r="K266" s="21">
        <v>0.480408</v>
      </c>
      <c r="L266">
        <f t="shared" si="36"/>
        <v>18.318024691358023</v>
      </c>
      <c r="M266">
        <f t="shared" si="37"/>
        <v>8.8101822014814815</v>
      </c>
      <c r="N266" s="9"/>
      <c r="O266" s="21">
        <v>1.18912</v>
      </c>
      <c r="P266" s="21">
        <v>11.536300000000001</v>
      </c>
      <c r="Q266" s="21">
        <v>-1.40961E-2</v>
      </c>
      <c r="R266" s="21">
        <v>256</v>
      </c>
      <c r="S266" s="21">
        <v>1.1880500000000001</v>
      </c>
      <c r="T266">
        <f t="shared" si="38"/>
        <v>17.40259259259259</v>
      </c>
      <c r="U266">
        <f t="shared" si="39"/>
        <v>20.693770903703701</v>
      </c>
      <c r="X266" s="9"/>
      <c r="Y266" s="21">
        <v>0.48095700000000002</v>
      </c>
      <c r="Z266" s="21">
        <v>17.003699999999998</v>
      </c>
      <c r="AA266" s="21">
        <v>-1.48834E-2</v>
      </c>
      <c r="AB266" s="21">
        <v>256</v>
      </c>
      <c r="AC266" s="21">
        <v>0.48028599999999999</v>
      </c>
      <c r="AD266">
        <f t="shared" si="40"/>
        <v>18.374567901234567</v>
      </c>
      <c r="AE266">
        <f t="shared" si="41"/>
        <v>8.8373770540740733</v>
      </c>
      <c r="AF266" s="9"/>
      <c r="AG266" s="21">
        <v>1.18912</v>
      </c>
      <c r="AH266" s="21">
        <v>20.762499999999999</v>
      </c>
      <c r="AI266" s="21">
        <v>-1.41266E-2</v>
      </c>
      <c r="AJ266" s="21">
        <v>256</v>
      </c>
      <c r="AK266" s="21">
        <v>1.1880500000000001</v>
      </c>
      <c r="AL266">
        <f t="shared" si="42"/>
        <v>17.440246913580246</v>
      </c>
      <c r="AM266">
        <f t="shared" si="43"/>
        <v>20.738546409876541</v>
      </c>
      <c r="AP266" s="9"/>
      <c r="AQ266" s="21">
        <v>0.48095700000000002</v>
      </c>
      <c r="AR266" s="21">
        <v>26.204899999999999</v>
      </c>
      <c r="AS266" s="21">
        <v>-1.48895E-2</v>
      </c>
      <c r="AT266" s="21">
        <v>256</v>
      </c>
      <c r="AU266" s="21">
        <v>0.48028599999999999</v>
      </c>
      <c r="AV266">
        <f t="shared" si="44"/>
        <v>18.382098765432101</v>
      </c>
      <c r="AW266">
        <f t="shared" si="45"/>
        <v>8.8409990759259269</v>
      </c>
      <c r="AX266" s="9"/>
      <c r="AY266" s="21">
        <v>1.18912</v>
      </c>
      <c r="AZ266" s="21">
        <v>29.963699999999999</v>
      </c>
      <c r="BA266" s="21">
        <v>-1.4129600000000001E-2</v>
      </c>
      <c r="BB266" s="21">
        <v>256</v>
      </c>
      <c r="BC266" s="21">
        <v>1.1880500000000001</v>
      </c>
      <c r="BD266">
        <f t="shared" si="46"/>
        <v>17.443950617283949</v>
      </c>
      <c r="BE266">
        <f t="shared" si="47"/>
        <v>20.742950558024688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0.47592200000000001</v>
      </c>
      <c r="H267" s="21">
        <v>7.7875699999999997</v>
      </c>
      <c r="I267" s="21">
        <v>-1.48529E-2</v>
      </c>
      <c r="J267" s="21">
        <v>257</v>
      </c>
      <c r="K267" s="21">
        <v>0.47525000000000001</v>
      </c>
      <c r="L267">
        <f t="shared" si="36"/>
        <v>18.336913580246915</v>
      </c>
      <c r="M267">
        <f t="shared" si="37"/>
        <v>8.7269405849382728</v>
      </c>
      <c r="N267" s="9"/>
      <c r="O267" s="21">
        <v>1.19415</v>
      </c>
      <c r="P267" s="21">
        <v>11.5463</v>
      </c>
      <c r="Q267" s="21">
        <v>-1.40839E-2</v>
      </c>
      <c r="R267" s="21">
        <v>257</v>
      </c>
      <c r="S267" s="21">
        <v>1.19293</v>
      </c>
      <c r="T267">
        <f t="shared" si="38"/>
        <v>17.387530864197529</v>
      </c>
      <c r="U267">
        <f t="shared" si="39"/>
        <v>20.76331998148148</v>
      </c>
      <c r="X267" s="9"/>
      <c r="Y267" s="21">
        <v>0.47592200000000001</v>
      </c>
      <c r="Z267" s="21">
        <v>17.0138</v>
      </c>
      <c r="AA267" s="21">
        <v>-1.4892600000000001E-2</v>
      </c>
      <c r="AB267" s="21">
        <v>257</v>
      </c>
      <c r="AC267" s="21">
        <v>0.47531099999999998</v>
      </c>
      <c r="AD267">
        <f t="shared" si="40"/>
        <v>18.385925925925928</v>
      </c>
      <c r="AE267">
        <f t="shared" si="41"/>
        <v>8.7502666385185197</v>
      </c>
      <c r="AF267" s="9"/>
      <c r="AG267" s="21">
        <v>1.19415</v>
      </c>
      <c r="AH267" s="21">
        <v>20.772500000000001</v>
      </c>
      <c r="AI267" s="21">
        <v>-1.41174E-2</v>
      </c>
      <c r="AJ267" s="21">
        <v>257</v>
      </c>
      <c r="AK267" s="21">
        <v>1.1932400000000001</v>
      </c>
      <c r="AL267">
        <f t="shared" si="42"/>
        <v>17.428888888888888</v>
      </c>
      <c r="AM267">
        <f t="shared" si="43"/>
        <v>20.812707666666668</v>
      </c>
      <c r="AP267" s="9"/>
      <c r="AQ267" s="21">
        <v>0.47592200000000001</v>
      </c>
      <c r="AR267" s="21">
        <v>26.215</v>
      </c>
      <c r="AS267" s="21">
        <v>-1.48956E-2</v>
      </c>
      <c r="AT267" s="21">
        <v>257</v>
      </c>
      <c r="AU267" s="21">
        <v>0.47528100000000001</v>
      </c>
      <c r="AV267">
        <f t="shared" si="44"/>
        <v>18.389629629629628</v>
      </c>
      <c r="AW267">
        <f t="shared" si="45"/>
        <v>8.7520293125925921</v>
      </c>
      <c r="AX267" s="9"/>
      <c r="AY267" s="21">
        <v>1.19415</v>
      </c>
      <c r="AZ267" s="21">
        <v>29.973800000000001</v>
      </c>
      <c r="BA267" s="21">
        <v>-1.4123500000000001E-2</v>
      </c>
      <c r="BB267" s="21">
        <v>257</v>
      </c>
      <c r="BC267" s="21">
        <v>1.19354</v>
      </c>
      <c r="BD267">
        <f t="shared" si="46"/>
        <v>17.436419753086419</v>
      </c>
      <c r="BE267">
        <f t="shared" si="47"/>
        <v>20.821700648148148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0.47088600000000003</v>
      </c>
      <c r="H268" s="21">
        <v>7.7976400000000003</v>
      </c>
      <c r="I268" s="21">
        <v>-1.48621E-2</v>
      </c>
      <c r="J268" s="21">
        <v>258</v>
      </c>
      <c r="K268" s="21">
        <v>0.47021499999999999</v>
      </c>
      <c r="L268">
        <f t="shared" ref="L268:L331" si="48">-I268/$F$2*1000</f>
        <v>18.348271604938269</v>
      </c>
      <c r="M268">
        <f t="shared" ref="M268:M331" si="49">L268*G268</f>
        <v>8.6399442229629617</v>
      </c>
      <c r="N268" s="9"/>
      <c r="O268" s="21">
        <v>1.19919</v>
      </c>
      <c r="P268" s="21">
        <v>11.5564</v>
      </c>
      <c r="Q268" s="21">
        <v>-1.40594E-2</v>
      </c>
      <c r="R268" s="21">
        <v>258</v>
      </c>
      <c r="S268" s="21">
        <v>1.19781</v>
      </c>
      <c r="T268">
        <f t="shared" ref="T268:T331" si="50">-Q268/$F$2*1000</f>
        <v>17.357283950617283</v>
      </c>
      <c r="U268">
        <f t="shared" ref="U268:U331" si="51">T268*O268</f>
        <v>20.814681340740741</v>
      </c>
      <c r="X268" s="9"/>
      <c r="Y268" s="21">
        <v>0.47088600000000003</v>
      </c>
      <c r="Z268" s="21">
        <v>17.023900000000001</v>
      </c>
      <c r="AA268" s="21">
        <v>-1.4892600000000001E-2</v>
      </c>
      <c r="AB268" s="21">
        <v>258</v>
      </c>
      <c r="AC268" s="21">
        <v>0.47015400000000002</v>
      </c>
      <c r="AD268">
        <f t="shared" ref="AD268:AD331" si="52">-AA268/$F$2*1000</f>
        <v>18.385925925925928</v>
      </c>
      <c r="AE268">
        <f t="shared" ref="AE268:AE331" si="53">AD268*Y268</f>
        <v>8.6576751155555574</v>
      </c>
      <c r="AF268" s="9"/>
      <c r="AG268" s="21">
        <v>1.19919</v>
      </c>
      <c r="AH268" s="21">
        <v>20.782599999999999</v>
      </c>
      <c r="AI268" s="21">
        <v>-1.41113E-2</v>
      </c>
      <c r="AJ268" s="21">
        <v>258</v>
      </c>
      <c r="AK268" s="21">
        <v>1.19781</v>
      </c>
      <c r="AL268">
        <f t="shared" ref="AL268:AL331" si="54">-AI268/$F$2*1000</f>
        <v>17.421358024691358</v>
      </c>
      <c r="AM268">
        <f t="shared" ref="AM268:AM331" si="55">AL268*AG268</f>
        <v>20.89151832962963</v>
      </c>
      <c r="AP268" s="9"/>
      <c r="AQ268" s="21">
        <v>0.47088600000000003</v>
      </c>
      <c r="AR268" s="21">
        <v>26.225100000000001</v>
      </c>
      <c r="AS268" s="21">
        <v>-1.4898700000000001E-2</v>
      </c>
      <c r="AT268" s="21">
        <v>258</v>
      </c>
      <c r="AU268" s="21">
        <v>0.47033700000000001</v>
      </c>
      <c r="AV268">
        <f t="shared" ref="AV268:AV331" si="56">-AS268/$F$2*1000</f>
        <v>18.393456790123455</v>
      </c>
      <c r="AW268">
        <f t="shared" ref="AW268:AW331" si="57">AV268*AQ268</f>
        <v>8.6612212940740729</v>
      </c>
      <c r="AX268" s="9"/>
      <c r="AY268" s="21">
        <v>1.19919</v>
      </c>
      <c r="AZ268" s="21">
        <v>29.983799999999999</v>
      </c>
      <c r="BA268" s="21">
        <v>-1.41174E-2</v>
      </c>
      <c r="BB268" s="21">
        <v>258</v>
      </c>
      <c r="BC268" s="21">
        <v>1.1981200000000001</v>
      </c>
      <c r="BD268">
        <f t="shared" ref="BD268:BD331" si="58">-BA268/$F$2*1000</f>
        <v>17.428888888888888</v>
      </c>
      <c r="BE268">
        <f t="shared" ref="BE268:BE331" si="59">BD268*AY268</f>
        <v>20.900549266666665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0.46585100000000002</v>
      </c>
      <c r="H269" s="21">
        <v>7.8077100000000002</v>
      </c>
      <c r="I269" s="21">
        <v>-1.4865099999999999E-2</v>
      </c>
      <c r="J269" s="21">
        <v>259</v>
      </c>
      <c r="K269" s="21">
        <v>0.46523999999999999</v>
      </c>
      <c r="L269">
        <f t="shared" si="48"/>
        <v>18.351975308641972</v>
      </c>
      <c r="M269">
        <f t="shared" si="49"/>
        <v>8.549286049506172</v>
      </c>
      <c r="N269" s="9"/>
      <c r="O269" s="21">
        <v>1.2042200000000001</v>
      </c>
      <c r="P269" s="21">
        <v>11.5665</v>
      </c>
      <c r="Q269" s="21">
        <v>-1.40442E-2</v>
      </c>
      <c r="R269" s="21">
        <v>259</v>
      </c>
      <c r="S269" s="21">
        <v>1.2036100000000001</v>
      </c>
      <c r="T269">
        <f t="shared" si="50"/>
        <v>17.338518518518516</v>
      </c>
      <c r="U269">
        <f t="shared" si="51"/>
        <v>20.879390770370367</v>
      </c>
      <c r="X269" s="9"/>
      <c r="Y269" s="21">
        <v>0.46585100000000002</v>
      </c>
      <c r="Z269" s="21">
        <v>17.033899999999999</v>
      </c>
      <c r="AA269" s="21">
        <v>-1.48956E-2</v>
      </c>
      <c r="AB269" s="21">
        <v>259</v>
      </c>
      <c r="AC269" s="21">
        <v>0.46514899999999998</v>
      </c>
      <c r="AD269">
        <f t="shared" si="52"/>
        <v>18.389629629629628</v>
      </c>
      <c r="AE269">
        <f t="shared" si="53"/>
        <v>8.5668273525925915</v>
      </c>
      <c r="AF269" s="9"/>
      <c r="AG269" s="21">
        <v>1.2042200000000001</v>
      </c>
      <c r="AH269" s="21">
        <v>20.7927</v>
      </c>
      <c r="AI269" s="21">
        <v>-1.40991E-2</v>
      </c>
      <c r="AJ269" s="21">
        <v>259</v>
      </c>
      <c r="AK269" s="21">
        <v>1.2030000000000001</v>
      </c>
      <c r="AL269">
        <f t="shared" si="54"/>
        <v>17.406296296296293</v>
      </c>
      <c r="AM269">
        <f t="shared" si="55"/>
        <v>20.961010125925924</v>
      </c>
      <c r="AP269" s="9"/>
      <c r="AQ269" s="21">
        <v>0.46585100000000002</v>
      </c>
      <c r="AR269" s="21">
        <v>26.235199999999999</v>
      </c>
      <c r="AS269" s="21">
        <v>-1.49017E-2</v>
      </c>
      <c r="AT269" s="21">
        <v>259</v>
      </c>
      <c r="AU269" s="21">
        <v>0.46523999999999999</v>
      </c>
      <c r="AV269">
        <f t="shared" si="56"/>
        <v>18.397160493827158</v>
      </c>
      <c r="AW269">
        <f t="shared" si="57"/>
        <v>8.5703356132098758</v>
      </c>
      <c r="AX269" s="9"/>
      <c r="AY269" s="21">
        <v>1.2042200000000001</v>
      </c>
      <c r="AZ269" s="21">
        <v>29.9939</v>
      </c>
      <c r="BA269" s="21">
        <v>-1.41113E-2</v>
      </c>
      <c r="BB269" s="21">
        <v>259</v>
      </c>
      <c r="BC269" s="21">
        <v>1.2033100000000001</v>
      </c>
      <c r="BD269">
        <f t="shared" si="58"/>
        <v>17.421358024691358</v>
      </c>
      <c r="BE269">
        <f t="shared" si="59"/>
        <v>20.979147760493827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0.46081499999999997</v>
      </c>
      <c r="H270" s="21">
        <v>7.81778</v>
      </c>
      <c r="I270" s="21">
        <v>-1.4871199999999999E-2</v>
      </c>
      <c r="J270" s="21">
        <v>260</v>
      </c>
      <c r="K270" s="21">
        <v>0.460144</v>
      </c>
      <c r="L270">
        <f t="shared" si="48"/>
        <v>18.359506172839506</v>
      </c>
      <c r="M270">
        <f t="shared" si="49"/>
        <v>8.4603358370370358</v>
      </c>
      <c r="N270" s="9"/>
      <c r="O270" s="21">
        <v>1.20926</v>
      </c>
      <c r="P270" s="21">
        <v>11.576499999999999</v>
      </c>
      <c r="Q270" s="21">
        <v>-1.40381E-2</v>
      </c>
      <c r="R270" s="21">
        <v>260</v>
      </c>
      <c r="S270" s="21">
        <v>1.2081900000000001</v>
      </c>
      <c r="T270">
        <f t="shared" si="50"/>
        <v>17.330987654320985</v>
      </c>
      <c r="U270">
        <f t="shared" si="51"/>
        <v>20.957670130864194</v>
      </c>
      <c r="X270" s="9"/>
      <c r="Y270" s="21">
        <v>0.46081499999999997</v>
      </c>
      <c r="Z270" s="21">
        <v>17.044</v>
      </c>
      <c r="AA270" s="21">
        <v>-1.48895E-2</v>
      </c>
      <c r="AB270" s="21">
        <v>260</v>
      </c>
      <c r="AC270" s="21">
        <v>0.460175</v>
      </c>
      <c r="AD270">
        <f t="shared" si="52"/>
        <v>18.382098765432101</v>
      </c>
      <c r="AE270">
        <f t="shared" si="53"/>
        <v>8.4707468425925931</v>
      </c>
      <c r="AF270" s="9"/>
      <c r="AG270" s="21">
        <v>1.20926</v>
      </c>
      <c r="AH270" s="21">
        <v>20.802800000000001</v>
      </c>
      <c r="AI270" s="21">
        <v>-1.40839E-2</v>
      </c>
      <c r="AJ270" s="21">
        <v>260</v>
      </c>
      <c r="AK270" s="21">
        <v>1.2084999999999999</v>
      </c>
      <c r="AL270">
        <f t="shared" si="54"/>
        <v>17.387530864197529</v>
      </c>
      <c r="AM270">
        <f t="shared" si="55"/>
        <v>21.026045572839504</v>
      </c>
      <c r="AP270" s="9"/>
      <c r="AQ270" s="21">
        <v>0.46081499999999997</v>
      </c>
      <c r="AR270" s="21">
        <v>26.245200000000001</v>
      </c>
      <c r="AS270" s="21">
        <v>-1.48956E-2</v>
      </c>
      <c r="AT270" s="21">
        <v>260</v>
      </c>
      <c r="AU270" s="21">
        <v>0.46026600000000001</v>
      </c>
      <c r="AV270">
        <f t="shared" si="56"/>
        <v>18.389629629629628</v>
      </c>
      <c r="AW270">
        <f t="shared" si="57"/>
        <v>8.4742171777777759</v>
      </c>
      <c r="AX270" s="9"/>
      <c r="AY270" s="21">
        <v>1.20926</v>
      </c>
      <c r="AZ270" s="21">
        <v>30.004000000000001</v>
      </c>
      <c r="BA270" s="21">
        <v>-1.40991E-2</v>
      </c>
      <c r="BB270" s="21">
        <v>260</v>
      </c>
      <c r="BC270" s="21">
        <v>1.2084999999999999</v>
      </c>
      <c r="BD270">
        <f t="shared" si="58"/>
        <v>17.406296296296293</v>
      </c>
      <c r="BE270">
        <f t="shared" si="59"/>
        <v>21.048737859259255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0.45578000000000002</v>
      </c>
      <c r="H271" s="21">
        <v>7.8278499999999998</v>
      </c>
      <c r="I271" s="21">
        <v>-1.4865099999999999E-2</v>
      </c>
      <c r="J271" s="21">
        <v>261</v>
      </c>
      <c r="K271" s="21">
        <v>0.45517000000000002</v>
      </c>
      <c r="L271">
        <f t="shared" si="48"/>
        <v>18.351975308641972</v>
      </c>
      <c r="M271">
        <f t="shared" si="49"/>
        <v>8.3644633061728388</v>
      </c>
      <c r="N271" s="9"/>
      <c r="O271" s="21">
        <v>1.2142900000000001</v>
      </c>
      <c r="P271" s="21">
        <v>11.586600000000001</v>
      </c>
      <c r="Q271" s="21">
        <v>-1.4031999999999999E-2</v>
      </c>
      <c r="R271" s="21">
        <v>261</v>
      </c>
      <c r="S271" s="21">
        <v>1.2139899999999999</v>
      </c>
      <c r="T271">
        <f t="shared" si="50"/>
        <v>17.323456790123455</v>
      </c>
      <c r="U271">
        <f t="shared" si="51"/>
        <v>21.035700345679011</v>
      </c>
      <c r="X271" s="9"/>
      <c r="Y271" s="21">
        <v>0.45578000000000002</v>
      </c>
      <c r="Z271" s="21">
        <v>17.054099999999998</v>
      </c>
      <c r="AA271" s="21">
        <v>-1.48895E-2</v>
      </c>
      <c r="AB271" s="21">
        <v>261</v>
      </c>
      <c r="AC271" s="21">
        <v>0.45513900000000002</v>
      </c>
      <c r="AD271">
        <f t="shared" si="52"/>
        <v>18.382098765432101</v>
      </c>
      <c r="AE271">
        <f t="shared" si="53"/>
        <v>8.378192975308643</v>
      </c>
      <c r="AF271" s="9"/>
      <c r="AG271" s="21">
        <v>1.2142900000000001</v>
      </c>
      <c r="AH271" s="21">
        <v>20.812799999999999</v>
      </c>
      <c r="AI271" s="21">
        <v>-1.4071699999999999E-2</v>
      </c>
      <c r="AJ271" s="21">
        <v>261</v>
      </c>
      <c r="AK271" s="21">
        <v>1.2136800000000001</v>
      </c>
      <c r="AL271">
        <f t="shared" si="54"/>
        <v>17.372469135802469</v>
      </c>
      <c r="AM271">
        <f t="shared" si="55"/>
        <v>21.095215546913582</v>
      </c>
      <c r="AP271" s="9"/>
      <c r="AQ271" s="21">
        <v>0.45578000000000002</v>
      </c>
      <c r="AR271" s="21">
        <v>26.255299999999998</v>
      </c>
      <c r="AS271" s="21">
        <v>-1.4892600000000001E-2</v>
      </c>
      <c r="AT271" s="21">
        <v>261</v>
      </c>
      <c r="AU271" s="21">
        <v>0.45513900000000002</v>
      </c>
      <c r="AV271">
        <f t="shared" si="56"/>
        <v>18.385925925925928</v>
      </c>
      <c r="AW271">
        <f t="shared" si="57"/>
        <v>8.37993731851852</v>
      </c>
      <c r="AX271" s="9"/>
      <c r="AY271" s="21">
        <v>1.2142900000000001</v>
      </c>
      <c r="AZ271" s="21">
        <v>30.014099999999999</v>
      </c>
      <c r="BA271" s="21">
        <v>-1.4086899999999999E-2</v>
      </c>
      <c r="BB271" s="21">
        <v>261</v>
      </c>
      <c r="BC271" s="21">
        <v>1.2136800000000001</v>
      </c>
      <c r="BD271">
        <f t="shared" si="58"/>
        <v>17.391234567901233</v>
      </c>
      <c r="BE271">
        <f t="shared" si="59"/>
        <v>21.118002223456788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0.45074500000000001</v>
      </c>
      <c r="H272" s="21">
        <v>7.8379200000000004</v>
      </c>
      <c r="I272" s="21">
        <v>-1.48682E-2</v>
      </c>
      <c r="J272" s="21">
        <v>262</v>
      </c>
      <c r="K272" s="21">
        <v>0.450073</v>
      </c>
      <c r="L272">
        <f t="shared" si="48"/>
        <v>18.355802469135799</v>
      </c>
      <c r="M272">
        <f t="shared" si="49"/>
        <v>8.2737861839506159</v>
      </c>
      <c r="N272" s="9"/>
      <c r="O272" s="21">
        <v>1.21933</v>
      </c>
      <c r="P272" s="21">
        <v>11.5967</v>
      </c>
      <c r="Q272" s="21">
        <v>-1.4019800000000001E-2</v>
      </c>
      <c r="R272" s="21">
        <v>262</v>
      </c>
      <c r="S272" s="21">
        <v>1.2182599999999999</v>
      </c>
      <c r="T272">
        <f t="shared" si="50"/>
        <v>17.308395061728394</v>
      </c>
      <c r="U272">
        <f t="shared" si="51"/>
        <v>21.104645350617282</v>
      </c>
      <c r="X272" s="9"/>
      <c r="Y272" s="21">
        <v>0.45074500000000001</v>
      </c>
      <c r="Z272" s="21">
        <v>17.0641</v>
      </c>
      <c r="AA272" s="21">
        <v>-1.48956E-2</v>
      </c>
      <c r="AB272" s="21">
        <v>262</v>
      </c>
      <c r="AC272" s="21">
        <v>0.450073</v>
      </c>
      <c r="AD272">
        <f t="shared" si="52"/>
        <v>18.389629629629628</v>
      </c>
      <c r="AE272">
        <f t="shared" si="53"/>
        <v>8.289033607407406</v>
      </c>
      <c r="AF272" s="9"/>
      <c r="AG272" s="21">
        <v>1.21933</v>
      </c>
      <c r="AH272" s="21">
        <v>20.822900000000001</v>
      </c>
      <c r="AI272" s="21">
        <v>-1.40594E-2</v>
      </c>
      <c r="AJ272" s="21">
        <v>262</v>
      </c>
      <c r="AK272" s="21">
        <v>1.2185699999999999</v>
      </c>
      <c r="AL272">
        <f t="shared" si="54"/>
        <v>17.357283950617283</v>
      </c>
      <c r="AM272">
        <f t="shared" si="55"/>
        <v>21.164257039506172</v>
      </c>
      <c r="AP272" s="9"/>
      <c r="AQ272" s="21">
        <v>0.45074500000000001</v>
      </c>
      <c r="AR272" s="21">
        <v>26.2654</v>
      </c>
      <c r="AS272" s="21">
        <v>-1.48895E-2</v>
      </c>
      <c r="AT272" s="21">
        <v>262</v>
      </c>
      <c r="AU272" s="21">
        <v>0.45016499999999998</v>
      </c>
      <c r="AV272">
        <f t="shared" si="56"/>
        <v>18.382098765432101</v>
      </c>
      <c r="AW272">
        <f t="shared" si="57"/>
        <v>8.2856391080246929</v>
      </c>
      <c r="AX272" s="9"/>
      <c r="AY272" s="21">
        <v>1.21933</v>
      </c>
      <c r="AZ272" s="21">
        <v>30.024100000000001</v>
      </c>
      <c r="BA272" s="21">
        <v>-1.4071699999999999E-2</v>
      </c>
      <c r="BB272" s="21">
        <v>262</v>
      </c>
      <c r="BC272" s="21">
        <v>1.2185699999999999</v>
      </c>
      <c r="BD272">
        <f t="shared" si="58"/>
        <v>17.372469135802469</v>
      </c>
      <c r="BE272">
        <f t="shared" si="59"/>
        <v>21.182772791358026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0.44570900000000002</v>
      </c>
      <c r="H273" s="21">
        <v>7.8479999999999999</v>
      </c>
      <c r="I273" s="21">
        <v>-1.4865099999999999E-2</v>
      </c>
      <c r="J273" s="21">
        <v>263</v>
      </c>
      <c r="K273" s="21">
        <v>0.445129</v>
      </c>
      <c r="L273">
        <f t="shared" si="48"/>
        <v>18.351975308641972</v>
      </c>
      <c r="M273">
        <f t="shared" si="49"/>
        <v>8.1796405628395057</v>
      </c>
      <c r="N273" s="9"/>
      <c r="O273" s="21">
        <v>1.22437</v>
      </c>
      <c r="P273" s="21">
        <v>11.6068</v>
      </c>
      <c r="Q273" s="21">
        <v>-1.40045E-2</v>
      </c>
      <c r="R273" s="21">
        <v>263</v>
      </c>
      <c r="S273" s="21">
        <v>1.2237499999999999</v>
      </c>
      <c r="T273">
        <f t="shared" si="50"/>
        <v>17.289506172839506</v>
      </c>
      <c r="U273">
        <f t="shared" si="51"/>
        <v>21.168752672839506</v>
      </c>
      <c r="X273" s="9"/>
      <c r="Y273" s="21">
        <v>0.44570900000000002</v>
      </c>
      <c r="Z273" s="21">
        <v>17.074200000000001</v>
      </c>
      <c r="AA273" s="21">
        <v>-1.4907800000000001E-2</v>
      </c>
      <c r="AB273" s="21">
        <v>263</v>
      </c>
      <c r="AC273" s="21">
        <v>0.44509900000000002</v>
      </c>
      <c r="AD273">
        <f t="shared" si="52"/>
        <v>18.404691358024692</v>
      </c>
      <c r="AE273">
        <f t="shared" si="53"/>
        <v>8.2031365804938279</v>
      </c>
      <c r="AF273" s="9"/>
      <c r="AG273" s="21">
        <v>1.22437</v>
      </c>
      <c r="AH273" s="21">
        <v>20.832999999999998</v>
      </c>
      <c r="AI273" s="21">
        <v>-1.40503E-2</v>
      </c>
      <c r="AJ273" s="21">
        <v>263</v>
      </c>
      <c r="AK273" s="21">
        <v>1.2240599999999999</v>
      </c>
      <c r="AL273">
        <f t="shared" si="54"/>
        <v>17.34604938271605</v>
      </c>
      <c r="AM273">
        <f t="shared" si="55"/>
        <v>21.237982482716049</v>
      </c>
      <c r="AP273" s="9"/>
      <c r="AQ273" s="21">
        <v>0.44570900000000002</v>
      </c>
      <c r="AR273" s="21">
        <v>26.275400000000001</v>
      </c>
      <c r="AS273" s="21">
        <v>-1.48834E-2</v>
      </c>
      <c r="AT273" s="21">
        <v>263</v>
      </c>
      <c r="AU273" s="21">
        <v>0.44506800000000002</v>
      </c>
      <c r="AV273">
        <f t="shared" si="56"/>
        <v>18.374567901234567</v>
      </c>
      <c r="AW273">
        <f t="shared" si="57"/>
        <v>8.1897102846913583</v>
      </c>
      <c r="AX273" s="9"/>
      <c r="AY273" s="21">
        <v>1.22437</v>
      </c>
      <c r="AZ273" s="21">
        <v>30.034199999999998</v>
      </c>
      <c r="BA273" s="21">
        <v>-1.40594E-2</v>
      </c>
      <c r="BB273" s="21">
        <v>263</v>
      </c>
      <c r="BC273" s="21">
        <v>1.2234499999999999</v>
      </c>
      <c r="BD273">
        <f t="shared" si="58"/>
        <v>17.357283950617283</v>
      </c>
      <c r="BE273">
        <f t="shared" si="59"/>
        <v>21.251737750617284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0.44067400000000001</v>
      </c>
      <c r="H274" s="21">
        <v>7.8580699999999997</v>
      </c>
      <c r="I274" s="21">
        <v>-1.4859000000000001E-2</v>
      </c>
      <c r="J274" s="21">
        <v>264</v>
      </c>
      <c r="K274" s="21">
        <v>0.44006299999999998</v>
      </c>
      <c r="L274">
        <f t="shared" si="48"/>
        <v>18.344444444444445</v>
      </c>
      <c r="M274">
        <f t="shared" si="49"/>
        <v>8.0839197111111112</v>
      </c>
      <c r="N274" s="9"/>
      <c r="O274" s="21">
        <v>1.2294</v>
      </c>
      <c r="P274" s="21">
        <v>11.6168</v>
      </c>
      <c r="Q274" s="21">
        <v>-1.39893E-2</v>
      </c>
      <c r="R274" s="21">
        <v>264</v>
      </c>
      <c r="S274" s="21">
        <v>1.22864</v>
      </c>
      <c r="T274">
        <f t="shared" si="50"/>
        <v>17.270740740740738</v>
      </c>
      <c r="U274">
        <f t="shared" si="51"/>
        <v>21.232648666666663</v>
      </c>
      <c r="X274" s="9"/>
      <c r="Y274" s="21">
        <v>0.44067400000000001</v>
      </c>
      <c r="Z274" s="21">
        <v>17.084299999999999</v>
      </c>
      <c r="AA274" s="21">
        <v>-1.4907800000000001E-2</v>
      </c>
      <c r="AB274" s="21">
        <v>264</v>
      </c>
      <c r="AC274" s="21">
        <v>0.44012499999999999</v>
      </c>
      <c r="AD274">
        <f t="shared" si="52"/>
        <v>18.404691358024692</v>
      </c>
      <c r="AE274">
        <f t="shared" si="53"/>
        <v>8.1104689595061732</v>
      </c>
      <c r="AF274" s="9"/>
      <c r="AG274" s="21">
        <v>1.2294</v>
      </c>
      <c r="AH274" s="21">
        <v>20.843</v>
      </c>
      <c r="AI274" s="21">
        <v>-1.4035000000000001E-2</v>
      </c>
      <c r="AJ274" s="21">
        <v>264</v>
      </c>
      <c r="AK274" s="21">
        <v>1.2289399999999999</v>
      </c>
      <c r="AL274">
        <f t="shared" si="54"/>
        <v>17.327160493827162</v>
      </c>
      <c r="AM274">
        <f t="shared" si="55"/>
        <v>21.302011111111113</v>
      </c>
      <c r="AP274" s="9"/>
      <c r="AQ274" s="21">
        <v>0.44067400000000001</v>
      </c>
      <c r="AR274" s="21">
        <v>26.285499999999999</v>
      </c>
      <c r="AS274" s="21">
        <v>-1.48834E-2</v>
      </c>
      <c r="AT274" s="21">
        <v>264</v>
      </c>
      <c r="AU274" s="21">
        <v>0.44006299999999998</v>
      </c>
      <c r="AV274">
        <f t="shared" si="56"/>
        <v>18.374567901234567</v>
      </c>
      <c r="AW274">
        <f t="shared" si="57"/>
        <v>8.0971943353086413</v>
      </c>
      <c r="AX274" s="9"/>
      <c r="AY274" s="21">
        <v>1.2294</v>
      </c>
      <c r="AZ274" s="21">
        <v>30.0443</v>
      </c>
      <c r="BA274" s="21">
        <v>-1.4041100000000001E-2</v>
      </c>
      <c r="BB274" s="21">
        <v>264</v>
      </c>
      <c r="BC274" s="21">
        <v>1.2283299999999999</v>
      </c>
      <c r="BD274">
        <f t="shared" si="58"/>
        <v>17.334691358024692</v>
      </c>
      <c r="BE274">
        <f t="shared" si="59"/>
        <v>21.311269555555558</v>
      </c>
    </row>
    <row r="275" spans="6:101" x14ac:dyDescent="0.25">
      <c r="F275" s="9"/>
      <c r="G275" s="21">
        <v>0.43563800000000003</v>
      </c>
      <c r="H275" s="21">
        <v>7.8681400000000004</v>
      </c>
      <c r="I275" s="21">
        <v>-1.4855999999999999E-2</v>
      </c>
      <c r="J275" s="21">
        <v>265</v>
      </c>
      <c r="K275" s="21">
        <v>0.434998</v>
      </c>
      <c r="L275">
        <f t="shared" si="48"/>
        <v>18.340740740740738</v>
      </c>
      <c r="M275">
        <f t="shared" si="49"/>
        <v>7.9899236148148143</v>
      </c>
      <c r="N275" s="9"/>
      <c r="O275" s="21">
        <v>1.23444</v>
      </c>
      <c r="P275" s="21">
        <v>11.626899999999999</v>
      </c>
      <c r="Q275" s="21">
        <v>-1.3977099999999999E-2</v>
      </c>
      <c r="R275" s="21">
        <v>265</v>
      </c>
      <c r="S275" s="21">
        <v>1.23322</v>
      </c>
      <c r="T275">
        <f t="shared" si="50"/>
        <v>17.255679012345677</v>
      </c>
      <c r="U275">
        <f t="shared" si="51"/>
        <v>21.301100399999996</v>
      </c>
      <c r="X275" s="9"/>
      <c r="Y275" s="21">
        <v>0.43563800000000003</v>
      </c>
      <c r="Z275" s="21">
        <v>17.0944</v>
      </c>
      <c r="AA275" s="21">
        <v>-1.4913900000000001E-2</v>
      </c>
      <c r="AB275" s="21">
        <v>265</v>
      </c>
      <c r="AC275" s="21">
        <v>0.43502800000000003</v>
      </c>
      <c r="AD275">
        <f t="shared" si="52"/>
        <v>18.412222222222223</v>
      </c>
      <c r="AE275">
        <f t="shared" si="53"/>
        <v>8.021063664444446</v>
      </c>
      <c r="AF275" s="9"/>
      <c r="AG275" s="21">
        <v>1.23444</v>
      </c>
      <c r="AH275" s="21">
        <v>20.853100000000001</v>
      </c>
      <c r="AI275" s="21">
        <v>-1.4019800000000001E-2</v>
      </c>
      <c r="AJ275" s="21">
        <v>265</v>
      </c>
      <c r="AK275" s="21">
        <v>1.23383</v>
      </c>
      <c r="AL275">
        <f t="shared" si="54"/>
        <v>17.308395061728394</v>
      </c>
      <c r="AM275">
        <f t="shared" si="55"/>
        <v>21.366175199999997</v>
      </c>
      <c r="AP275" s="9"/>
      <c r="AQ275" s="21">
        <v>0.43563800000000003</v>
      </c>
      <c r="AR275" s="21">
        <v>26.2956</v>
      </c>
      <c r="AS275" s="21">
        <v>-1.48743E-2</v>
      </c>
      <c r="AT275" s="21">
        <v>265</v>
      </c>
      <c r="AU275" s="21">
        <v>0.43518099999999998</v>
      </c>
      <c r="AV275">
        <f t="shared" si="56"/>
        <v>18.363333333333333</v>
      </c>
      <c r="AW275">
        <f t="shared" si="57"/>
        <v>7.9997658066666668</v>
      </c>
      <c r="AX275" s="9"/>
      <c r="AY275" s="21">
        <v>1.23444</v>
      </c>
      <c r="AZ275" s="21">
        <v>30.054300000000001</v>
      </c>
      <c r="BA275" s="21">
        <v>-1.40289E-2</v>
      </c>
      <c r="BB275" s="21">
        <v>265</v>
      </c>
      <c r="BC275" s="21">
        <v>1.2335199999999999</v>
      </c>
      <c r="BD275">
        <f t="shared" si="58"/>
        <v>17.319629629629631</v>
      </c>
      <c r="BE275">
        <f t="shared" si="59"/>
        <v>21.3800436</v>
      </c>
    </row>
    <row r="276" spans="6:101" x14ac:dyDescent="0.25">
      <c r="F276" s="9"/>
      <c r="G276" s="21">
        <v>0.43060300000000001</v>
      </c>
      <c r="H276" s="21">
        <v>7.8782100000000002</v>
      </c>
      <c r="I276" s="21">
        <v>-1.4849899999999999E-2</v>
      </c>
      <c r="J276" s="21">
        <v>266</v>
      </c>
      <c r="K276" s="21">
        <v>0.42999300000000001</v>
      </c>
      <c r="L276">
        <f t="shared" si="48"/>
        <v>18.333209876543208</v>
      </c>
      <c r="M276">
        <f t="shared" si="49"/>
        <v>7.8943351724691349</v>
      </c>
      <c r="N276" s="9"/>
      <c r="O276" s="21">
        <v>1.2394700000000001</v>
      </c>
      <c r="P276" s="21">
        <v>11.637</v>
      </c>
      <c r="Q276" s="21">
        <v>-1.39618E-2</v>
      </c>
      <c r="R276" s="21">
        <v>266</v>
      </c>
      <c r="S276" s="21">
        <v>1.23871</v>
      </c>
      <c r="T276">
        <f t="shared" si="50"/>
        <v>17.236790123456789</v>
      </c>
      <c r="U276">
        <f t="shared" si="51"/>
        <v>21.364484254320988</v>
      </c>
      <c r="X276" s="9"/>
      <c r="Y276" s="21">
        <v>0.43060300000000001</v>
      </c>
      <c r="Z276" s="21">
        <v>17.104399999999998</v>
      </c>
      <c r="AA276" s="21">
        <v>-1.4917E-2</v>
      </c>
      <c r="AB276" s="21">
        <v>266</v>
      </c>
      <c r="AC276" s="21">
        <v>0.43002299999999999</v>
      </c>
      <c r="AD276">
        <f t="shared" si="52"/>
        <v>18.416049382716047</v>
      </c>
      <c r="AE276">
        <f t="shared" si="53"/>
        <v>7.9300061123456782</v>
      </c>
      <c r="AF276" s="9"/>
      <c r="AG276" s="21">
        <v>1.2394700000000001</v>
      </c>
      <c r="AH276" s="21">
        <v>20.863199999999999</v>
      </c>
      <c r="AI276" s="21">
        <v>-1.40015E-2</v>
      </c>
      <c r="AJ276" s="21">
        <v>266</v>
      </c>
      <c r="AK276" s="21">
        <v>1.2381</v>
      </c>
      <c r="AL276">
        <f t="shared" si="54"/>
        <v>17.285802469135803</v>
      </c>
      <c r="AM276">
        <f t="shared" si="55"/>
        <v>21.425233586419754</v>
      </c>
      <c r="AP276" s="9"/>
      <c r="AQ276" s="21">
        <v>0.43060300000000001</v>
      </c>
      <c r="AR276" s="21">
        <v>26.305700000000002</v>
      </c>
      <c r="AS276" s="21">
        <v>-1.48834E-2</v>
      </c>
      <c r="AT276" s="21">
        <v>266</v>
      </c>
      <c r="AU276" s="21">
        <v>0.43002299999999999</v>
      </c>
      <c r="AV276">
        <f t="shared" si="56"/>
        <v>18.374567901234567</v>
      </c>
      <c r="AW276">
        <f t="shared" si="57"/>
        <v>7.9121440619753081</v>
      </c>
      <c r="AX276" s="9"/>
      <c r="AY276" s="21">
        <v>1.2394700000000001</v>
      </c>
      <c r="AZ276" s="21">
        <v>30.064399999999999</v>
      </c>
      <c r="BA276" s="21">
        <v>-1.40106E-2</v>
      </c>
      <c r="BB276" s="21">
        <v>266</v>
      </c>
      <c r="BC276" s="21">
        <v>1.2377899999999999</v>
      </c>
      <c r="BD276">
        <f t="shared" si="58"/>
        <v>17.297037037037036</v>
      </c>
      <c r="BE276">
        <f t="shared" si="59"/>
        <v>21.439158496296297</v>
      </c>
    </row>
    <row r="277" spans="6:101" x14ac:dyDescent="0.25">
      <c r="F277" s="9"/>
      <c r="G277" s="21">
        <v>0.425568</v>
      </c>
      <c r="H277" s="21">
        <v>7.88828</v>
      </c>
      <c r="I277" s="21">
        <v>-1.4849899999999999E-2</v>
      </c>
      <c r="J277" s="21">
        <v>267</v>
      </c>
      <c r="K277" s="21">
        <v>0.42495699999999997</v>
      </c>
      <c r="L277">
        <f t="shared" si="48"/>
        <v>18.333209876543208</v>
      </c>
      <c r="M277">
        <f t="shared" si="49"/>
        <v>7.8020274607407396</v>
      </c>
      <c r="N277" s="9"/>
      <c r="O277" s="21">
        <v>1.24451</v>
      </c>
      <c r="P277" s="21">
        <v>11.647</v>
      </c>
      <c r="Q277" s="21">
        <v>-1.39404E-2</v>
      </c>
      <c r="R277" s="21">
        <v>267</v>
      </c>
      <c r="S277" s="21">
        <v>1.24359</v>
      </c>
      <c r="T277">
        <f t="shared" si="50"/>
        <v>17.21037037037037</v>
      </c>
      <c r="U277">
        <f t="shared" si="51"/>
        <v>21.418478029629629</v>
      </c>
      <c r="X277" s="9"/>
      <c r="Y277" s="21">
        <v>0.425568</v>
      </c>
      <c r="Z277" s="21">
        <v>17.1145</v>
      </c>
      <c r="AA277" s="21">
        <v>-1.4913900000000001E-2</v>
      </c>
      <c r="AB277" s="21">
        <v>267</v>
      </c>
      <c r="AC277" s="21">
        <v>0.42495699999999997</v>
      </c>
      <c r="AD277">
        <f t="shared" si="52"/>
        <v>18.412222222222223</v>
      </c>
      <c r="AE277">
        <f t="shared" si="53"/>
        <v>7.8356525866666669</v>
      </c>
      <c r="AF277" s="9"/>
      <c r="AG277" s="21">
        <v>1.24451</v>
      </c>
      <c r="AH277" s="21">
        <v>20.8733</v>
      </c>
      <c r="AI277" s="21">
        <v>-1.3986200000000001E-2</v>
      </c>
      <c r="AJ277" s="21">
        <v>267</v>
      </c>
      <c r="AK277" s="21">
        <v>1.24359</v>
      </c>
      <c r="AL277">
        <f t="shared" si="54"/>
        <v>17.266913580246914</v>
      </c>
      <c r="AM277">
        <f t="shared" si="55"/>
        <v>21.488846619753087</v>
      </c>
      <c r="AP277" s="9"/>
      <c r="AQ277" s="21">
        <v>0.425568</v>
      </c>
      <c r="AR277" s="21">
        <v>26.3157</v>
      </c>
      <c r="AS277" s="21">
        <v>-1.48865E-2</v>
      </c>
      <c r="AT277" s="21">
        <v>267</v>
      </c>
      <c r="AU277" s="21">
        <v>0.424927</v>
      </c>
      <c r="AV277">
        <f t="shared" si="56"/>
        <v>18.378395061728394</v>
      </c>
      <c r="AW277">
        <f t="shared" si="57"/>
        <v>7.821256829629629</v>
      </c>
      <c r="AX277" s="9"/>
      <c r="AY277" s="21">
        <v>1.24451</v>
      </c>
      <c r="AZ277" s="21">
        <v>30.0745</v>
      </c>
      <c r="BA277" s="21">
        <v>-1.39954E-2</v>
      </c>
      <c r="BB277" s="21">
        <v>267</v>
      </c>
      <c r="BC277" s="21">
        <v>1.24359</v>
      </c>
      <c r="BD277">
        <f t="shared" si="58"/>
        <v>17.278271604938272</v>
      </c>
      <c r="BE277">
        <f t="shared" si="59"/>
        <v>21.502981795061729</v>
      </c>
    </row>
    <row r="278" spans="6:101" x14ac:dyDescent="0.25">
      <c r="F278" s="9"/>
      <c r="G278" s="21">
        <v>0.42053200000000002</v>
      </c>
      <c r="H278" s="21">
        <v>7.8983499999999998</v>
      </c>
      <c r="I278" s="21">
        <v>-1.48529E-2</v>
      </c>
      <c r="J278" s="21">
        <v>268</v>
      </c>
      <c r="K278" s="21">
        <v>0.419983</v>
      </c>
      <c r="L278">
        <f t="shared" si="48"/>
        <v>18.336913580246915</v>
      </c>
      <c r="M278">
        <f t="shared" si="49"/>
        <v>7.7112589417283957</v>
      </c>
      <c r="N278" s="9"/>
      <c r="O278" s="21">
        <v>1.2495400000000001</v>
      </c>
      <c r="P278" s="21">
        <v>11.6571</v>
      </c>
      <c r="Q278" s="21">
        <v>-1.39221E-2</v>
      </c>
      <c r="R278" s="21">
        <v>268</v>
      </c>
      <c r="S278" s="21">
        <v>1.24847</v>
      </c>
      <c r="T278">
        <f t="shared" si="50"/>
        <v>17.187777777777779</v>
      </c>
      <c r="U278">
        <f t="shared" si="51"/>
        <v>21.476815844444449</v>
      </c>
      <c r="X278" s="9"/>
      <c r="Y278" s="21">
        <v>0.42053200000000002</v>
      </c>
      <c r="Z278" s="21">
        <v>17.124600000000001</v>
      </c>
      <c r="AA278" s="21">
        <v>-1.4913900000000001E-2</v>
      </c>
      <c r="AB278" s="21">
        <v>268</v>
      </c>
      <c r="AC278" s="21">
        <v>0.41982999999999998</v>
      </c>
      <c r="AD278">
        <f t="shared" si="52"/>
        <v>18.412222222222223</v>
      </c>
      <c r="AE278">
        <f t="shared" si="53"/>
        <v>7.7429286355555558</v>
      </c>
      <c r="AF278" s="9"/>
      <c r="AG278" s="21">
        <v>1.2495400000000001</v>
      </c>
      <c r="AH278" s="21">
        <v>20.883299999999998</v>
      </c>
      <c r="AI278" s="21">
        <v>-1.39679E-2</v>
      </c>
      <c r="AJ278" s="21">
        <v>268</v>
      </c>
      <c r="AK278" s="21">
        <v>1.24908</v>
      </c>
      <c r="AL278">
        <f t="shared" si="54"/>
        <v>17.244320987654319</v>
      </c>
      <c r="AM278">
        <f t="shared" si="55"/>
        <v>21.547468846913581</v>
      </c>
      <c r="AP278" s="9"/>
      <c r="AQ278" s="21">
        <v>0.42053200000000002</v>
      </c>
      <c r="AR278" s="21">
        <v>26.325800000000001</v>
      </c>
      <c r="AS278" s="21">
        <v>-1.48956E-2</v>
      </c>
      <c r="AT278" s="21">
        <v>268</v>
      </c>
      <c r="AU278" s="21">
        <v>0.41982999999999998</v>
      </c>
      <c r="AV278">
        <f t="shared" si="56"/>
        <v>18.389629629629628</v>
      </c>
      <c r="AW278">
        <f t="shared" si="57"/>
        <v>7.733427727407407</v>
      </c>
      <c r="AX278" s="9"/>
      <c r="AY278" s="21">
        <v>1.2495400000000001</v>
      </c>
      <c r="AZ278" s="21">
        <v>30.084599999999998</v>
      </c>
      <c r="BA278" s="21">
        <v>-1.3986200000000001E-2</v>
      </c>
      <c r="BB278" s="21">
        <v>268</v>
      </c>
      <c r="BC278" s="21">
        <v>1.24878</v>
      </c>
      <c r="BD278">
        <f t="shared" si="58"/>
        <v>17.266913580246914</v>
      </c>
      <c r="BE278">
        <f t="shared" si="59"/>
        <v>21.575699195061731</v>
      </c>
    </row>
    <row r="279" spans="6:101" x14ac:dyDescent="0.25">
      <c r="F279" s="9"/>
      <c r="G279" s="21">
        <v>0.41549700000000001</v>
      </c>
      <c r="H279" s="21">
        <v>7.9084199999999996</v>
      </c>
      <c r="I279" s="21">
        <v>-1.4865099999999999E-2</v>
      </c>
      <c r="J279" s="21">
        <v>269</v>
      </c>
      <c r="K279" s="21">
        <v>0.414825</v>
      </c>
      <c r="L279">
        <f t="shared" si="48"/>
        <v>18.351975308641972</v>
      </c>
      <c r="M279">
        <f t="shared" si="49"/>
        <v>7.6251906848148137</v>
      </c>
      <c r="N279" s="9"/>
      <c r="O279" s="21">
        <v>1.25458</v>
      </c>
      <c r="P279" s="21">
        <v>11.667199999999999</v>
      </c>
      <c r="Q279" s="21">
        <v>-1.3903799999999999E-2</v>
      </c>
      <c r="R279" s="21">
        <v>269</v>
      </c>
      <c r="S279" s="21">
        <v>1.25397</v>
      </c>
      <c r="T279">
        <f t="shared" si="50"/>
        <v>17.165185185185184</v>
      </c>
      <c r="U279">
        <f t="shared" si="51"/>
        <v>21.53509802962963</v>
      </c>
      <c r="X279" s="9"/>
      <c r="Y279" s="21">
        <v>0.41549700000000001</v>
      </c>
      <c r="Z279" s="21">
        <v>17.134599999999999</v>
      </c>
      <c r="AA279" s="21">
        <v>-1.4917E-2</v>
      </c>
      <c r="AB279" s="21">
        <v>269</v>
      </c>
      <c r="AC279" s="21">
        <v>0.414856</v>
      </c>
      <c r="AD279">
        <f t="shared" si="52"/>
        <v>18.416049382716047</v>
      </c>
      <c r="AE279">
        <f t="shared" si="53"/>
        <v>7.6518132703703694</v>
      </c>
      <c r="AF279" s="9"/>
      <c r="AG279" s="21">
        <v>1.25458</v>
      </c>
      <c r="AH279" s="21">
        <v>20.8934</v>
      </c>
      <c r="AI279" s="21">
        <v>-1.39557E-2</v>
      </c>
      <c r="AJ279" s="21">
        <v>269</v>
      </c>
      <c r="AK279" s="21">
        <v>1.25427</v>
      </c>
      <c r="AL279">
        <f t="shared" si="54"/>
        <v>17.229259259259258</v>
      </c>
      <c r="AM279">
        <f t="shared" si="55"/>
        <v>21.61548408148148</v>
      </c>
      <c r="AP279" s="9"/>
      <c r="AQ279" s="21">
        <v>0.41549700000000001</v>
      </c>
      <c r="AR279" s="21">
        <v>26.335899999999999</v>
      </c>
      <c r="AS279" s="21">
        <v>-1.49017E-2</v>
      </c>
      <c r="AT279" s="21">
        <v>269</v>
      </c>
      <c r="AU279" s="21">
        <v>0.414856</v>
      </c>
      <c r="AV279">
        <f t="shared" si="56"/>
        <v>18.397160493827158</v>
      </c>
      <c r="AW279">
        <f t="shared" si="57"/>
        <v>7.6439649937037029</v>
      </c>
      <c r="AX279" s="9"/>
      <c r="AY279" s="21">
        <v>1.25458</v>
      </c>
      <c r="AZ279" s="21">
        <v>30.0946</v>
      </c>
      <c r="BA279" s="21">
        <v>-1.39709E-2</v>
      </c>
      <c r="BB279" s="21">
        <v>269</v>
      </c>
      <c r="BC279" s="21">
        <v>1.25366</v>
      </c>
      <c r="BD279">
        <f t="shared" si="58"/>
        <v>17.248024691358022</v>
      </c>
      <c r="BE279">
        <f t="shared" si="59"/>
        <v>21.639026817283948</v>
      </c>
    </row>
    <row r="280" spans="6:101" x14ac:dyDescent="0.25">
      <c r="F280" s="9"/>
      <c r="G280" s="21">
        <v>0.41046100000000002</v>
      </c>
      <c r="H280" s="21">
        <v>7.9184900000000003</v>
      </c>
      <c r="I280" s="21">
        <v>-1.48834E-2</v>
      </c>
      <c r="J280" s="21">
        <v>270</v>
      </c>
      <c r="K280" s="21">
        <v>0.40978999999999999</v>
      </c>
      <c r="L280">
        <f t="shared" si="48"/>
        <v>18.374567901234567</v>
      </c>
      <c r="M280">
        <f t="shared" si="49"/>
        <v>7.5420435153086416</v>
      </c>
      <c r="N280" s="9"/>
      <c r="O280" s="21">
        <v>1.2596099999999999</v>
      </c>
      <c r="P280" s="21">
        <v>11.677300000000001</v>
      </c>
      <c r="Q280" s="21">
        <v>-1.38855E-2</v>
      </c>
      <c r="R280" s="21">
        <v>270</v>
      </c>
      <c r="S280" s="21">
        <v>1.2591600000000001</v>
      </c>
      <c r="T280">
        <f t="shared" si="50"/>
        <v>17.142592592592592</v>
      </c>
      <c r="U280">
        <f t="shared" si="51"/>
        <v>21.592981055555555</v>
      </c>
      <c r="X280" s="9"/>
      <c r="Y280" s="21">
        <v>0.41046100000000002</v>
      </c>
      <c r="Z280" s="21">
        <v>17.1447</v>
      </c>
      <c r="AA280" s="21">
        <v>-1.4917E-2</v>
      </c>
      <c r="AB280" s="21">
        <v>270</v>
      </c>
      <c r="AC280" s="21">
        <v>0.40978999999999999</v>
      </c>
      <c r="AD280">
        <f t="shared" si="52"/>
        <v>18.416049382716047</v>
      </c>
      <c r="AE280">
        <f t="shared" si="53"/>
        <v>7.5590700456790119</v>
      </c>
      <c r="AF280" s="9"/>
      <c r="AG280" s="21">
        <v>1.2596099999999999</v>
      </c>
      <c r="AH280" s="21">
        <v>20.903500000000001</v>
      </c>
      <c r="AI280" s="21">
        <v>-1.39404E-2</v>
      </c>
      <c r="AJ280" s="21">
        <v>270</v>
      </c>
      <c r="AK280" s="21">
        <v>1.25885</v>
      </c>
      <c r="AL280">
        <f t="shared" si="54"/>
        <v>17.21037037037037</v>
      </c>
      <c r="AM280">
        <f t="shared" si="55"/>
        <v>21.678354622222219</v>
      </c>
      <c r="AP280" s="9"/>
      <c r="AQ280" s="21">
        <v>0.41046100000000002</v>
      </c>
      <c r="AR280" s="21">
        <v>26.3459</v>
      </c>
      <c r="AS280" s="21">
        <v>-1.4907800000000001E-2</v>
      </c>
      <c r="AT280" s="21">
        <v>270</v>
      </c>
      <c r="AU280" s="21">
        <v>0.40982099999999999</v>
      </c>
      <c r="AV280">
        <f t="shared" si="56"/>
        <v>18.404691358024692</v>
      </c>
      <c r="AW280">
        <f t="shared" si="57"/>
        <v>7.554408019506174</v>
      </c>
      <c r="AX280" s="9"/>
      <c r="AY280" s="21">
        <v>1.2596099999999999</v>
      </c>
      <c r="AZ280" s="21">
        <v>30.104700000000001</v>
      </c>
      <c r="BA280" s="21">
        <v>-1.39557E-2</v>
      </c>
      <c r="BB280" s="21">
        <v>270</v>
      </c>
      <c r="BC280" s="21">
        <v>1.2591600000000001</v>
      </c>
      <c r="BD280">
        <f t="shared" si="58"/>
        <v>17.229259259259258</v>
      </c>
      <c r="BE280">
        <f t="shared" si="59"/>
        <v>21.702147255555552</v>
      </c>
    </row>
    <row r="281" spans="6:101" x14ac:dyDescent="0.25">
      <c r="F281" s="9"/>
      <c r="G281" s="21">
        <v>0.40542600000000001</v>
      </c>
      <c r="H281" s="21">
        <v>7.9285600000000001</v>
      </c>
      <c r="I281" s="21">
        <v>-1.4892600000000001E-2</v>
      </c>
      <c r="J281" s="21">
        <v>271</v>
      </c>
      <c r="K281" s="21">
        <v>0.40478500000000001</v>
      </c>
      <c r="L281">
        <f t="shared" si="48"/>
        <v>18.385925925925928</v>
      </c>
      <c r="M281">
        <f t="shared" si="49"/>
        <v>7.4541324044444455</v>
      </c>
      <c r="N281" s="9"/>
      <c r="O281" s="21">
        <v>1.2646500000000001</v>
      </c>
      <c r="P281" s="21">
        <v>11.6873</v>
      </c>
      <c r="Q281" s="21">
        <v>-1.38733E-2</v>
      </c>
      <c r="R281" s="21">
        <v>271</v>
      </c>
      <c r="S281" s="21">
        <v>1.26373</v>
      </c>
      <c r="T281">
        <f t="shared" si="50"/>
        <v>17.127530864197528</v>
      </c>
      <c r="U281">
        <f t="shared" si="51"/>
        <v>21.660331907407404</v>
      </c>
      <c r="X281" s="9"/>
      <c r="Y281" s="21">
        <v>0.40542600000000001</v>
      </c>
      <c r="Z281" s="21">
        <v>17.154800000000002</v>
      </c>
      <c r="AA281" s="21">
        <v>-1.49109E-2</v>
      </c>
      <c r="AB281" s="21">
        <v>271</v>
      </c>
      <c r="AC281" s="21">
        <v>0.404694</v>
      </c>
      <c r="AD281">
        <f t="shared" si="52"/>
        <v>18.408518518518516</v>
      </c>
      <c r="AE281">
        <f t="shared" si="53"/>
        <v>7.4632920288888878</v>
      </c>
      <c r="AF281" s="9"/>
      <c r="AG281" s="21">
        <v>1.2646500000000001</v>
      </c>
      <c r="AH281" s="21">
        <v>20.913499999999999</v>
      </c>
      <c r="AI281" s="21">
        <v>-1.39282E-2</v>
      </c>
      <c r="AJ281" s="21">
        <v>271</v>
      </c>
      <c r="AK281" s="21">
        <v>1.2640400000000001</v>
      </c>
      <c r="AL281">
        <f t="shared" si="54"/>
        <v>17.195308641975309</v>
      </c>
      <c r="AM281">
        <f t="shared" si="55"/>
        <v>21.746047074074074</v>
      </c>
      <c r="AP281" s="9"/>
      <c r="AQ281" s="21">
        <v>0.40542600000000001</v>
      </c>
      <c r="AR281" s="21">
        <v>26.356000000000002</v>
      </c>
      <c r="AS281" s="21">
        <v>-1.49109E-2</v>
      </c>
      <c r="AT281" s="21">
        <v>271</v>
      </c>
      <c r="AU281" s="21">
        <v>0.40493800000000002</v>
      </c>
      <c r="AV281">
        <f t="shared" si="56"/>
        <v>18.408518518518516</v>
      </c>
      <c r="AW281">
        <f t="shared" si="57"/>
        <v>7.4632920288888878</v>
      </c>
      <c r="AX281" s="9"/>
      <c r="AY281" s="21">
        <v>1.2646500000000001</v>
      </c>
      <c r="AZ281" s="21">
        <v>30.114799999999999</v>
      </c>
      <c r="BA281" s="21">
        <v>-1.39343E-2</v>
      </c>
      <c r="BB281" s="21">
        <v>271</v>
      </c>
      <c r="BC281" s="21">
        <v>1.2640400000000001</v>
      </c>
      <c r="BD281">
        <f t="shared" si="58"/>
        <v>17.202839506172836</v>
      </c>
      <c r="BE281">
        <f t="shared" si="59"/>
        <v>21.75557098148148</v>
      </c>
    </row>
    <row r="282" spans="6:101" x14ac:dyDescent="0.25">
      <c r="F282" s="9"/>
      <c r="G282" s="21">
        <v>0.400391</v>
      </c>
      <c r="H282" s="21">
        <v>7.9386299999999999</v>
      </c>
      <c r="I282" s="21">
        <v>-1.48956E-2</v>
      </c>
      <c r="J282" s="21">
        <v>272</v>
      </c>
      <c r="K282" s="21">
        <v>0.39978000000000002</v>
      </c>
      <c r="L282">
        <f t="shared" si="48"/>
        <v>18.389629629629628</v>
      </c>
      <c r="M282">
        <f t="shared" si="49"/>
        <v>7.3630421970370366</v>
      </c>
      <c r="N282" s="9"/>
      <c r="O282" s="21">
        <v>1.2696799999999999</v>
      </c>
      <c r="P282" s="21">
        <v>11.6974</v>
      </c>
      <c r="Q282" s="21">
        <v>-1.3864100000000001E-2</v>
      </c>
      <c r="R282" s="21">
        <v>272</v>
      </c>
      <c r="S282" s="21">
        <v>1.26831</v>
      </c>
      <c r="T282">
        <f t="shared" si="50"/>
        <v>17.11617283950617</v>
      </c>
      <c r="U282">
        <f t="shared" si="51"/>
        <v>21.732062330864192</v>
      </c>
      <c r="X282" s="9"/>
      <c r="Y282" s="21">
        <v>0.400391</v>
      </c>
      <c r="Z282" s="21">
        <v>17.1648</v>
      </c>
      <c r="AA282" s="21">
        <v>-1.4913900000000001E-2</v>
      </c>
      <c r="AB282" s="21">
        <v>272</v>
      </c>
      <c r="AC282" s="21">
        <v>0.39978000000000002</v>
      </c>
      <c r="AD282">
        <f t="shared" si="52"/>
        <v>18.412222222222223</v>
      </c>
      <c r="AE282">
        <f t="shared" si="53"/>
        <v>7.3720880677777778</v>
      </c>
      <c r="AF282" s="9"/>
      <c r="AG282" s="21">
        <v>1.2696799999999999</v>
      </c>
      <c r="AH282" s="21">
        <v>20.9236</v>
      </c>
      <c r="AI282" s="21">
        <v>-1.3916E-2</v>
      </c>
      <c r="AJ282" s="21">
        <v>272</v>
      </c>
      <c r="AK282" s="21">
        <v>1.26892</v>
      </c>
      <c r="AL282">
        <f t="shared" si="54"/>
        <v>17.180246913580245</v>
      </c>
      <c r="AM282">
        <f t="shared" si="55"/>
        <v>21.813415901234563</v>
      </c>
      <c r="AP282" s="9"/>
      <c r="AQ282" s="21">
        <v>0.400391</v>
      </c>
      <c r="AR282" s="21">
        <v>26.366099999999999</v>
      </c>
      <c r="AS282" s="21">
        <v>-1.4919999999999999E-2</v>
      </c>
      <c r="AT282" s="21">
        <v>272</v>
      </c>
      <c r="AU282" s="21">
        <v>0.39974999999999999</v>
      </c>
      <c r="AV282">
        <f t="shared" si="56"/>
        <v>18.41975308641975</v>
      </c>
      <c r="AW282">
        <f t="shared" si="57"/>
        <v>7.3751033580246901</v>
      </c>
      <c r="AX282" s="9"/>
      <c r="AY282" s="21">
        <v>1.2696799999999999</v>
      </c>
      <c r="AZ282" s="21">
        <v>30.1248</v>
      </c>
      <c r="BA282" s="21">
        <v>-1.39191E-2</v>
      </c>
      <c r="BB282" s="21">
        <v>272</v>
      </c>
      <c r="BC282" s="21">
        <v>1.2692300000000001</v>
      </c>
      <c r="BD282">
        <f t="shared" si="58"/>
        <v>17.184074074074076</v>
      </c>
      <c r="BE282">
        <f t="shared" si="59"/>
        <v>21.81827517037037</v>
      </c>
    </row>
    <row r="283" spans="6:101" x14ac:dyDescent="0.25">
      <c r="F283" s="9"/>
      <c r="G283" s="21">
        <v>0.39535500000000001</v>
      </c>
      <c r="H283" s="21">
        <v>7.9487100000000002</v>
      </c>
      <c r="I283" s="21">
        <v>-1.48956E-2</v>
      </c>
      <c r="J283" s="21">
        <v>273</v>
      </c>
      <c r="K283" s="21">
        <v>0.39474500000000001</v>
      </c>
      <c r="L283">
        <f t="shared" si="48"/>
        <v>18.389629629629628</v>
      </c>
      <c r="M283">
        <f t="shared" si="49"/>
        <v>7.2704320222222218</v>
      </c>
      <c r="N283" s="9"/>
      <c r="O283" s="21">
        <v>1.2747200000000001</v>
      </c>
      <c r="P283" s="21">
        <v>11.7075</v>
      </c>
      <c r="Q283" s="21">
        <v>-1.3854999999999999E-2</v>
      </c>
      <c r="R283" s="21">
        <v>273</v>
      </c>
      <c r="S283" s="21">
        <v>1.2741100000000001</v>
      </c>
      <c r="T283">
        <f t="shared" si="50"/>
        <v>17.104938271604937</v>
      </c>
      <c r="U283">
        <f t="shared" si="51"/>
        <v>21.804006913580245</v>
      </c>
      <c r="X283" s="9"/>
      <c r="Y283" s="21">
        <v>0.39535500000000001</v>
      </c>
      <c r="Z283" s="21">
        <v>17.174900000000001</v>
      </c>
      <c r="AA283" s="21">
        <v>-1.4919999999999999E-2</v>
      </c>
      <c r="AB283" s="21">
        <v>273</v>
      </c>
      <c r="AC283" s="21">
        <v>0.39480599999999999</v>
      </c>
      <c r="AD283">
        <f t="shared" si="52"/>
        <v>18.41975308641975</v>
      </c>
      <c r="AE283">
        <f t="shared" si="53"/>
        <v>7.2823414814814802</v>
      </c>
      <c r="AF283" s="9"/>
      <c r="AG283" s="21">
        <v>1.2747200000000001</v>
      </c>
      <c r="AH283" s="21">
        <v>20.933700000000002</v>
      </c>
      <c r="AI283" s="21">
        <v>-1.39008E-2</v>
      </c>
      <c r="AJ283" s="21">
        <v>273</v>
      </c>
      <c r="AK283" s="21">
        <v>1.2738</v>
      </c>
      <c r="AL283">
        <f t="shared" si="54"/>
        <v>17.161481481481481</v>
      </c>
      <c r="AM283">
        <f t="shared" si="55"/>
        <v>21.876083674074074</v>
      </c>
      <c r="AP283" s="9"/>
      <c r="AQ283" s="21">
        <v>0.39535500000000001</v>
      </c>
      <c r="AR283" s="21">
        <v>26.376200000000001</v>
      </c>
      <c r="AS283" s="21">
        <v>-1.4919999999999999E-2</v>
      </c>
      <c r="AT283" s="21">
        <v>273</v>
      </c>
      <c r="AU283" s="21">
        <v>0.39480599999999999</v>
      </c>
      <c r="AV283">
        <f t="shared" si="56"/>
        <v>18.41975308641975</v>
      </c>
      <c r="AW283">
        <f t="shared" si="57"/>
        <v>7.2823414814814802</v>
      </c>
      <c r="AX283" s="9"/>
      <c r="AY283" s="21">
        <v>1.2747200000000001</v>
      </c>
      <c r="AZ283" s="21">
        <v>30.134899999999998</v>
      </c>
      <c r="BA283" s="21">
        <v>-1.39008E-2</v>
      </c>
      <c r="BB283" s="21">
        <v>273</v>
      </c>
      <c r="BC283" s="21">
        <v>1.2741100000000001</v>
      </c>
      <c r="BD283">
        <f t="shared" si="58"/>
        <v>17.161481481481481</v>
      </c>
      <c r="BE283">
        <f t="shared" si="59"/>
        <v>21.876083674074074</v>
      </c>
    </row>
    <row r="284" spans="6:101" x14ac:dyDescent="0.25">
      <c r="F284" s="9"/>
      <c r="G284" s="21">
        <v>0.39032</v>
      </c>
      <c r="H284" s="21">
        <v>7.95878</v>
      </c>
      <c r="I284" s="21">
        <v>-1.48834E-2</v>
      </c>
      <c r="J284" s="21">
        <v>274</v>
      </c>
      <c r="K284" s="21">
        <v>0.38970900000000003</v>
      </c>
      <c r="L284">
        <f t="shared" si="48"/>
        <v>18.374567901234567</v>
      </c>
      <c r="M284">
        <f t="shared" si="49"/>
        <v>7.1719613432098761</v>
      </c>
      <c r="N284" s="9"/>
      <c r="O284" s="21">
        <v>1.2797499999999999</v>
      </c>
      <c r="P284" s="21">
        <v>11.717499999999999</v>
      </c>
      <c r="Q284" s="21">
        <v>-1.38397E-2</v>
      </c>
      <c r="R284" s="21">
        <v>274</v>
      </c>
      <c r="S284" s="21">
        <v>1.2793000000000001</v>
      </c>
      <c r="T284">
        <f t="shared" si="50"/>
        <v>17.086049382716048</v>
      </c>
      <c r="U284">
        <f t="shared" si="51"/>
        <v>21.86587169753086</v>
      </c>
      <c r="X284" s="9"/>
      <c r="Y284" s="21">
        <v>0.39032</v>
      </c>
      <c r="Z284" s="21">
        <v>17.184999999999999</v>
      </c>
      <c r="AA284" s="21">
        <v>-1.49231E-2</v>
      </c>
      <c r="AB284" s="21">
        <v>274</v>
      </c>
      <c r="AC284" s="21">
        <v>0.38970900000000003</v>
      </c>
      <c r="AD284">
        <f t="shared" si="52"/>
        <v>18.423580246913577</v>
      </c>
      <c r="AE284">
        <f t="shared" si="53"/>
        <v>7.1910918419753074</v>
      </c>
      <c r="AF284" s="9"/>
      <c r="AG284" s="21">
        <v>1.2797499999999999</v>
      </c>
      <c r="AH284" s="21">
        <v>20.9438</v>
      </c>
      <c r="AI284" s="21">
        <v>-1.38855E-2</v>
      </c>
      <c r="AJ284" s="21">
        <v>274</v>
      </c>
      <c r="AK284" s="21">
        <v>1.2786900000000001</v>
      </c>
      <c r="AL284">
        <f t="shared" si="54"/>
        <v>17.142592592592592</v>
      </c>
      <c r="AM284">
        <f t="shared" si="55"/>
        <v>21.938232870370371</v>
      </c>
      <c r="AP284" s="9"/>
      <c r="AQ284" s="21">
        <v>0.39032</v>
      </c>
      <c r="AR284" s="21">
        <v>26.386199999999999</v>
      </c>
      <c r="AS284" s="21">
        <v>-1.4919999999999999E-2</v>
      </c>
      <c r="AT284" s="21">
        <v>274</v>
      </c>
      <c r="AU284" s="21">
        <v>0.38970900000000003</v>
      </c>
      <c r="AV284">
        <f t="shared" si="56"/>
        <v>18.41975308641975</v>
      </c>
      <c r="AW284">
        <f t="shared" si="57"/>
        <v>7.1895980246913567</v>
      </c>
      <c r="AX284" s="9"/>
      <c r="AY284" s="21">
        <v>1.2797499999999999</v>
      </c>
      <c r="AZ284" s="21">
        <v>30.145</v>
      </c>
      <c r="BA284" s="21">
        <v>-1.38916E-2</v>
      </c>
      <c r="BB284" s="21">
        <v>274</v>
      </c>
      <c r="BC284" s="21">
        <v>1.2789900000000001</v>
      </c>
      <c r="BD284">
        <f t="shared" si="58"/>
        <v>17.150123456790123</v>
      </c>
      <c r="BE284">
        <f t="shared" si="59"/>
        <v>21.94787049382716</v>
      </c>
    </row>
    <row r="285" spans="6:101" x14ac:dyDescent="0.25">
      <c r="F285" s="9"/>
      <c r="G285" s="21">
        <v>0.38528400000000002</v>
      </c>
      <c r="H285" s="21">
        <v>7.9688499999999998</v>
      </c>
      <c r="I285" s="21">
        <v>-1.48865E-2</v>
      </c>
      <c r="J285" s="21">
        <v>275</v>
      </c>
      <c r="K285" s="21">
        <v>0.38470500000000002</v>
      </c>
      <c r="L285">
        <f t="shared" si="48"/>
        <v>18.378395061728394</v>
      </c>
      <c r="M285">
        <f t="shared" si="49"/>
        <v>7.0809015629629632</v>
      </c>
      <c r="N285" s="9"/>
      <c r="O285" s="21">
        <v>1.2847900000000001</v>
      </c>
      <c r="P285" s="21">
        <v>11.727600000000001</v>
      </c>
      <c r="Q285" s="21">
        <v>-1.38275E-2</v>
      </c>
      <c r="R285" s="21">
        <v>275</v>
      </c>
      <c r="S285" s="21">
        <v>1.2841800000000001</v>
      </c>
      <c r="T285">
        <f t="shared" si="50"/>
        <v>17.070987654320987</v>
      </c>
      <c r="U285">
        <f t="shared" si="51"/>
        <v>21.932634228395063</v>
      </c>
      <c r="X285" s="9"/>
      <c r="Y285" s="21">
        <v>0.38528400000000002</v>
      </c>
      <c r="Z285" s="21">
        <v>17.1951</v>
      </c>
      <c r="AA285" s="21">
        <v>-1.49353E-2</v>
      </c>
      <c r="AB285" s="21">
        <v>275</v>
      </c>
      <c r="AC285" s="21">
        <v>0.38473499999999999</v>
      </c>
      <c r="AD285">
        <f t="shared" si="52"/>
        <v>18.438641975308641</v>
      </c>
      <c r="AE285">
        <f t="shared" si="53"/>
        <v>7.1041137348148151</v>
      </c>
      <c r="AF285" s="9"/>
      <c r="AG285" s="21">
        <v>1.2847900000000001</v>
      </c>
      <c r="AH285" s="21">
        <v>20.953800000000001</v>
      </c>
      <c r="AI285" s="21">
        <v>-1.38733E-2</v>
      </c>
      <c r="AJ285" s="21">
        <v>275</v>
      </c>
      <c r="AK285" s="21">
        <v>1.2835700000000001</v>
      </c>
      <c r="AL285">
        <f t="shared" si="54"/>
        <v>17.127530864197528</v>
      </c>
      <c r="AM285">
        <f t="shared" si="55"/>
        <v>22.005280379012344</v>
      </c>
      <c r="AP285" s="9"/>
      <c r="AQ285" s="21">
        <v>0.38528400000000002</v>
      </c>
      <c r="AR285" s="21">
        <v>26.3963</v>
      </c>
      <c r="AS285" s="21">
        <v>-1.4917E-2</v>
      </c>
      <c r="AT285" s="21">
        <v>275</v>
      </c>
      <c r="AU285" s="21">
        <v>0.38461299999999998</v>
      </c>
      <c r="AV285">
        <f t="shared" si="56"/>
        <v>18.416049382716047</v>
      </c>
      <c r="AW285">
        <f t="shared" si="57"/>
        <v>7.0954091703703694</v>
      </c>
      <c r="AX285" s="9"/>
      <c r="AY285" s="21">
        <v>1.2847900000000001</v>
      </c>
      <c r="AZ285" s="21">
        <v>30.155100000000001</v>
      </c>
      <c r="BA285" s="21">
        <v>-1.3876299999999999E-2</v>
      </c>
      <c r="BB285" s="21">
        <v>275</v>
      </c>
      <c r="BC285" s="21">
        <v>1.2838700000000001</v>
      </c>
      <c r="BD285">
        <f t="shared" si="58"/>
        <v>17.131234567901231</v>
      </c>
      <c r="BE285">
        <f t="shared" si="59"/>
        <v>22.010038860493825</v>
      </c>
    </row>
    <row r="286" spans="6:101" x14ac:dyDescent="0.25">
      <c r="F286" s="9"/>
      <c r="G286" s="21">
        <v>0.380249</v>
      </c>
      <c r="H286" s="21">
        <v>7.9789199999999996</v>
      </c>
      <c r="I286" s="21">
        <v>-1.4892600000000001E-2</v>
      </c>
      <c r="J286" s="21">
        <v>276</v>
      </c>
      <c r="K286" s="21">
        <v>0.37966899999999998</v>
      </c>
      <c r="L286">
        <f t="shared" si="48"/>
        <v>18.385925925925928</v>
      </c>
      <c r="M286">
        <f t="shared" si="49"/>
        <v>6.9912299474074082</v>
      </c>
      <c r="N286" s="9"/>
      <c r="O286" s="21">
        <v>1.28983</v>
      </c>
      <c r="P286" s="21">
        <v>11.7377</v>
      </c>
      <c r="Q286" s="21">
        <v>-1.3809200000000001E-2</v>
      </c>
      <c r="R286" s="21">
        <v>276</v>
      </c>
      <c r="S286" s="21">
        <v>1.2890600000000001</v>
      </c>
      <c r="T286">
        <f t="shared" si="50"/>
        <v>17.048395061728392</v>
      </c>
      <c r="U286">
        <f t="shared" si="51"/>
        <v>21.989531402469133</v>
      </c>
      <c r="X286" s="9"/>
      <c r="Y286" s="21">
        <v>0.380249</v>
      </c>
      <c r="Z286" s="21">
        <v>17.205100000000002</v>
      </c>
      <c r="AA286" s="21">
        <v>-1.4941400000000001E-2</v>
      </c>
      <c r="AB286" s="21">
        <v>276</v>
      </c>
      <c r="AC286" s="21">
        <v>0.37969999999999998</v>
      </c>
      <c r="AD286">
        <f t="shared" si="52"/>
        <v>18.446172839506172</v>
      </c>
      <c r="AE286">
        <f t="shared" si="53"/>
        <v>7.0141387760493821</v>
      </c>
      <c r="AF286" s="9"/>
      <c r="AG286" s="21">
        <v>1.28983</v>
      </c>
      <c r="AH286" s="21">
        <v>20.963899999999999</v>
      </c>
      <c r="AI286" s="21">
        <v>-1.3861099999999999E-2</v>
      </c>
      <c r="AJ286" s="21">
        <v>276</v>
      </c>
      <c r="AK286" s="21">
        <v>1.2887599999999999</v>
      </c>
      <c r="AL286">
        <f t="shared" si="54"/>
        <v>17.112469135802467</v>
      </c>
      <c r="AM286">
        <f t="shared" si="55"/>
        <v>22.072176065432096</v>
      </c>
      <c r="AP286" s="9"/>
      <c r="AQ286" s="21">
        <v>0.380249</v>
      </c>
      <c r="AR286" s="21">
        <v>26.406400000000001</v>
      </c>
      <c r="AS286" s="21">
        <v>-1.4926099999999999E-2</v>
      </c>
      <c r="AT286" s="21">
        <v>276</v>
      </c>
      <c r="AU286" s="21">
        <v>0.379608</v>
      </c>
      <c r="AV286">
        <f t="shared" si="56"/>
        <v>18.427283950617284</v>
      </c>
      <c r="AW286">
        <f t="shared" si="57"/>
        <v>7.0069562949382718</v>
      </c>
      <c r="AX286" s="9"/>
      <c r="AY286" s="21">
        <v>1.28983</v>
      </c>
      <c r="AZ286" s="21">
        <v>30.165099999999999</v>
      </c>
      <c r="BA286" s="21">
        <v>-1.3864100000000001E-2</v>
      </c>
      <c r="BB286" s="21">
        <v>276</v>
      </c>
      <c r="BC286" s="21">
        <v>1.2890600000000001</v>
      </c>
      <c r="BD286">
        <f t="shared" si="58"/>
        <v>17.11617283950617</v>
      </c>
      <c r="BE286">
        <f t="shared" si="59"/>
        <v>22.076953213580243</v>
      </c>
    </row>
    <row r="287" spans="6:101" x14ac:dyDescent="0.25">
      <c r="F287" s="9"/>
      <c r="G287" s="21">
        <v>0.37521399999999999</v>
      </c>
      <c r="H287" s="21">
        <v>7.9889900000000003</v>
      </c>
      <c r="I287" s="21">
        <v>-1.4892600000000001E-2</v>
      </c>
      <c r="J287" s="21">
        <v>277</v>
      </c>
      <c r="K287" s="21">
        <v>0.37454199999999999</v>
      </c>
      <c r="L287">
        <f t="shared" si="48"/>
        <v>18.385925925925928</v>
      </c>
      <c r="M287">
        <f t="shared" si="49"/>
        <v>6.8986568103703707</v>
      </c>
      <c r="N287" s="9"/>
      <c r="O287" s="21">
        <v>1.2948599999999999</v>
      </c>
      <c r="P287" s="21">
        <v>11.7478</v>
      </c>
      <c r="Q287" s="21">
        <v>-1.37939E-2</v>
      </c>
      <c r="R287" s="21">
        <v>277</v>
      </c>
      <c r="S287" s="21">
        <v>1.2939499999999999</v>
      </c>
      <c r="T287">
        <f t="shared" si="50"/>
        <v>17.029506172839504</v>
      </c>
      <c r="U287">
        <f t="shared" si="51"/>
        <v>22.050826362962958</v>
      </c>
      <c r="X287" s="9"/>
      <c r="Y287" s="21">
        <v>0.37521399999999999</v>
      </c>
      <c r="Z287" s="21">
        <v>17.215199999999999</v>
      </c>
      <c r="AA287" s="21">
        <v>-1.4938399999999999E-2</v>
      </c>
      <c r="AB287" s="21">
        <v>277</v>
      </c>
      <c r="AC287" s="21">
        <v>0.37463400000000002</v>
      </c>
      <c r="AD287">
        <f t="shared" si="52"/>
        <v>18.442469135802465</v>
      </c>
      <c r="AE287">
        <f t="shared" si="53"/>
        <v>6.9198726143209859</v>
      </c>
      <c r="AF287" s="9"/>
      <c r="AG287" s="21">
        <v>1.2948599999999999</v>
      </c>
      <c r="AH287" s="21">
        <v>20.974</v>
      </c>
      <c r="AI287" s="21">
        <v>-1.3842800000000001E-2</v>
      </c>
      <c r="AJ287" s="21">
        <v>277</v>
      </c>
      <c r="AK287" s="21">
        <v>1.2939499999999999</v>
      </c>
      <c r="AL287">
        <f t="shared" si="54"/>
        <v>17.089876543209876</v>
      </c>
      <c r="AM287">
        <f t="shared" si="55"/>
        <v>22.128997540740738</v>
      </c>
      <c r="AP287" s="9"/>
      <c r="AQ287" s="21">
        <v>0.37521399999999999</v>
      </c>
      <c r="AR287" s="21">
        <v>26.416399999999999</v>
      </c>
      <c r="AS287" s="21">
        <v>-1.49292E-2</v>
      </c>
      <c r="AT287" s="21">
        <v>277</v>
      </c>
      <c r="AU287" s="21">
        <v>0.374664</v>
      </c>
      <c r="AV287">
        <f t="shared" si="56"/>
        <v>18.431111111111111</v>
      </c>
      <c r="AW287">
        <f t="shared" si="57"/>
        <v>6.9156109244444446</v>
      </c>
      <c r="AX287" s="9"/>
      <c r="AY287" s="21">
        <v>1.2948599999999999</v>
      </c>
      <c r="AZ287" s="21">
        <v>30.1752</v>
      </c>
      <c r="BA287" s="21">
        <v>-1.3848900000000001E-2</v>
      </c>
      <c r="BB287" s="21">
        <v>277</v>
      </c>
      <c r="BC287" s="21">
        <v>1.2942499999999999</v>
      </c>
      <c r="BD287">
        <f t="shared" si="58"/>
        <v>17.09740740740741</v>
      </c>
      <c r="BE287">
        <f t="shared" si="59"/>
        <v>22.138748955555556</v>
      </c>
    </row>
    <row r="288" spans="6:101" x14ac:dyDescent="0.25">
      <c r="F288" s="9"/>
      <c r="G288" s="21">
        <v>0.37017800000000001</v>
      </c>
      <c r="H288" s="21">
        <v>7.9990600000000001</v>
      </c>
      <c r="I288" s="21">
        <v>-1.48804E-2</v>
      </c>
      <c r="J288" s="21">
        <v>278</v>
      </c>
      <c r="K288" s="21">
        <v>0.369537</v>
      </c>
      <c r="L288">
        <f t="shared" si="48"/>
        <v>18.370864197530864</v>
      </c>
      <c r="M288">
        <f t="shared" si="49"/>
        <v>6.8004897669135804</v>
      </c>
      <c r="N288" s="9"/>
      <c r="O288" s="21">
        <v>1.2999000000000001</v>
      </c>
      <c r="P288" s="21">
        <v>11.7578</v>
      </c>
      <c r="Q288" s="21">
        <v>-1.3781699999999999E-2</v>
      </c>
      <c r="R288" s="21">
        <v>278</v>
      </c>
      <c r="S288" s="21">
        <v>1.2994399999999999</v>
      </c>
      <c r="T288">
        <f t="shared" si="50"/>
        <v>17.014444444444443</v>
      </c>
      <c r="U288">
        <f t="shared" si="51"/>
        <v>22.117076333333333</v>
      </c>
      <c r="X288" s="9"/>
      <c r="Y288" s="21">
        <v>0.37017800000000001</v>
      </c>
      <c r="Z288" s="21">
        <v>17.225300000000001</v>
      </c>
      <c r="AA288" s="21">
        <v>-1.4932300000000001E-2</v>
      </c>
      <c r="AB288" s="21">
        <v>278</v>
      </c>
      <c r="AC288" s="21">
        <v>0.36959799999999998</v>
      </c>
      <c r="AD288">
        <f t="shared" si="52"/>
        <v>18.434938271604938</v>
      </c>
      <c r="AE288">
        <f t="shared" si="53"/>
        <v>6.8242085795061733</v>
      </c>
      <c r="AF288" s="9"/>
      <c r="AG288" s="21">
        <v>1.2999000000000001</v>
      </c>
      <c r="AH288" s="21">
        <v>20.984000000000002</v>
      </c>
      <c r="AI288" s="21">
        <v>-1.38245E-2</v>
      </c>
      <c r="AJ288" s="21">
        <v>278</v>
      </c>
      <c r="AK288" s="21">
        <v>1.2991299999999999</v>
      </c>
      <c r="AL288">
        <f t="shared" si="54"/>
        <v>17.067283950617281</v>
      </c>
      <c r="AM288">
        <f t="shared" si="55"/>
        <v>22.185762407407402</v>
      </c>
      <c r="AP288" s="9"/>
      <c r="AQ288" s="21">
        <v>0.37017800000000001</v>
      </c>
      <c r="AR288" s="21">
        <v>26.426500000000001</v>
      </c>
      <c r="AS288" s="21">
        <v>-1.49353E-2</v>
      </c>
      <c r="AT288" s="21">
        <v>278</v>
      </c>
      <c r="AU288" s="21">
        <v>0.369537</v>
      </c>
      <c r="AV288">
        <f t="shared" si="56"/>
        <v>18.438641975308641</v>
      </c>
      <c r="AW288">
        <f t="shared" si="57"/>
        <v>6.8255796091358025</v>
      </c>
      <c r="AX288" s="9"/>
      <c r="AY288" s="21">
        <v>1.2999000000000001</v>
      </c>
      <c r="AZ288" s="21">
        <v>30.185300000000002</v>
      </c>
      <c r="BA288" s="21">
        <v>-1.38306E-2</v>
      </c>
      <c r="BB288" s="21">
        <v>278</v>
      </c>
      <c r="BC288" s="21">
        <v>1.2991299999999999</v>
      </c>
      <c r="BD288">
        <f t="shared" si="58"/>
        <v>17.074814814814815</v>
      </c>
      <c r="BE288">
        <f t="shared" si="59"/>
        <v>22.19555177777778</v>
      </c>
    </row>
    <row r="289" spans="6:57" x14ac:dyDescent="0.25">
      <c r="F289" s="9"/>
      <c r="G289" s="21">
        <v>0.365143</v>
      </c>
      <c r="H289" s="21">
        <v>8.0091300000000007</v>
      </c>
      <c r="I289" s="21">
        <v>-1.48834E-2</v>
      </c>
      <c r="J289" s="21">
        <v>279</v>
      </c>
      <c r="K289" s="21">
        <v>0.36456300000000003</v>
      </c>
      <c r="L289">
        <f t="shared" si="48"/>
        <v>18.374567901234567</v>
      </c>
      <c r="M289">
        <f t="shared" si="49"/>
        <v>6.7093448471604935</v>
      </c>
      <c r="N289" s="9"/>
      <c r="O289" s="21">
        <v>1.3049299999999999</v>
      </c>
      <c r="P289" s="21">
        <v>11.767899999999999</v>
      </c>
      <c r="Q289" s="21">
        <v>-1.37634E-2</v>
      </c>
      <c r="R289" s="21">
        <v>279</v>
      </c>
      <c r="S289" s="21">
        <v>1.30402</v>
      </c>
      <c r="T289">
        <f t="shared" si="50"/>
        <v>16.991851851851852</v>
      </c>
      <c r="U289">
        <f t="shared" si="51"/>
        <v>22.173177237037034</v>
      </c>
      <c r="X289" s="9"/>
      <c r="Y289" s="21">
        <v>0.365143</v>
      </c>
      <c r="Z289" s="21">
        <v>17.235299999999999</v>
      </c>
      <c r="AA289" s="21">
        <v>-1.49292E-2</v>
      </c>
      <c r="AB289" s="21">
        <v>279</v>
      </c>
      <c r="AC289" s="21">
        <v>0.36456300000000003</v>
      </c>
      <c r="AD289">
        <f t="shared" si="52"/>
        <v>18.431111111111111</v>
      </c>
      <c r="AE289">
        <f t="shared" si="53"/>
        <v>6.7299912044444445</v>
      </c>
      <c r="AF289" s="9"/>
      <c r="AG289" s="21">
        <v>1.3049299999999999</v>
      </c>
      <c r="AH289" s="21">
        <v>20.9941</v>
      </c>
      <c r="AI289" s="21">
        <v>-1.3809200000000001E-2</v>
      </c>
      <c r="AJ289" s="21">
        <v>279</v>
      </c>
      <c r="AK289" s="21">
        <v>1.3043199999999999</v>
      </c>
      <c r="AL289">
        <f t="shared" si="54"/>
        <v>17.048395061728392</v>
      </c>
      <c r="AM289">
        <f t="shared" si="55"/>
        <v>22.246962167901231</v>
      </c>
      <c r="AP289" s="9"/>
      <c r="AQ289" s="21">
        <v>0.365143</v>
      </c>
      <c r="AR289" s="21">
        <v>26.436599999999999</v>
      </c>
      <c r="AS289" s="21">
        <v>-1.4938399999999999E-2</v>
      </c>
      <c r="AT289" s="21">
        <v>279</v>
      </c>
      <c r="AU289" s="21">
        <v>0.36456300000000003</v>
      </c>
      <c r="AV289">
        <f t="shared" si="56"/>
        <v>18.442469135802465</v>
      </c>
      <c r="AW289">
        <f t="shared" si="57"/>
        <v>6.7341385076543192</v>
      </c>
      <c r="AX289" s="9"/>
      <c r="AY289" s="21">
        <v>1.3049299999999999</v>
      </c>
      <c r="AZ289" s="21">
        <v>30.1953</v>
      </c>
      <c r="BA289" s="21">
        <v>-1.3809200000000001E-2</v>
      </c>
      <c r="BB289" s="21">
        <v>279</v>
      </c>
      <c r="BC289" s="21">
        <v>1.30463</v>
      </c>
      <c r="BD289">
        <f t="shared" si="58"/>
        <v>17.048395061728392</v>
      </c>
      <c r="BE289">
        <f t="shared" si="59"/>
        <v>22.246962167901231</v>
      </c>
    </row>
    <row r="290" spans="6:57" x14ac:dyDescent="0.25">
      <c r="F290" s="9"/>
      <c r="G290" s="21">
        <v>0.36010700000000001</v>
      </c>
      <c r="H290" s="21">
        <v>8.0191999999999997</v>
      </c>
      <c r="I290" s="21">
        <v>-1.48773E-2</v>
      </c>
      <c r="J290" s="21">
        <v>280</v>
      </c>
      <c r="K290" s="21">
        <v>0.35961900000000002</v>
      </c>
      <c r="L290">
        <f t="shared" si="48"/>
        <v>18.367037037037036</v>
      </c>
      <c r="M290">
        <f t="shared" si="49"/>
        <v>6.6140986062962961</v>
      </c>
      <c r="N290" s="9"/>
      <c r="O290" s="21">
        <v>1.3099700000000001</v>
      </c>
      <c r="P290" s="21">
        <v>11.778</v>
      </c>
      <c r="Q290" s="21">
        <v>-1.37482E-2</v>
      </c>
      <c r="R290" s="21">
        <v>280</v>
      </c>
      <c r="S290" s="21">
        <v>1.30951</v>
      </c>
      <c r="T290">
        <f t="shared" si="50"/>
        <v>16.973086419753084</v>
      </c>
      <c r="U290">
        <f t="shared" si="51"/>
        <v>22.234234017283949</v>
      </c>
      <c r="X290" s="9"/>
      <c r="Y290" s="21">
        <v>0.36010700000000001</v>
      </c>
      <c r="Z290" s="21">
        <v>17.2454</v>
      </c>
      <c r="AA290" s="21">
        <v>-1.49353E-2</v>
      </c>
      <c r="AB290" s="21">
        <v>280</v>
      </c>
      <c r="AC290" s="21">
        <v>0.35955799999999999</v>
      </c>
      <c r="AD290">
        <f t="shared" si="52"/>
        <v>18.438641975308641</v>
      </c>
      <c r="AE290">
        <f t="shared" si="53"/>
        <v>6.6398840458024688</v>
      </c>
      <c r="AF290" s="9"/>
      <c r="AG290" s="21">
        <v>1.3099700000000001</v>
      </c>
      <c r="AH290" s="21">
        <v>21.004200000000001</v>
      </c>
      <c r="AI290" s="21">
        <v>-1.37848E-2</v>
      </c>
      <c r="AJ290" s="21">
        <v>280</v>
      </c>
      <c r="AK290" s="21">
        <v>1.3091999999999999</v>
      </c>
      <c r="AL290">
        <f t="shared" si="54"/>
        <v>17.018271604938271</v>
      </c>
      <c r="AM290">
        <f t="shared" si="55"/>
        <v>22.293425254320987</v>
      </c>
      <c r="AP290" s="9"/>
      <c r="AQ290" s="21">
        <v>0.36010700000000001</v>
      </c>
      <c r="AR290" s="21">
        <v>26.4466</v>
      </c>
      <c r="AS290" s="21">
        <v>-1.4938399999999999E-2</v>
      </c>
      <c r="AT290" s="21">
        <v>280</v>
      </c>
      <c r="AU290" s="21">
        <v>0.35952800000000001</v>
      </c>
      <c r="AV290">
        <f t="shared" si="56"/>
        <v>18.442469135802465</v>
      </c>
      <c r="AW290">
        <f t="shared" si="57"/>
        <v>6.6412622330864188</v>
      </c>
      <c r="AX290" s="9"/>
      <c r="AY290" s="21">
        <v>1.3099700000000001</v>
      </c>
      <c r="AZ290" s="21">
        <v>30.205400000000001</v>
      </c>
      <c r="BA290" s="21">
        <v>-1.37848E-2</v>
      </c>
      <c r="BB290" s="21">
        <v>280</v>
      </c>
      <c r="BC290" s="21">
        <v>1.3098099999999999</v>
      </c>
      <c r="BD290">
        <f t="shared" si="58"/>
        <v>17.018271604938271</v>
      </c>
      <c r="BE290">
        <f t="shared" si="59"/>
        <v>22.293425254320987</v>
      </c>
    </row>
    <row r="291" spans="6:57" x14ac:dyDescent="0.25">
      <c r="F291" s="9"/>
      <c r="G291" s="21">
        <v>0.355072</v>
      </c>
      <c r="H291" s="21">
        <v>8.0292700000000004</v>
      </c>
      <c r="I291" s="21">
        <v>-1.48773E-2</v>
      </c>
      <c r="J291" s="21">
        <v>281</v>
      </c>
      <c r="K291" s="21">
        <v>0.35437000000000002</v>
      </c>
      <c r="L291">
        <f t="shared" si="48"/>
        <v>18.367037037037036</v>
      </c>
      <c r="M291">
        <f t="shared" si="49"/>
        <v>6.5216205748148148</v>
      </c>
      <c r="N291" s="9"/>
      <c r="O291" s="21">
        <v>1.3149999999999999</v>
      </c>
      <c r="P291" s="21">
        <v>11.788</v>
      </c>
      <c r="Q291" s="21">
        <v>-1.3732899999999999E-2</v>
      </c>
      <c r="R291" s="21">
        <v>281</v>
      </c>
      <c r="S291" s="21">
        <v>1.31409</v>
      </c>
      <c r="T291">
        <f t="shared" si="50"/>
        <v>16.954197530864196</v>
      </c>
      <c r="U291">
        <f t="shared" si="51"/>
        <v>22.294769753086417</v>
      </c>
      <c r="X291" s="9"/>
      <c r="Y291" s="21">
        <v>0.355072</v>
      </c>
      <c r="Z291" s="21">
        <v>17.255500000000001</v>
      </c>
      <c r="AA291" s="21">
        <v>-1.4944499999999999E-2</v>
      </c>
      <c r="AB291" s="21">
        <v>281</v>
      </c>
      <c r="AC291" s="21">
        <v>0.35455300000000001</v>
      </c>
      <c r="AD291">
        <f t="shared" si="52"/>
        <v>18.45</v>
      </c>
      <c r="AE291">
        <f t="shared" si="53"/>
        <v>6.5510783999999997</v>
      </c>
      <c r="AF291" s="9"/>
      <c r="AG291" s="21">
        <v>1.3149999999999999</v>
      </c>
      <c r="AH291" s="21">
        <v>21.014199999999999</v>
      </c>
      <c r="AI291" s="21">
        <v>-1.3766499999999999E-2</v>
      </c>
      <c r="AJ291" s="21">
        <v>281</v>
      </c>
      <c r="AK291" s="21">
        <v>1.3143899999999999</v>
      </c>
      <c r="AL291">
        <f t="shared" si="54"/>
        <v>16.995679012345676</v>
      </c>
      <c r="AM291">
        <f t="shared" si="55"/>
        <v>22.349317901234564</v>
      </c>
      <c r="AP291" s="9"/>
      <c r="AQ291" s="21">
        <v>0.355072</v>
      </c>
      <c r="AR291" s="21">
        <v>26.456700000000001</v>
      </c>
      <c r="AS291" s="21">
        <v>-1.4941400000000001E-2</v>
      </c>
      <c r="AT291" s="21">
        <v>281</v>
      </c>
      <c r="AU291" s="21">
        <v>0.35440100000000002</v>
      </c>
      <c r="AV291">
        <f t="shared" si="56"/>
        <v>18.446172839506172</v>
      </c>
      <c r="AW291">
        <f t="shared" si="57"/>
        <v>6.5497194824691354</v>
      </c>
      <c r="AX291" s="9"/>
      <c r="AY291" s="21">
        <v>1.3149999999999999</v>
      </c>
      <c r="AZ291" s="21">
        <v>30.215499999999999</v>
      </c>
      <c r="BA291" s="21">
        <v>-1.37695E-2</v>
      </c>
      <c r="BB291" s="21">
        <v>281</v>
      </c>
      <c r="BC291" s="21">
        <v>1.31409</v>
      </c>
      <c r="BD291">
        <f t="shared" si="58"/>
        <v>16.999382716049382</v>
      </c>
      <c r="BE291">
        <f t="shared" si="59"/>
        <v>22.354188271604936</v>
      </c>
    </row>
    <row r="292" spans="6:57" x14ac:dyDescent="0.25">
      <c r="F292" s="9"/>
      <c r="G292" s="21">
        <v>0.35003699999999999</v>
      </c>
      <c r="H292" s="21">
        <v>8.0393399999999993</v>
      </c>
      <c r="I292" s="21">
        <v>-1.48865E-2</v>
      </c>
      <c r="J292" s="21">
        <v>282</v>
      </c>
      <c r="K292" s="21">
        <v>0.34942600000000001</v>
      </c>
      <c r="L292">
        <f t="shared" si="48"/>
        <v>18.378395061728394</v>
      </c>
      <c r="M292">
        <f t="shared" si="49"/>
        <v>6.433118272222222</v>
      </c>
      <c r="N292" s="9"/>
      <c r="O292" s="21">
        <v>1.3200400000000001</v>
      </c>
      <c r="P292" s="21">
        <v>11.7981</v>
      </c>
      <c r="Q292" s="21">
        <v>-1.37115E-2</v>
      </c>
      <c r="R292" s="21">
        <v>282</v>
      </c>
      <c r="S292" s="21">
        <v>1.3192699999999999</v>
      </c>
      <c r="T292">
        <f t="shared" si="50"/>
        <v>16.927777777777777</v>
      </c>
      <c r="U292">
        <f t="shared" si="51"/>
        <v>22.345343777777778</v>
      </c>
      <c r="X292" s="9"/>
      <c r="Y292" s="21">
        <v>0.35003699999999999</v>
      </c>
      <c r="Z292" s="21">
        <v>17.265599999999999</v>
      </c>
      <c r="AA292" s="21">
        <v>-1.4947500000000001E-2</v>
      </c>
      <c r="AB292" s="21">
        <v>282</v>
      </c>
      <c r="AC292" s="21">
        <v>0.34957899999999997</v>
      </c>
      <c r="AD292">
        <f t="shared" si="52"/>
        <v>18.453703703703706</v>
      </c>
      <c r="AE292">
        <f t="shared" si="53"/>
        <v>6.459479083333334</v>
      </c>
      <c r="AF292" s="9"/>
      <c r="AG292" s="21">
        <v>1.3200400000000001</v>
      </c>
      <c r="AH292" s="21">
        <v>21.0243</v>
      </c>
      <c r="AI292" s="21">
        <v>-1.37482E-2</v>
      </c>
      <c r="AJ292" s="21">
        <v>282</v>
      </c>
      <c r="AK292" s="21">
        <v>1.3192699999999999</v>
      </c>
      <c r="AL292">
        <f t="shared" si="54"/>
        <v>16.973086419753084</v>
      </c>
      <c r="AM292">
        <f t="shared" si="55"/>
        <v>22.405152997530863</v>
      </c>
      <c r="AP292" s="9"/>
      <c r="AQ292" s="21">
        <v>0.35003699999999999</v>
      </c>
      <c r="AR292" s="21">
        <v>26.466799999999999</v>
      </c>
      <c r="AS292" s="21">
        <v>-1.4941400000000001E-2</v>
      </c>
      <c r="AT292" s="21">
        <v>282</v>
      </c>
      <c r="AU292" s="21">
        <v>0.34939599999999998</v>
      </c>
      <c r="AV292">
        <f t="shared" si="56"/>
        <v>18.446172839506172</v>
      </c>
      <c r="AW292">
        <f t="shared" si="57"/>
        <v>6.4568430022222216</v>
      </c>
      <c r="AX292" s="9"/>
      <c r="AY292" s="21">
        <v>1.3200400000000001</v>
      </c>
      <c r="AZ292" s="21">
        <v>30.2256</v>
      </c>
      <c r="BA292" s="21">
        <v>-1.3754300000000001E-2</v>
      </c>
      <c r="BB292" s="21">
        <v>282</v>
      </c>
      <c r="BC292" s="21">
        <v>1.31897</v>
      </c>
      <c r="BD292">
        <f t="shared" si="58"/>
        <v>16.980617283950615</v>
      </c>
      <c r="BE292">
        <f t="shared" si="59"/>
        <v>22.415094039506172</v>
      </c>
    </row>
    <row r="293" spans="6:57" x14ac:dyDescent="0.25">
      <c r="F293" s="9"/>
      <c r="G293" s="21">
        <v>0.345001</v>
      </c>
      <c r="H293" s="21">
        <v>8.0494199999999996</v>
      </c>
      <c r="I293" s="21">
        <v>-1.48895E-2</v>
      </c>
      <c r="J293" s="21">
        <v>283</v>
      </c>
      <c r="K293" s="21">
        <v>0.344391</v>
      </c>
      <c r="L293">
        <f t="shared" si="48"/>
        <v>18.382098765432101</v>
      </c>
      <c r="M293">
        <f t="shared" si="49"/>
        <v>6.3418424561728406</v>
      </c>
      <c r="N293" s="9"/>
      <c r="O293" s="21">
        <v>1.32507</v>
      </c>
      <c r="P293" s="21">
        <v>11.808199999999999</v>
      </c>
      <c r="Q293" s="21">
        <v>-1.36902E-2</v>
      </c>
      <c r="R293" s="21">
        <v>283</v>
      </c>
      <c r="S293" s="21">
        <v>1.32477</v>
      </c>
      <c r="T293">
        <f t="shared" si="50"/>
        <v>16.901481481481479</v>
      </c>
      <c r="U293">
        <f t="shared" si="51"/>
        <v>22.395646066666664</v>
      </c>
      <c r="X293" s="9"/>
      <c r="Y293" s="21">
        <v>0.345001</v>
      </c>
      <c r="Z293" s="21">
        <v>17.275600000000001</v>
      </c>
      <c r="AA293" s="21">
        <v>-1.4947500000000001E-2</v>
      </c>
      <c r="AB293" s="21">
        <v>283</v>
      </c>
      <c r="AC293" s="21">
        <v>0.34436</v>
      </c>
      <c r="AD293">
        <f t="shared" si="52"/>
        <v>18.453703703703706</v>
      </c>
      <c r="AE293">
        <f t="shared" si="53"/>
        <v>6.3665462314814825</v>
      </c>
      <c r="AF293" s="9"/>
      <c r="AG293" s="21">
        <v>1.32507</v>
      </c>
      <c r="AH293" s="21">
        <v>21.034400000000002</v>
      </c>
      <c r="AI293" s="21">
        <v>-1.3726800000000001E-2</v>
      </c>
      <c r="AJ293" s="21">
        <v>283</v>
      </c>
      <c r="AK293" s="21">
        <v>1.32446</v>
      </c>
      <c r="AL293">
        <f t="shared" si="54"/>
        <v>16.946666666666665</v>
      </c>
      <c r="AM293">
        <f t="shared" si="55"/>
        <v>22.455519599999999</v>
      </c>
      <c r="AP293" s="9"/>
      <c r="AQ293" s="21">
        <v>0.345001</v>
      </c>
      <c r="AR293" s="21">
        <v>26.476900000000001</v>
      </c>
      <c r="AS293" s="21">
        <v>-1.4944499999999999E-2</v>
      </c>
      <c r="AT293" s="21">
        <v>283</v>
      </c>
      <c r="AU293" s="21">
        <v>0.344391</v>
      </c>
      <c r="AV293">
        <f t="shared" si="56"/>
        <v>18.45</v>
      </c>
      <c r="AW293">
        <f t="shared" si="57"/>
        <v>6.3652684499999994</v>
      </c>
      <c r="AX293" s="9"/>
      <c r="AY293" s="21">
        <v>1.32507</v>
      </c>
      <c r="AZ293" s="21">
        <v>30.235600000000002</v>
      </c>
      <c r="BA293" s="21">
        <v>-1.37421E-2</v>
      </c>
      <c r="BB293" s="21">
        <v>283</v>
      </c>
      <c r="BC293" s="21">
        <v>1.32416</v>
      </c>
      <c r="BD293">
        <f t="shared" si="58"/>
        <v>16.965555555555554</v>
      </c>
      <c r="BE293">
        <f t="shared" si="59"/>
        <v>22.480548699999996</v>
      </c>
    </row>
    <row r="294" spans="6:57" x14ac:dyDescent="0.25">
      <c r="F294" s="9"/>
      <c r="G294" s="21">
        <v>0.33996599999999999</v>
      </c>
      <c r="H294" s="21">
        <v>8.0594900000000003</v>
      </c>
      <c r="I294" s="21">
        <v>-1.4904799999999999E-2</v>
      </c>
      <c r="J294" s="21">
        <v>284</v>
      </c>
      <c r="K294" s="21">
        <v>0.33926400000000001</v>
      </c>
      <c r="L294">
        <f t="shared" si="48"/>
        <v>18.400987654320986</v>
      </c>
      <c r="M294">
        <f t="shared" si="49"/>
        <v>6.2557101688888883</v>
      </c>
      <c r="N294" s="9"/>
      <c r="O294" s="21">
        <v>1.3301099999999999</v>
      </c>
      <c r="P294" s="21">
        <v>11.818300000000001</v>
      </c>
      <c r="Q294" s="21">
        <v>-1.3671900000000001E-2</v>
      </c>
      <c r="R294" s="21">
        <v>284</v>
      </c>
      <c r="S294" s="21">
        <v>1.32965</v>
      </c>
      <c r="T294">
        <f t="shared" si="50"/>
        <v>16.878888888888888</v>
      </c>
      <c r="U294">
        <f t="shared" si="51"/>
        <v>22.450778899999996</v>
      </c>
      <c r="X294" s="9"/>
      <c r="Y294" s="21">
        <v>0.33996599999999999</v>
      </c>
      <c r="Z294" s="21">
        <v>17.285699999999999</v>
      </c>
      <c r="AA294" s="21">
        <v>-1.49567E-2</v>
      </c>
      <c r="AB294" s="21">
        <v>284</v>
      </c>
      <c r="AC294" s="21">
        <v>0.33938600000000002</v>
      </c>
      <c r="AD294">
        <f t="shared" si="52"/>
        <v>18.46506172839506</v>
      </c>
      <c r="AE294">
        <f t="shared" si="53"/>
        <v>6.2774931755555547</v>
      </c>
      <c r="AF294" s="9"/>
      <c r="AG294" s="21">
        <v>1.3301099999999999</v>
      </c>
      <c r="AH294" s="21">
        <v>21.044499999999999</v>
      </c>
      <c r="AI294" s="21">
        <v>-1.37024E-2</v>
      </c>
      <c r="AJ294" s="21">
        <v>284</v>
      </c>
      <c r="AK294" s="21">
        <v>1.32904</v>
      </c>
      <c r="AL294">
        <f t="shared" si="54"/>
        <v>16.916543209876544</v>
      </c>
      <c r="AM294">
        <f t="shared" si="55"/>
        <v>22.500863288888887</v>
      </c>
      <c r="AP294" s="9"/>
      <c r="AQ294" s="21">
        <v>0.33996599999999999</v>
      </c>
      <c r="AR294" s="21">
        <v>26.486899999999999</v>
      </c>
      <c r="AS294" s="21">
        <v>-1.4938399999999999E-2</v>
      </c>
      <c r="AT294" s="21">
        <v>284</v>
      </c>
      <c r="AU294" s="21">
        <v>0.33941700000000002</v>
      </c>
      <c r="AV294">
        <f t="shared" si="56"/>
        <v>18.442469135802465</v>
      </c>
      <c r="AW294">
        <f t="shared" si="57"/>
        <v>6.2698124622222204</v>
      </c>
      <c r="AX294" s="9"/>
      <c r="AY294" s="21">
        <v>1.3301099999999999</v>
      </c>
      <c r="AZ294" s="21">
        <v>30.245699999999999</v>
      </c>
      <c r="BA294" s="21">
        <v>-1.37238E-2</v>
      </c>
      <c r="BB294" s="21">
        <v>284</v>
      </c>
      <c r="BC294" s="21">
        <v>1.33026</v>
      </c>
      <c r="BD294">
        <f t="shared" si="58"/>
        <v>16.942962962962962</v>
      </c>
      <c r="BE294">
        <f t="shared" si="59"/>
        <v>22.536004466666665</v>
      </c>
    </row>
    <row r="295" spans="6:57" x14ac:dyDescent="0.25">
      <c r="F295" s="9"/>
      <c r="G295" s="21">
        <v>0.33493000000000001</v>
      </c>
      <c r="H295" s="21">
        <v>8.0695599999999992</v>
      </c>
      <c r="I295" s="21">
        <v>-1.4913900000000001E-2</v>
      </c>
      <c r="J295" s="21">
        <v>285</v>
      </c>
      <c r="K295" s="21">
        <v>0.33438099999999998</v>
      </c>
      <c r="L295">
        <f t="shared" si="48"/>
        <v>18.412222222222223</v>
      </c>
      <c r="M295">
        <f t="shared" si="49"/>
        <v>6.1668055888888889</v>
      </c>
      <c r="N295" s="9"/>
      <c r="O295" s="21">
        <v>1.33514</v>
      </c>
      <c r="P295" s="21">
        <v>11.8283</v>
      </c>
      <c r="Q295" s="21">
        <v>-1.3650499999999999E-2</v>
      </c>
      <c r="R295" s="21">
        <v>285</v>
      </c>
      <c r="S295" s="21">
        <v>1.33392</v>
      </c>
      <c r="T295">
        <f t="shared" si="50"/>
        <v>16.852469135802469</v>
      </c>
      <c r="U295">
        <f t="shared" si="51"/>
        <v>22.500405641975309</v>
      </c>
      <c r="X295" s="9"/>
      <c r="Y295" s="21">
        <v>0.33493000000000001</v>
      </c>
      <c r="Z295" s="21">
        <v>17.2958</v>
      </c>
      <c r="AA295" s="21">
        <v>-1.4959699999999999E-2</v>
      </c>
      <c r="AB295" s="21">
        <v>285</v>
      </c>
      <c r="AC295" s="21">
        <v>0.33432000000000001</v>
      </c>
      <c r="AD295">
        <f t="shared" si="52"/>
        <v>18.468765432098763</v>
      </c>
      <c r="AE295">
        <f t="shared" si="53"/>
        <v>6.1857436061728386</v>
      </c>
      <c r="AF295" s="9"/>
      <c r="AG295" s="21">
        <v>1.33514</v>
      </c>
      <c r="AH295" s="21">
        <v>21.054500000000001</v>
      </c>
      <c r="AI295" s="21">
        <v>-1.3681E-2</v>
      </c>
      <c r="AJ295" s="21">
        <v>285</v>
      </c>
      <c r="AK295" s="21">
        <v>1.33423</v>
      </c>
      <c r="AL295">
        <f t="shared" si="54"/>
        <v>16.890123456790121</v>
      </c>
      <c r="AM295">
        <f t="shared" si="55"/>
        <v>22.550679432098761</v>
      </c>
      <c r="AP295" s="9"/>
      <c r="AQ295" s="21">
        <v>0.33493000000000001</v>
      </c>
      <c r="AR295" s="21">
        <v>26.497</v>
      </c>
      <c r="AS295" s="21">
        <v>-1.4938399999999999E-2</v>
      </c>
      <c r="AT295" s="21">
        <v>285</v>
      </c>
      <c r="AU295" s="21">
        <v>0.33435100000000001</v>
      </c>
      <c r="AV295">
        <f t="shared" si="56"/>
        <v>18.442469135802465</v>
      </c>
      <c r="AW295">
        <f t="shared" si="57"/>
        <v>6.1769361876543201</v>
      </c>
      <c r="AX295" s="9"/>
      <c r="AY295" s="21">
        <v>1.33514</v>
      </c>
      <c r="AZ295" s="21">
        <v>30.255800000000001</v>
      </c>
      <c r="BA295" s="21">
        <v>-1.3699299999999999E-2</v>
      </c>
      <c r="BB295" s="21">
        <v>285</v>
      </c>
      <c r="BC295" s="21">
        <v>1.33423</v>
      </c>
      <c r="BD295">
        <f t="shared" si="58"/>
        <v>16.912716049382716</v>
      </c>
      <c r="BE295">
        <f t="shared" si="59"/>
        <v>22.580843706172839</v>
      </c>
    </row>
    <row r="296" spans="6:57" x14ac:dyDescent="0.25">
      <c r="F296" s="9"/>
      <c r="G296" s="21">
        <v>0.32989499999999999</v>
      </c>
      <c r="H296" s="21">
        <v>8.0796299999999999</v>
      </c>
      <c r="I296" s="21">
        <v>-1.4926099999999999E-2</v>
      </c>
      <c r="J296" s="21">
        <v>286</v>
      </c>
      <c r="K296" s="21">
        <v>0.32925399999999999</v>
      </c>
      <c r="L296">
        <f t="shared" si="48"/>
        <v>18.427283950617284</v>
      </c>
      <c r="M296">
        <f t="shared" si="49"/>
        <v>6.0790688388888885</v>
      </c>
      <c r="N296" s="9"/>
      <c r="O296" s="21">
        <v>1.3401799999999999</v>
      </c>
      <c r="P296" s="21">
        <v>11.8384</v>
      </c>
      <c r="Q296" s="21">
        <v>-1.36261E-2</v>
      </c>
      <c r="R296" s="21">
        <v>286</v>
      </c>
      <c r="S296" s="21">
        <v>1.3385</v>
      </c>
      <c r="T296">
        <f t="shared" si="50"/>
        <v>16.822345679012344</v>
      </c>
      <c r="U296">
        <f t="shared" si="51"/>
        <v>22.54497123209876</v>
      </c>
      <c r="X296" s="9"/>
      <c r="Y296" s="21">
        <v>0.32989499999999999</v>
      </c>
      <c r="Z296" s="21">
        <v>17.305800000000001</v>
      </c>
      <c r="AA296" s="21">
        <v>-1.49567E-2</v>
      </c>
      <c r="AB296" s="21">
        <v>286</v>
      </c>
      <c r="AC296" s="21">
        <v>0.32931500000000002</v>
      </c>
      <c r="AD296">
        <f t="shared" si="52"/>
        <v>18.46506172839506</v>
      </c>
      <c r="AE296">
        <f t="shared" si="53"/>
        <v>6.091531538888888</v>
      </c>
      <c r="AF296" s="9"/>
      <c r="AG296" s="21">
        <v>1.3401799999999999</v>
      </c>
      <c r="AH296" s="21">
        <v>21.064599999999999</v>
      </c>
      <c r="AI296" s="21">
        <v>-1.36566E-2</v>
      </c>
      <c r="AJ296" s="21">
        <v>286</v>
      </c>
      <c r="AK296" s="21">
        <v>1.3394200000000001</v>
      </c>
      <c r="AL296">
        <f t="shared" si="54"/>
        <v>16.86</v>
      </c>
      <c r="AM296">
        <f t="shared" si="55"/>
        <v>22.5954348</v>
      </c>
      <c r="AP296" s="9"/>
      <c r="AQ296" s="21">
        <v>0.32989499999999999</v>
      </c>
      <c r="AR296" s="21">
        <v>26.507100000000001</v>
      </c>
      <c r="AS296" s="21">
        <v>-1.4941400000000001E-2</v>
      </c>
      <c r="AT296" s="21">
        <v>286</v>
      </c>
      <c r="AU296" s="21">
        <v>0.32940700000000001</v>
      </c>
      <c r="AV296">
        <f t="shared" si="56"/>
        <v>18.446172839506172</v>
      </c>
      <c r="AW296">
        <f t="shared" si="57"/>
        <v>6.0853001888888887</v>
      </c>
      <c r="AX296" s="9"/>
      <c r="AY296" s="21">
        <v>1.3401799999999999</v>
      </c>
      <c r="AZ296" s="21">
        <v>30.265799999999999</v>
      </c>
      <c r="BA296" s="21">
        <v>-1.3665800000000001E-2</v>
      </c>
      <c r="BB296" s="21">
        <v>286</v>
      </c>
      <c r="BC296" s="21">
        <v>1.33911</v>
      </c>
      <c r="BD296">
        <f t="shared" si="58"/>
        <v>16.871358024691357</v>
      </c>
      <c r="BE296">
        <f t="shared" si="59"/>
        <v>22.610656597530863</v>
      </c>
    </row>
    <row r="297" spans="6:57" x14ac:dyDescent="0.25">
      <c r="F297" s="9"/>
      <c r="G297" s="21">
        <v>0.32485999999999998</v>
      </c>
      <c r="H297" s="21">
        <v>8.0897000000000006</v>
      </c>
      <c r="I297" s="21">
        <v>-1.4926099999999999E-2</v>
      </c>
      <c r="J297" s="21">
        <v>287</v>
      </c>
      <c r="K297" s="21">
        <v>0.32421899999999998</v>
      </c>
      <c r="L297">
        <f t="shared" si="48"/>
        <v>18.427283950617284</v>
      </c>
      <c r="M297">
        <f t="shared" si="49"/>
        <v>5.9862874641975301</v>
      </c>
      <c r="N297" s="9"/>
      <c r="O297" s="21">
        <v>1.34521</v>
      </c>
      <c r="P297" s="21">
        <v>11.8485</v>
      </c>
      <c r="Q297" s="21">
        <v>-1.3604700000000001E-2</v>
      </c>
      <c r="R297" s="21">
        <v>287</v>
      </c>
      <c r="S297" s="21">
        <v>1.3443000000000001</v>
      </c>
      <c r="T297">
        <f t="shared" si="50"/>
        <v>16.795925925925925</v>
      </c>
      <c r="U297">
        <f t="shared" si="51"/>
        <v>22.594047514814815</v>
      </c>
      <c r="X297" s="9"/>
      <c r="Y297" s="21">
        <v>0.32485999999999998</v>
      </c>
      <c r="Z297" s="21">
        <v>17.315899999999999</v>
      </c>
      <c r="AA297" s="21">
        <v>-1.4959699999999999E-2</v>
      </c>
      <c r="AB297" s="21">
        <v>287</v>
      </c>
      <c r="AC297" s="21">
        <v>0.32424900000000001</v>
      </c>
      <c r="AD297">
        <f t="shared" si="52"/>
        <v>18.468765432098763</v>
      </c>
      <c r="AE297">
        <f t="shared" si="53"/>
        <v>5.9997631382716037</v>
      </c>
      <c r="AF297" s="9"/>
      <c r="AG297" s="21">
        <v>1.34521</v>
      </c>
      <c r="AH297" s="21">
        <v>21.0747</v>
      </c>
      <c r="AI297" s="21">
        <v>-1.36353E-2</v>
      </c>
      <c r="AJ297" s="21">
        <v>287</v>
      </c>
      <c r="AK297" s="21">
        <v>1.3446</v>
      </c>
      <c r="AL297">
        <f t="shared" si="54"/>
        <v>16.833703703703701</v>
      </c>
      <c r="AM297">
        <f t="shared" si="55"/>
        <v>22.644866559259256</v>
      </c>
      <c r="AP297" s="9"/>
      <c r="AQ297" s="21">
        <v>0.32485999999999998</v>
      </c>
      <c r="AR297" s="21">
        <v>26.517099999999999</v>
      </c>
      <c r="AS297" s="21">
        <v>-1.4944499999999999E-2</v>
      </c>
      <c r="AT297" s="21">
        <v>287</v>
      </c>
      <c r="AU297" s="21">
        <v>0.324127</v>
      </c>
      <c r="AV297">
        <f t="shared" si="56"/>
        <v>18.45</v>
      </c>
      <c r="AW297">
        <f t="shared" si="57"/>
        <v>5.9936669999999994</v>
      </c>
      <c r="AX297" s="9"/>
      <c r="AY297" s="21">
        <v>1.34521</v>
      </c>
      <c r="AZ297" s="21">
        <v>30.2759</v>
      </c>
      <c r="BA297" s="21">
        <v>-1.3644399999999999E-2</v>
      </c>
      <c r="BB297" s="21">
        <v>287</v>
      </c>
      <c r="BC297" s="21">
        <v>1.3443000000000001</v>
      </c>
      <c r="BD297">
        <f t="shared" si="58"/>
        <v>16.844938271604939</v>
      </c>
      <c r="BE297">
        <f t="shared" si="59"/>
        <v>22.659979412345681</v>
      </c>
    </row>
    <row r="298" spans="6:57" x14ac:dyDescent="0.25">
      <c r="F298" s="9"/>
      <c r="G298" s="21">
        <v>0.319824</v>
      </c>
      <c r="H298" s="21">
        <v>8.0997699999999995</v>
      </c>
      <c r="I298" s="21">
        <v>-1.4926099999999999E-2</v>
      </c>
      <c r="J298" s="21">
        <v>288</v>
      </c>
      <c r="K298" s="21">
        <v>0.31915300000000002</v>
      </c>
      <c r="L298">
        <f t="shared" si="48"/>
        <v>18.427283950617284</v>
      </c>
      <c r="M298">
        <f t="shared" si="49"/>
        <v>5.8934876622222223</v>
      </c>
      <c r="N298" s="9"/>
      <c r="O298" s="21">
        <v>1.35025</v>
      </c>
      <c r="P298" s="21">
        <v>11.858499999999999</v>
      </c>
      <c r="Q298" s="21">
        <v>-1.3583400000000001E-2</v>
      </c>
      <c r="R298" s="21">
        <v>288</v>
      </c>
      <c r="S298" s="21">
        <v>1.34918</v>
      </c>
      <c r="T298">
        <f t="shared" si="50"/>
        <v>16.76962962962963</v>
      </c>
      <c r="U298">
        <f t="shared" si="51"/>
        <v>22.643192407407408</v>
      </c>
      <c r="X298" s="9"/>
      <c r="Y298" s="21">
        <v>0.319824</v>
      </c>
      <c r="Z298" s="21">
        <v>17.326000000000001</v>
      </c>
      <c r="AA298" s="21">
        <v>-1.49689E-2</v>
      </c>
      <c r="AB298" s="21">
        <v>288</v>
      </c>
      <c r="AC298" s="21">
        <v>0.319214</v>
      </c>
      <c r="AD298">
        <f t="shared" si="52"/>
        <v>18.480123456790125</v>
      </c>
      <c r="AE298">
        <f t="shared" si="53"/>
        <v>5.9103870044444449</v>
      </c>
      <c r="AF298" s="9"/>
      <c r="AG298" s="21">
        <v>1.35025</v>
      </c>
      <c r="AH298" s="21">
        <v>21.084700000000002</v>
      </c>
      <c r="AI298" s="21">
        <v>-1.36139E-2</v>
      </c>
      <c r="AJ298" s="21">
        <v>288</v>
      </c>
      <c r="AK298" s="21">
        <v>1.34979</v>
      </c>
      <c r="AL298">
        <f t="shared" si="54"/>
        <v>16.807283950617283</v>
      </c>
      <c r="AM298">
        <f t="shared" si="55"/>
        <v>22.694035154320986</v>
      </c>
      <c r="AP298" s="9"/>
      <c r="AQ298" s="21">
        <v>0.319824</v>
      </c>
      <c r="AR298" s="21">
        <v>26.527200000000001</v>
      </c>
      <c r="AS298" s="21">
        <v>-1.4944499999999999E-2</v>
      </c>
      <c r="AT298" s="21">
        <v>288</v>
      </c>
      <c r="AU298" s="21">
        <v>0.31912200000000002</v>
      </c>
      <c r="AV298">
        <f t="shared" si="56"/>
        <v>18.45</v>
      </c>
      <c r="AW298">
        <f t="shared" si="57"/>
        <v>5.9007527999999994</v>
      </c>
      <c r="AX298" s="9"/>
      <c r="AY298" s="21">
        <v>1.35025</v>
      </c>
      <c r="AZ298" s="21">
        <v>30.286000000000001</v>
      </c>
      <c r="BA298" s="21">
        <v>-1.3629199999999999E-2</v>
      </c>
      <c r="BB298" s="21">
        <v>288</v>
      </c>
      <c r="BC298" s="21">
        <v>1.3494900000000001</v>
      </c>
      <c r="BD298">
        <f t="shared" si="58"/>
        <v>16.826172839506171</v>
      </c>
      <c r="BE298">
        <f t="shared" si="59"/>
        <v>22.719539876543205</v>
      </c>
    </row>
    <row r="299" spans="6:57" x14ac:dyDescent="0.25">
      <c r="F299" s="9"/>
      <c r="G299" s="21">
        <v>0.31478899999999999</v>
      </c>
      <c r="H299" s="21">
        <v>8.1098400000000002</v>
      </c>
      <c r="I299" s="21">
        <v>-1.4926099999999999E-2</v>
      </c>
      <c r="J299" s="21">
        <v>289</v>
      </c>
      <c r="K299" s="21">
        <v>0.31417800000000001</v>
      </c>
      <c r="L299">
        <f t="shared" si="48"/>
        <v>18.427283950617284</v>
      </c>
      <c r="M299">
        <f t="shared" si="49"/>
        <v>5.8007062875308639</v>
      </c>
      <c r="N299" s="9"/>
      <c r="O299" s="21">
        <v>1.3552900000000001</v>
      </c>
      <c r="P299" s="21">
        <v>11.868600000000001</v>
      </c>
      <c r="Q299" s="21">
        <v>-1.3559E-2</v>
      </c>
      <c r="R299" s="21">
        <v>289</v>
      </c>
      <c r="S299" s="21">
        <v>1.3543700000000001</v>
      </c>
      <c r="T299">
        <f t="shared" si="50"/>
        <v>16.739506172839505</v>
      </c>
      <c r="U299">
        <f t="shared" si="51"/>
        <v>22.686885320987653</v>
      </c>
      <c r="X299" s="9"/>
      <c r="Y299" s="21">
        <v>0.31478899999999999</v>
      </c>
      <c r="Z299" s="21">
        <v>17.336099999999998</v>
      </c>
      <c r="AA299" s="21">
        <v>-1.4975E-2</v>
      </c>
      <c r="AB299" s="21">
        <v>289</v>
      </c>
      <c r="AC299" s="21">
        <v>0.31408700000000001</v>
      </c>
      <c r="AD299">
        <f t="shared" si="52"/>
        <v>18.487654320987652</v>
      </c>
      <c r="AE299">
        <f t="shared" si="53"/>
        <v>5.8197102160493817</v>
      </c>
      <c r="AF299" s="9"/>
      <c r="AG299" s="21">
        <v>1.3552900000000001</v>
      </c>
      <c r="AH299" s="21">
        <v>21.094799999999999</v>
      </c>
      <c r="AI299" s="21">
        <v>-1.3589499999999999E-2</v>
      </c>
      <c r="AJ299" s="21">
        <v>289</v>
      </c>
      <c r="AK299" s="21">
        <v>1.3546800000000001</v>
      </c>
      <c r="AL299">
        <f t="shared" si="54"/>
        <v>16.777160493827161</v>
      </c>
      <c r="AM299">
        <f t="shared" si="55"/>
        <v>22.737917845679014</v>
      </c>
      <c r="AP299" s="9"/>
      <c r="AQ299" s="21">
        <v>0.31478899999999999</v>
      </c>
      <c r="AR299" s="21">
        <v>26.537299999999998</v>
      </c>
      <c r="AS299" s="21">
        <v>-1.4932300000000001E-2</v>
      </c>
      <c r="AT299" s="21">
        <v>289</v>
      </c>
      <c r="AU299" s="21">
        <v>0.314301</v>
      </c>
      <c r="AV299">
        <f t="shared" si="56"/>
        <v>18.434938271604938</v>
      </c>
      <c r="AW299">
        <f t="shared" si="57"/>
        <v>5.8031157835802469</v>
      </c>
      <c r="AX299" s="9"/>
      <c r="AY299" s="21">
        <v>1.3552900000000001</v>
      </c>
      <c r="AZ299" s="21">
        <v>30.295999999999999</v>
      </c>
      <c r="BA299" s="21">
        <v>-1.36078E-2</v>
      </c>
      <c r="BB299" s="21">
        <v>289</v>
      </c>
      <c r="BC299" s="21">
        <v>1.35406</v>
      </c>
      <c r="BD299">
        <f t="shared" si="58"/>
        <v>16.799753086419752</v>
      </c>
      <c r="BE299">
        <f t="shared" si="59"/>
        <v>22.768537360493827</v>
      </c>
    </row>
    <row r="300" spans="6:57" x14ac:dyDescent="0.25">
      <c r="F300" s="9"/>
      <c r="G300" s="21">
        <v>0.309753</v>
      </c>
      <c r="H300" s="21">
        <v>8.1199100000000008</v>
      </c>
      <c r="I300" s="21">
        <v>-1.4926099999999999E-2</v>
      </c>
      <c r="J300" s="21">
        <v>290</v>
      </c>
      <c r="K300" s="21">
        <v>0.30911300000000003</v>
      </c>
      <c r="L300">
        <f t="shared" si="48"/>
        <v>18.427283950617284</v>
      </c>
      <c r="M300">
        <f t="shared" si="49"/>
        <v>5.7079064855555552</v>
      </c>
      <c r="N300" s="9"/>
      <c r="O300" s="21">
        <v>1.36032</v>
      </c>
      <c r="P300" s="21">
        <v>11.8787</v>
      </c>
      <c r="Q300" s="21">
        <v>-1.35345E-2</v>
      </c>
      <c r="R300" s="21">
        <v>290</v>
      </c>
      <c r="S300" s="21">
        <v>1.3589500000000001</v>
      </c>
      <c r="T300">
        <f t="shared" si="50"/>
        <v>16.709259259259255</v>
      </c>
      <c r="U300">
        <f t="shared" si="51"/>
        <v>22.72993955555555</v>
      </c>
      <c r="X300" s="9"/>
      <c r="Y300" s="21">
        <v>0.309753</v>
      </c>
      <c r="Z300" s="21">
        <v>17.3461</v>
      </c>
      <c r="AA300" s="21">
        <v>-1.4978E-2</v>
      </c>
      <c r="AB300" s="21">
        <v>290</v>
      </c>
      <c r="AC300" s="21">
        <v>0.30911300000000003</v>
      </c>
      <c r="AD300">
        <f t="shared" si="52"/>
        <v>18.491358024691355</v>
      </c>
      <c r="AE300">
        <f t="shared" si="53"/>
        <v>5.7277536222222212</v>
      </c>
      <c r="AF300" s="9"/>
      <c r="AG300" s="21">
        <v>1.36032</v>
      </c>
      <c r="AH300" s="21">
        <v>21.104900000000001</v>
      </c>
      <c r="AI300" s="21">
        <v>-1.35681E-2</v>
      </c>
      <c r="AJ300" s="21">
        <v>290</v>
      </c>
      <c r="AK300" s="21">
        <v>1.3601700000000001</v>
      </c>
      <c r="AL300">
        <f t="shared" si="54"/>
        <v>16.750740740740738</v>
      </c>
      <c r="AM300">
        <f t="shared" si="55"/>
        <v>22.786367644444439</v>
      </c>
      <c r="AP300" s="9"/>
      <c r="AQ300" s="21">
        <v>0.309753</v>
      </c>
      <c r="AR300" s="21">
        <v>26.5474</v>
      </c>
      <c r="AS300" s="21">
        <v>-1.49353E-2</v>
      </c>
      <c r="AT300" s="21">
        <v>290</v>
      </c>
      <c r="AU300" s="21">
        <v>0.309143</v>
      </c>
      <c r="AV300">
        <f t="shared" si="56"/>
        <v>18.438641975308641</v>
      </c>
      <c r="AW300">
        <f t="shared" si="57"/>
        <v>5.711424667777778</v>
      </c>
      <c r="AX300" s="9"/>
      <c r="AY300" s="21">
        <v>1.36032</v>
      </c>
      <c r="AZ300" s="21">
        <v>30.306100000000001</v>
      </c>
      <c r="BA300" s="21">
        <v>-1.3589499999999999E-2</v>
      </c>
      <c r="BB300" s="21">
        <v>290</v>
      </c>
      <c r="BC300" s="21">
        <v>1.3589500000000001</v>
      </c>
      <c r="BD300">
        <f t="shared" si="58"/>
        <v>16.777160493827161</v>
      </c>
      <c r="BE300">
        <f t="shared" si="59"/>
        <v>22.822306962962962</v>
      </c>
    </row>
    <row r="301" spans="6:57" x14ac:dyDescent="0.25">
      <c r="F301" s="9"/>
      <c r="G301" s="21">
        <v>0.30471799999999999</v>
      </c>
      <c r="H301" s="21">
        <v>8.1299799999999998</v>
      </c>
      <c r="I301" s="21">
        <v>-1.49231E-2</v>
      </c>
      <c r="J301" s="21">
        <v>291</v>
      </c>
      <c r="K301" s="21">
        <v>0.30413800000000002</v>
      </c>
      <c r="L301">
        <f t="shared" si="48"/>
        <v>18.423580246913577</v>
      </c>
      <c r="M301">
        <f t="shared" si="49"/>
        <v>5.6139965256790108</v>
      </c>
      <c r="N301" s="9"/>
      <c r="O301" s="21">
        <v>1.3653599999999999</v>
      </c>
      <c r="P301" s="21">
        <v>11.8888</v>
      </c>
      <c r="Q301" s="21">
        <v>-1.3510100000000001E-2</v>
      </c>
      <c r="R301" s="21">
        <v>291</v>
      </c>
      <c r="S301" s="21">
        <v>1.3644400000000001</v>
      </c>
      <c r="T301">
        <f t="shared" si="50"/>
        <v>16.679135802469133</v>
      </c>
      <c r="U301">
        <f t="shared" si="51"/>
        <v>22.773024859259255</v>
      </c>
      <c r="X301" s="9"/>
      <c r="Y301" s="21">
        <v>0.30471799999999999</v>
      </c>
      <c r="Z301" s="21">
        <v>17.356200000000001</v>
      </c>
      <c r="AA301" s="21">
        <v>-1.4975E-2</v>
      </c>
      <c r="AB301" s="21">
        <v>291</v>
      </c>
      <c r="AC301" s="21">
        <v>0.30407699999999999</v>
      </c>
      <c r="AD301">
        <f t="shared" si="52"/>
        <v>18.487654320987652</v>
      </c>
      <c r="AE301">
        <f t="shared" si="53"/>
        <v>5.6335210493827148</v>
      </c>
      <c r="AF301" s="9"/>
      <c r="AG301" s="21">
        <v>1.3653599999999999</v>
      </c>
      <c r="AH301" s="21">
        <v>21.114999999999998</v>
      </c>
      <c r="AI301" s="21">
        <v>-1.35406E-2</v>
      </c>
      <c r="AJ301" s="21">
        <v>291</v>
      </c>
      <c r="AK301" s="21">
        <v>1.3650500000000001</v>
      </c>
      <c r="AL301">
        <f t="shared" si="54"/>
        <v>16.716790123456789</v>
      </c>
      <c r="AM301">
        <f t="shared" si="55"/>
        <v>22.824436562962962</v>
      </c>
      <c r="AP301" s="9"/>
      <c r="AQ301" s="21">
        <v>0.30471799999999999</v>
      </c>
      <c r="AR301" s="21">
        <v>26.557400000000001</v>
      </c>
      <c r="AS301" s="21">
        <v>-1.49353E-2</v>
      </c>
      <c r="AT301" s="21">
        <v>291</v>
      </c>
      <c r="AU301" s="21">
        <v>0.30407699999999999</v>
      </c>
      <c r="AV301">
        <f t="shared" si="56"/>
        <v>18.438641975308641</v>
      </c>
      <c r="AW301">
        <f t="shared" si="57"/>
        <v>5.6185861054320982</v>
      </c>
      <c r="AX301" s="9"/>
      <c r="AY301" s="21">
        <v>1.3653599999999999</v>
      </c>
      <c r="AZ301" s="21">
        <v>30.316199999999998</v>
      </c>
      <c r="BA301" s="21">
        <v>-1.35651E-2</v>
      </c>
      <c r="BB301" s="21">
        <v>291</v>
      </c>
      <c r="BC301" s="21">
        <v>1.3641399999999999</v>
      </c>
      <c r="BD301">
        <f t="shared" si="58"/>
        <v>16.747037037037035</v>
      </c>
      <c r="BE301">
        <f t="shared" si="59"/>
        <v>22.865734488888886</v>
      </c>
    </row>
    <row r="302" spans="6:57" x14ac:dyDescent="0.25">
      <c r="F302" s="9"/>
      <c r="G302" s="21">
        <v>0.29968299999999998</v>
      </c>
      <c r="H302" s="21">
        <v>8.1400500000000005</v>
      </c>
      <c r="I302" s="21">
        <v>-1.4926099999999999E-2</v>
      </c>
      <c r="J302" s="21">
        <v>292</v>
      </c>
      <c r="K302" s="21">
        <v>0.29910300000000001</v>
      </c>
      <c r="L302">
        <f t="shared" si="48"/>
        <v>18.427283950617284</v>
      </c>
      <c r="M302">
        <f t="shared" si="49"/>
        <v>5.5223437361728394</v>
      </c>
      <c r="N302" s="9"/>
      <c r="O302" s="21">
        <v>1.37039</v>
      </c>
      <c r="P302" s="21">
        <v>11.8988</v>
      </c>
      <c r="Q302" s="21">
        <v>-1.34888E-2</v>
      </c>
      <c r="R302" s="21">
        <v>292</v>
      </c>
      <c r="S302" s="21">
        <v>1.3699300000000001</v>
      </c>
      <c r="T302">
        <f t="shared" si="50"/>
        <v>16.652839506172839</v>
      </c>
      <c r="U302">
        <f t="shared" si="51"/>
        <v>22.820884730864197</v>
      </c>
      <c r="X302" s="9"/>
      <c r="Y302" s="21">
        <v>0.29968299999999998</v>
      </c>
      <c r="Z302" s="21">
        <v>17.366299999999999</v>
      </c>
      <c r="AA302" s="21">
        <v>-1.4975E-2</v>
      </c>
      <c r="AB302" s="21">
        <v>292</v>
      </c>
      <c r="AC302" s="21">
        <v>0.299072</v>
      </c>
      <c r="AD302">
        <f t="shared" si="52"/>
        <v>18.487654320987652</v>
      </c>
      <c r="AE302">
        <f t="shared" si="53"/>
        <v>5.540435709876542</v>
      </c>
      <c r="AF302" s="9"/>
      <c r="AG302" s="21">
        <v>1.37039</v>
      </c>
      <c r="AH302" s="21">
        <v>21.125</v>
      </c>
      <c r="AI302" s="21">
        <v>-1.3516200000000001E-2</v>
      </c>
      <c r="AJ302" s="21">
        <v>292</v>
      </c>
      <c r="AK302" s="21">
        <v>1.3693200000000001</v>
      </c>
      <c r="AL302">
        <f t="shared" si="54"/>
        <v>16.686666666666664</v>
      </c>
      <c r="AM302">
        <f t="shared" si="55"/>
        <v>22.86724113333333</v>
      </c>
      <c r="AP302" s="9"/>
      <c r="AQ302" s="21">
        <v>0.29968299999999998</v>
      </c>
      <c r="AR302" s="21">
        <v>26.567499999999999</v>
      </c>
      <c r="AS302" s="21">
        <v>-1.4941400000000001E-2</v>
      </c>
      <c r="AT302" s="21">
        <v>292</v>
      </c>
      <c r="AU302" s="21">
        <v>0.29892000000000002</v>
      </c>
      <c r="AV302">
        <f t="shared" si="56"/>
        <v>18.446172839506172</v>
      </c>
      <c r="AW302">
        <f t="shared" si="57"/>
        <v>5.5280044150617274</v>
      </c>
      <c r="AX302" s="9"/>
      <c r="AY302" s="21">
        <v>1.37039</v>
      </c>
      <c r="AZ302" s="21">
        <v>30.3263</v>
      </c>
      <c r="BA302" s="21">
        <v>-1.35406E-2</v>
      </c>
      <c r="BB302" s="21">
        <v>292</v>
      </c>
      <c r="BC302" s="21">
        <v>1.3696299999999999</v>
      </c>
      <c r="BD302">
        <f t="shared" si="58"/>
        <v>16.716790123456789</v>
      </c>
      <c r="BE302">
        <f t="shared" si="59"/>
        <v>22.90852201728395</v>
      </c>
    </row>
    <row r="303" spans="6:57" x14ac:dyDescent="0.25">
      <c r="F303" s="9"/>
      <c r="G303" s="21">
        <v>0.29464699999999999</v>
      </c>
      <c r="H303" s="21">
        <v>8.1501300000000008</v>
      </c>
      <c r="I303" s="21">
        <v>-1.4932300000000001E-2</v>
      </c>
      <c r="J303" s="21">
        <v>293</v>
      </c>
      <c r="K303" s="21">
        <v>0.29403699999999999</v>
      </c>
      <c r="L303">
        <f t="shared" si="48"/>
        <v>18.434938271604938</v>
      </c>
      <c r="M303">
        <f t="shared" si="49"/>
        <v>5.43179925691358</v>
      </c>
      <c r="N303" s="9"/>
      <c r="O303" s="21">
        <v>1.3754299999999999</v>
      </c>
      <c r="P303" s="21">
        <v>11.908899999999999</v>
      </c>
      <c r="Q303" s="21">
        <v>-1.3461300000000001E-2</v>
      </c>
      <c r="R303" s="21">
        <v>293</v>
      </c>
      <c r="S303" s="21">
        <v>1.3748199999999999</v>
      </c>
      <c r="T303">
        <f t="shared" si="50"/>
        <v>16.618888888888886</v>
      </c>
      <c r="U303">
        <f t="shared" si="51"/>
        <v>22.858118344444438</v>
      </c>
      <c r="X303" s="9"/>
      <c r="Y303" s="21">
        <v>0.29464699999999999</v>
      </c>
      <c r="Z303" s="21">
        <v>17.376300000000001</v>
      </c>
      <c r="AA303" s="21">
        <v>-1.49658E-2</v>
      </c>
      <c r="AB303" s="21">
        <v>293</v>
      </c>
      <c r="AC303" s="21">
        <v>0.29409800000000003</v>
      </c>
      <c r="AD303">
        <f t="shared" si="52"/>
        <v>18.476296296296297</v>
      </c>
      <c r="AE303">
        <f t="shared" si="53"/>
        <v>5.443985274814815</v>
      </c>
      <c r="AF303" s="9"/>
      <c r="AG303" s="21">
        <v>1.3754299999999999</v>
      </c>
      <c r="AH303" s="21">
        <v>21.135100000000001</v>
      </c>
      <c r="AI303" s="21">
        <v>-1.3494900000000001E-2</v>
      </c>
      <c r="AJ303" s="21">
        <v>293</v>
      </c>
      <c r="AK303" s="21">
        <v>1.3751199999999999</v>
      </c>
      <c r="AL303">
        <f t="shared" si="54"/>
        <v>16.660370370370369</v>
      </c>
      <c r="AM303">
        <f t="shared" si="55"/>
        <v>22.915173218518515</v>
      </c>
      <c r="AP303" s="9"/>
      <c r="AQ303" s="21">
        <v>0.29464699999999999</v>
      </c>
      <c r="AR303" s="21">
        <v>26.5776</v>
      </c>
      <c r="AS303" s="21">
        <v>-1.4947500000000001E-2</v>
      </c>
      <c r="AT303" s="21">
        <v>293</v>
      </c>
      <c r="AU303" s="21">
        <v>0.29406700000000002</v>
      </c>
      <c r="AV303">
        <f t="shared" si="56"/>
        <v>18.453703703703706</v>
      </c>
      <c r="AW303">
        <f t="shared" si="57"/>
        <v>5.4373284351851856</v>
      </c>
      <c r="AX303" s="9"/>
      <c r="AY303" s="21">
        <v>1.3754299999999999</v>
      </c>
      <c r="AZ303" s="21">
        <v>30.336300000000001</v>
      </c>
      <c r="BA303" s="21">
        <v>-1.3516200000000001E-2</v>
      </c>
      <c r="BB303" s="21">
        <v>293</v>
      </c>
      <c r="BC303" s="21">
        <v>1.3745099999999999</v>
      </c>
      <c r="BD303">
        <f t="shared" si="58"/>
        <v>16.686666666666664</v>
      </c>
      <c r="BE303">
        <f t="shared" si="59"/>
        <v>22.951341933333328</v>
      </c>
    </row>
    <row r="304" spans="6:57" x14ac:dyDescent="0.25">
      <c r="F304" s="9"/>
      <c r="G304" s="21">
        <v>0.28961199999999998</v>
      </c>
      <c r="H304" s="21">
        <v>8.1601999999999997</v>
      </c>
      <c r="I304" s="21">
        <v>-1.49231E-2</v>
      </c>
      <c r="J304" s="21">
        <v>294</v>
      </c>
      <c r="K304" s="21">
        <v>0.28900100000000001</v>
      </c>
      <c r="L304">
        <f t="shared" si="48"/>
        <v>18.423580246913577</v>
      </c>
      <c r="M304">
        <f t="shared" si="49"/>
        <v>5.3356899224691343</v>
      </c>
      <c r="N304" s="9"/>
      <c r="O304" s="21">
        <v>1.38046</v>
      </c>
      <c r="P304" s="21">
        <v>11.919</v>
      </c>
      <c r="Q304" s="21">
        <v>-1.34369E-2</v>
      </c>
      <c r="R304" s="21">
        <v>294</v>
      </c>
      <c r="S304" s="21">
        <v>1.3796999999999999</v>
      </c>
      <c r="T304">
        <f t="shared" si="50"/>
        <v>16.588765432098764</v>
      </c>
      <c r="U304">
        <f t="shared" si="51"/>
        <v>22.900127128395059</v>
      </c>
      <c r="X304" s="9"/>
      <c r="Y304" s="21">
        <v>0.28961199999999998</v>
      </c>
      <c r="Z304" s="21">
        <v>17.386399999999998</v>
      </c>
      <c r="AA304" s="21">
        <v>-1.49658E-2</v>
      </c>
      <c r="AB304" s="21">
        <v>294</v>
      </c>
      <c r="AC304" s="21">
        <v>0.28903200000000001</v>
      </c>
      <c r="AD304">
        <f t="shared" si="52"/>
        <v>18.476296296296297</v>
      </c>
      <c r="AE304">
        <f t="shared" si="53"/>
        <v>5.3509571229629627</v>
      </c>
      <c r="AF304" s="9"/>
      <c r="AG304" s="21">
        <v>1.38046</v>
      </c>
      <c r="AH304" s="21">
        <v>21.145199999999999</v>
      </c>
      <c r="AI304" s="21">
        <v>-1.34705E-2</v>
      </c>
      <c r="AJ304" s="21">
        <v>294</v>
      </c>
      <c r="AK304" s="21">
        <v>1.3796999999999999</v>
      </c>
      <c r="AL304">
        <f t="shared" si="54"/>
        <v>16.630246913580244</v>
      </c>
      <c r="AM304">
        <f t="shared" si="55"/>
        <v>22.957390654320985</v>
      </c>
      <c r="AP304" s="9"/>
      <c r="AQ304" s="21">
        <v>0.28961199999999998</v>
      </c>
      <c r="AR304" s="21">
        <v>26.587599999999998</v>
      </c>
      <c r="AS304" s="21">
        <v>-1.4941400000000001E-2</v>
      </c>
      <c r="AT304" s="21">
        <v>294</v>
      </c>
      <c r="AU304" s="21">
        <v>0.288879</v>
      </c>
      <c r="AV304">
        <f t="shared" si="56"/>
        <v>18.446172839506172</v>
      </c>
      <c r="AW304">
        <f t="shared" si="57"/>
        <v>5.3422330083950609</v>
      </c>
      <c r="AX304" s="9"/>
      <c r="AY304" s="21">
        <v>1.38046</v>
      </c>
      <c r="AZ304" s="21">
        <v>30.346399999999999</v>
      </c>
      <c r="BA304" s="21">
        <v>-1.34918E-2</v>
      </c>
      <c r="BB304" s="21">
        <v>294</v>
      </c>
      <c r="BC304" s="21">
        <v>1.3796999999999999</v>
      </c>
      <c r="BD304">
        <f t="shared" si="58"/>
        <v>16.656543209876542</v>
      </c>
      <c r="BE304">
        <f t="shared" si="59"/>
        <v>22.993691639506171</v>
      </c>
    </row>
    <row r="305" spans="6:57" x14ac:dyDescent="0.25">
      <c r="F305" s="9"/>
      <c r="G305" s="21">
        <v>0.284576</v>
      </c>
      <c r="H305" s="21">
        <v>8.1702700000000004</v>
      </c>
      <c r="I305" s="21">
        <v>-1.49231E-2</v>
      </c>
      <c r="J305" s="21">
        <v>295</v>
      </c>
      <c r="K305" s="21">
        <v>0.28393600000000002</v>
      </c>
      <c r="L305">
        <f t="shared" si="48"/>
        <v>18.423580246913577</v>
      </c>
      <c r="M305">
        <f t="shared" si="49"/>
        <v>5.242908772345678</v>
      </c>
      <c r="N305" s="9"/>
      <c r="O305" s="21">
        <v>1.3855</v>
      </c>
      <c r="P305" s="21">
        <v>11.929</v>
      </c>
      <c r="Q305" s="21">
        <v>-1.34155E-2</v>
      </c>
      <c r="R305" s="21">
        <v>295</v>
      </c>
      <c r="S305" s="21">
        <v>1.3845799999999999</v>
      </c>
      <c r="T305">
        <f t="shared" si="50"/>
        <v>16.562345679012346</v>
      </c>
      <c r="U305">
        <f t="shared" si="51"/>
        <v>22.947129938271605</v>
      </c>
      <c r="X305" s="9"/>
      <c r="Y305" s="21">
        <v>0.284576</v>
      </c>
      <c r="Z305" s="21">
        <v>17.3965</v>
      </c>
      <c r="AA305" s="21">
        <v>-1.49658E-2</v>
      </c>
      <c r="AB305" s="21">
        <v>295</v>
      </c>
      <c r="AC305" s="21">
        <v>0.283966</v>
      </c>
      <c r="AD305">
        <f t="shared" si="52"/>
        <v>18.476296296296297</v>
      </c>
      <c r="AE305">
        <f t="shared" si="53"/>
        <v>5.2579104948148148</v>
      </c>
      <c r="AF305" s="9"/>
      <c r="AG305" s="21">
        <v>1.3855</v>
      </c>
      <c r="AH305" s="21">
        <v>21.155200000000001</v>
      </c>
      <c r="AI305" s="21">
        <v>-1.34521E-2</v>
      </c>
      <c r="AJ305" s="21">
        <v>295</v>
      </c>
      <c r="AK305" s="21">
        <v>1.38489</v>
      </c>
      <c r="AL305">
        <f t="shared" si="54"/>
        <v>16.607530864197528</v>
      </c>
      <c r="AM305">
        <f t="shared" si="55"/>
        <v>23.009734012345675</v>
      </c>
      <c r="AP305" s="9"/>
      <c r="AQ305" s="21">
        <v>0.284576</v>
      </c>
      <c r="AR305" s="21">
        <v>26.5977</v>
      </c>
      <c r="AS305" s="21">
        <v>-1.4938399999999999E-2</v>
      </c>
      <c r="AT305" s="21">
        <v>295</v>
      </c>
      <c r="AU305" s="21">
        <v>0.283966</v>
      </c>
      <c r="AV305">
        <f t="shared" si="56"/>
        <v>18.442469135802465</v>
      </c>
      <c r="AW305">
        <f t="shared" si="57"/>
        <v>5.2482840967901225</v>
      </c>
      <c r="AX305" s="9"/>
      <c r="AY305" s="21">
        <v>1.3855</v>
      </c>
      <c r="AZ305" s="21">
        <v>30.3565</v>
      </c>
      <c r="BA305" s="21">
        <v>-1.34705E-2</v>
      </c>
      <c r="BB305" s="21">
        <v>295</v>
      </c>
      <c r="BC305" s="21">
        <v>1.38489</v>
      </c>
      <c r="BD305">
        <f t="shared" si="58"/>
        <v>16.630246913580244</v>
      </c>
      <c r="BE305">
        <f t="shared" si="59"/>
        <v>23.041207098765426</v>
      </c>
    </row>
    <row r="306" spans="6:57" x14ac:dyDescent="0.25">
      <c r="F306" s="9"/>
      <c r="G306" s="21">
        <v>0.27954099999999998</v>
      </c>
      <c r="H306" s="21">
        <v>8.1803399999999993</v>
      </c>
      <c r="I306" s="21">
        <v>-1.49231E-2</v>
      </c>
      <c r="J306" s="21">
        <v>296</v>
      </c>
      <c r="K306" s="21">
        <v>0.27893099999999998</v>
      </c>
      <c r="L306">
        <f t="shared" si="48"/>
        <v>18.423580246913577</v>
      </c>
      <c r="M306">
        <f t="shared" si="49"/>
        <v>5.1501460458024679</v>
      </c>
      <c r="N306" s="9"/>
      <c r="O306" s="21">
        <v>1.39053</v>
      </c>
      <c r="P306" s="21">
        <v>11.9391</v>
      </c>
      <c r="Q306" s="21">
        <v>-1.33942E-2</v>
      </c>
      <c r="R306" s="21">
        <v>296</v>
      </c>
      <c r="S306" s="21">
        <v>1.38947</v>
      </c>
      <c r="T306">
        <f t="shared" si="50"/>
        <v>16.536049382716048</v>
      </c>
      <c r="U306">
        <f t="shared" si="51"/>
        <v>22.993872748148146</v>
      </c>
      <c r="X306" s="9"/>
      <c r="Y306" s="21">
        <v>0.27954099999999998</v>
      </c>
      <c r="Z306" s="21">
        <v>17.406600000000001</v>
      </c>
      <c r="AA306" s="21">
        <v>-1.49689E-2</v>
      </c>
      <c r="AB306" s="21">
        <v>296</v>
      </c>
      <c r="AC306" s="21">
        <v>0.27902199999999999</v>
      </c>
      <c r="AD306">
        <f t="shared" si="52"/>
        <v>18.480123456790125</v>
      </c>
      <c r="AE306">
        <f t="shared" si="53"/>
        <v>5.1659521912345676</v>
      </c>
      <c r="AF306" s="9"/>
      <c r="AG306" s="21">
        <v>1.39053</v>
      </c>
      <c r="AH306" s="21">
        <v>21.165299999999998</v>
      </c>
      <c r="AI306" s="21">
        <v>-1.34308E-2</v>
      </c>
      <c r="AJ306" s="21">
        <v>296</v>
      </c>
      <c r="AK306" s="21">
        <v>1.39008</v>
      </c>
      <c r="AL306">
        <f t="shared" si="54"/>
        <v>16.581234567901234</v>
      </c>
      <c r="AM306">
        <f t="shared" si="55"/>
        <v>23.056704103703705</v>
      </c>
      <c r="AP306" s="9"/>
      <c r="AQ306" s="21">
        <v>0.27954099999999998</v>
      </c>
      <c r="AR306" s="21">
        <v>26.607800000000001</v>
      </c>
      <c r="AS306" s="21">
        <v>-1.4944499999999999E-2</v>
      </c>
      <c r="AT306" s="21">
        <v>296</v>
      </c>
      <c r="AU306" s="21">
        <v>0.27896100000000001</v>
      </c>
      <c r="AV306">
        <f t="shared" si="56"/>
        <v>18.45</v>
      </c>
      <c r="AW306">
        <f t="shared" si="57"/>
        <v>5.1575314499999996</v>
      </c>
      <c r="AX306" s="9"/>
      <c r="AY306" s="21">
        <v>1.39053</v>
      </c>
      <c r="AZ306" s="21">
        <v>30.366499999999998</v>
      </c>
      <c r="BA306" s="21">
        <v>-1.3446E-2</v>
      </c>
      <c r="BB306" s="21">
        <v>296</v>
      </c>
      <c r="BC306" s="21">
        <v>1.3897699999999999</v>
      </c>
      <c r="BD306">
        <f t="shared" si="58"/>
        <v>16.599999999999998</v>
      </c>
      <c r="BE306">
        <f t="shared" si="59"/>
        <v>23.082797999999997</v>
      </c>
    </row>
    <row r="307" spans="6:57" x14ac:dyDescent="0.25">
      <c r="F307" s="9"/>
      <c r="G307" s="21">
        <v>0.27450600000000003</v>
      </c>
      <c r="H307" s="21">
        <v>8.19041</v>
      </c>
      <c r="I307" s="21">
        <v>-1.4926099999999999E-2</v>
      </c>
      <c r="J307" s="21">
        <v>297</v>
      </c>
      <c r="K307" s="21">
        <v>0.27386500000000003</v>
      </c>
      <c r="L307">
        <f t="shared" si="48"/>
        <v>18.427283950617284</v>
      </c>
      <c r="M307">
        <f t="shared" si="49"/>
        <v>5.0584000081481486</v>
      </c>
      <c r="N307" s="9"/>
      <c r="O307" s="21">
        <v>1.39557</v>
      </c>
      <c r="P307" s="21">
        <v>11.949199999999999</v>
      </c>
      <c r="Q307" s="21">
        <v>-1.3378900000000001E-2</v>
      </c>
      <c r="R307" s="21">
        <v>297</v>
      </c>
      <c r="S307" s="21">
        <v>1.39435</v>
      </c>
      <c r="T307">
        <f t="shared" si="50"/>
        <v>16.517160493827159</v>
      </c>
      <c r="U307">
        <f t="shared" si="51"/>
        <v>23.050853670370369</v>
      </c>
      <c r="X307" s="9"/>
      <c r="Y307" s="21">
        <v>0.27450600000000003</v>
      </c>
      <c r="Z307" s="21">
        <v>17.416599999999999</v>
      </c>
      <c r="AA307" s="21">
        <v>-1.4981100000000001E-2</v>
      </c>
      <c r="AB307" s="21">
        <v>297</v>
      </c>
      <c r="AC307" s="21">
        <v>0.27386500000000003</v>
      </c>
      <c r="AD307">
        <f t="shared" si="52"/>
        <v>18.495185185185186</v>
      </c>
      <c r="AE307">
        <f t="shared" si="53"/>
        <v>5.0770393044444448</v>
      </c>
      <c r="AF307" s="9"/>
      <c r="AG307" s="21">
        <v>1.39557</v>
      </c>
      <c r="AH307" s="21">
        <v>21.1754</v>
      </c>
      <c r="AI307" s="21">
        <v>-1.34155E-2</v>
      </c>
      <c r="AJ307" s="21">
        <v>297</v>
      </c>
      <c r="AK307" s="21">
        <v>1.3952599999999999</v>
      </c>
      <c r="AL307">
        <f t="shared" si="54"/>
        <v>16.562345679012346</v>
      </c>
      <c r="AM307">
        <f t="shared" si="55"/>
        <v>23.113912759259257</v>
      </c>
      <c r="AP307" s="9"/>
      <c r="AQ307" s="21">
        <v>0.27450600000000003</v>
      </c>
      <c r="AR307" s="21">
        <v>26.617899999999999</v>
      </c>
      <c r="AS307" s="21">
        <v>-1.4947500000000001E-2</v>
      </c>
      <c r="AT307" s="21">
        <v>297</v>
      </c>
      <c r="AU307" s="21">
        <v>0.273895</v>
      </c>
      <c r="AV307">
        <f t="shared" si="56"/>
        <v>18.453703703703706</v>
      </c>
      <c r="AW307">
        <f t="shared" si="57"/>
        <v>5.06565238888889</v>
      </c>
      <c r="AX307" s="9"/>
      <c r="AY307" s="21">
        <v>1.39557</v>
      </c>
      <c r="AZ307" s="21">
        <v>30.3766</v>
      </c>
      <c r="BA307" s="21">
        <v>-1.3421600000000001E-2</v>
      </c>
      <c r="BB307" s="21">
        <v>297</v>
      </c>
      <c r="BC307" s="21">
        <v>1.39496</v>
      </c>
      <c r="BD307">
        <f t="shared" si="58"/>
        <v>16.569876543209876</v>
      </c>
      <c r="BE307">
        <f t="shared" si="59"/>
        <v>23.124422607407407</v>
      </c>
    </row>
    <row r="308" spans="6:57" x14ac:dyDescent="0.25">
      <c r="F308" s="9"/>
      <c r="G308" s="21">
        <v>0.26946999999999999</v>
      </c>
      <c r="H308" s="21">
        <v>8.2004800000000007</v>
      </c>
      <c r="I308" s="21">
        <v>-1.4938399999999999E-2</v>
      </c>
      <c r="J308" s="21">
        <v>298</v>
      </c>
      <c r="K308" s="21">
        <v>0.26889000000000002</v>
      </c>
      <c r="L308">
        <f t="shared" si="48"/>
        <v>18.442469135802465</v>
      </c>
      <c r="M308">
        <f t="shared" si="49"/>
        <v>4.9696921580246904</v>
      </c>
      <c r="N308" s="9"/>
      <c r="O308" s="21">
        <v>1.4006000000000001</v>
      </c>
      <c r="P308" s="21">
        <v>11.959199999999999</v>
      </c>
      <c r="Q308" s="21">
        <v>-1.33575E-2</v>
      </c>
      <c r="R308" s="21">
        <v>298</v>
      </c>
      <c r="S308" s="21">
        <v>1.39984</v>
      </c>
      <c r="T308">
        <f t="shared" si="50"/>
        <v>16.49074074074074</v>
      </c>
      <c r="U308">
        <f t="shared" si="51"/>
        <v>23.096931481481484</v>
      </c>
      <c r="X308" s="9"/>
      <c r="Y308" s="21">
        <v>0.26946999999999999</v>
      </c>
      <c r="Z308" s="21">
        <v>17.4267</v>
      </c>
      <c r="AA308" s="21">
        <v>-1.4981100000000001E-2</v>
      </c>
      <c r="AB308" s="21">
        <v>298</v>
      </c>
      <c r="AC308" s="21">
        <v>0.268982</v>
      </c>
      <c r="AD308">
        <f t="shared" si="52"/>
        <v>18.495185185185186</v>
      </c>
      <c r="AE308">
        <f t="shared" si="53"/>
        <v>4.983897551851852</v>
      </c>
      <c r="AF308" s="9"/>
      <c r="AG308" s="21">
        <v>1.4006000000000001</v>
      </c>
      <c r="AH308" s="21">
        <v>21.185500000000001</v>
      </c>
      <c r="AI308" s="21">
        <v>-1.33972E-2</v>
      </c>
      <c r="AJ308" s="21">
        <v>298</v>
      </c>
      <c r="AK308" s="21">
        <v>1.39954</v>
      </c>
      <c r="AL308">
        <f t="shared" si="54"/>
        <v>16.539753086419751</v>
      </c>
      <c r="AM308">
        <f t="shared" si="55"/>
        <v>23.165578172839503</v>
      </c>
      <c r="AP308" s="9"/>
      <c r="AQ308" s="21">
        <v>0.26946999999999999</v>
      </c>
      <c r="AR308" s="21">
        <v>26.6279</v>
      </c>
      <c r="AS308" s="21">
        <v>-1.4953599999999999E-2</v>
      </c>
      <c r="AT308" s="21">
        <v>298</v>
      </c>
      <c r="AU308" s="21">
        <v>0.26885999999999999</v>
      </c>
      <c r="AV308">
        <f t="shared" si="56"/>
        <v>18.461234567901233</v>
      </c>
      <c r="AW308">
        <f t="shared" si="57"/>
        <v>4.9747488790123446</v>
      </c>
      <c r="AX308" s="9"/>
      <c r="AY308" s="21">
        <v>1.4006000000000001</v>
      </c>
      <c r="AZ308" s="21">
        <v>30.386700000000001</v>
      </c>
      <c r="BA308" s="21">
        <v>-1.33942E-2</v>
      </c>
      <c r="BB308" s="21">
        <v>298</v>
      </c>
      <c r="BC308" s="21">
        <v>1.39984</v>
      </c>
      <c r="BD308">
        <f t="shared" si="58"/>
        <v>16.536049382716048</v>
      </c>
      <c r="BE308">
        <f t="shared" si="59"/>
        <v>23.160390765432098</v>
      </c>
    </row>
    <row r="309" spans="6:57" x14ac:dyDescent="0.25">
      <c r="F309" s="9"/>
      <c r="G309" s="21">
        <v>0.26443499999999998</v>
      </c>
      <c r="H309" s="21">
        <v>8.2105499999999996</v>
      </c>
      <c r="I309" s="21">
        <v>-1.4947500000000001E-2</v>
      </c>
      <c r="J309" s="21">
        <v>299</v>
      </c>
      <c r="K309" s="21">
        <v>0.26379399999999997</v>
      </c>
      <c r="L309">
        <f t="shared" si="48"/>
        <v>18.453703703703706</v>
      </c>
      <c r="M309">
        <f t="shared" si="49"/>
        <v>4.879805138888889</v>
      </c>
      <c r="N309" s="9"/>
      <c r="O309" s="21">
        <v>1.40564</v>
      </c>
      <c r="P309" s="21">
        <v>11.9693</v>
      </c>
      <c r="Q309" s="21">
        <v>-1.3333100000000001E-2</v>
      </c>
      <c r="R309" s="21">
        <v>299</v>
      </c>
      <c r="S309" s="21">
        <v>1.40533</v>
      </c>
      <c r="T309">
        <f t="shared" si="50"/>
        <v>16.460617283950615</v>
      </c>
      <c r="U309">
        <f t="shared" si="51"/>
        <v>23.137702079012342</v>
      </c>
      <c r="X309" s="9"/>
      <c r="Y309" s="21">
        <v>0.26443499999999998</v>
      </c>
      <c r="Z309" s="21">
        <v>17.436800000000002</v>
      </c>
      <c r="AA309" s="21">
        <v>-1.4981100000000001E-2</v>
      </c>
      <c r="AB309" s="21">
        <v>299</v>
      </c>
      <c r="AC309" s="21">
        <v>0.263824</v>
      </c>
      <c r="AD309">
        <f t="shared" si="52"/>
        <v>18.495185185185186</v>
      </c>
      <c r="AE309">
        <f t="shared" si="53"/>
        <v>4.8907742944444443</v>
      </c>
      <c r="AF309" s="9"/>
      <c r="AG309" s="21">
        <v>1.40564</v>
      </c>
      <c r="AH309" s="21">
        <v>21.195499999999999</v>
      </c>
      <c r="AI309" s="21">
        <v>-1.3372800000000001E-2</v>
      </c>
      <c r="AJ309" s="21">
        <v>299</v>
      </c>
      <c r="AK309" s="21">
        <v>1.40533</v>
      </c>
      <c r="AL309">
        <f t="shared" si="54"/>
        <v>16.509629629629632</v>
      </c>
      <c r="AM309">
        <f t="shared" si="55"/>
        <v>23.206595792592598</v>
      </c>
      <c r="AP309" s="9"/>
      <c r="AQ309" s="21">
        <v>0.26443499999999998</v>
      </c>
      <c r="AR309" s="21">
        <v>26.638000000000002</v>
      </c>
      <c r="AS309" s="21">
        <v>-1.4959699999999999E-2</v>
      </c>
      <c r="AT309" s="21">
        <v>299</v>
      </c>
      <c r="AU309" s="21">
        <v>0.26367200000000002</v>
      </c>
      <c r="AV309">
        <f t="shared" si="56"/>
        <v>18.468765432098763</v>
      </c>
      <c r="AW309">
        <f t="shared" si="57"/>
        <v>4.883787987037036</v>
      </c>
      <c r="AX309" s="9"/>
      <c r="AY309" s="21">
        <v>1.40564</v>
      </c>
      <c r="AZ309" s="21">
        <v>30.396799999999999</v>
      </c>
      <c r="BA309" s="21">
        <v>-1.33606E-2</v>
      </c>
      <c r="BB309" s="21">
        <v>299</v>
      </c>
      <c r="BC309" s="21">
        <v>1.40503</v>
      </c>
      <c r="BD309">
        <f t="shared" si="58"/>
        <v>16.494567901234568</v>
      </c>
      <c r="BE309">
        <f t="shared" si="59"/>
        <v>23.185424424691359</v>
      </c>
    </row>
    <row r="310" spans="6:57" x14ac:dyDescent="0.25">
      <c r="F310" s="9"/>
      <c r="G310" s="21">
        <v>0.25939899999999999</v>
      </c>
      <c r="H310" s="21">
        <v>8.2206200000000003</v>
      </c>
      <c r="I310" s="21">
        <v>-1.4941400000000001E-2</v>
      </c>
      <c r="J310" s="21">
        <v>300</v>
      </c>
      <c r="K310" s="21">
        <v>0.25878899999999999</v>
      </c>
      <c r="L310">
        <f t="shared" si="48"/>
        <v>18.446172839506172</v>
      </c>
      <c r="M310">
        <f t="shared" si="49"/>
        <v>4.7849187883950615</v>
      </c>
      <c r="N310" s="9"/>
      <c r="O310" s="21">
        <v>1.4106799999999999</v>
      </c>
      <c r="P310" s="21">
        <v>11.9794</v>
      </c>
      <c r="Q310" s="21">
        <v>-1.33057E-2</v>
      </c>
      <c r="R310" s="21">
        <v>300</v>
      </c>
      <c r="S310" s="21">
        <v>1.41022</v>
      </c>
      <c r="T310">
        <f t="shared" si="50"/>
        <v>16.42679012345679</v>
      </c>
      <c r="U310">
        <f t="shared" si="51"/>
        <v>23.172944291358025</v>
      </c>
      <c r="X310" s="9"/>
      <c r="Y310" s="21">
        <v>0.25939899999999999</v>
      </c>
      <c r="Z310" s="21">
        <v>17.4468</v>
      </c>
      <c r="AA310" s="21">
        <v>-1.49841E-2</v>
      </c>
      <c r="AB310" s="21">
        <v>300</v>
      </c>
      <c r="AC310" s="21">
        <v>0.25878899999999999</v>
      </c>
      <c r="AD310">
        <f t="shared" si="52"/>
        <v>18.498888888888889</v>
      </c>
      <c r="AE310">
        <f t="shared" si="53"/>
        <v>4.7985932788888883</v>
      </c>
      <c r="AF310" s="9"/>
      <c r="AG310" s="21">
        <v>1.4106799999999999</v>
      </c>
      <c r="AH310" s="21">
        <v>21.2056</v>
      </c>
      <c r="AI310" s="21">
        <v>-1.33423E-2</v>
      </c>
      <c r="AJ310" s="21">
        <v>300</v>
      </c>
      <c r="AK310" s="21">
        <v>1.40961</v>
      </c>
      <c r="AL310">
        <f t="shared" si="54"/>
        <v>16.471975308641973</v>
      </c>
      <c r="AM310">
        <f t="shared" si="55"/>
        <v>23.236686128395057</v>
      </c>
      <c r="AP310" s="9"/>
      <c r="AQ310" s="21">
        <v>0.25939899999999999</v>
      </c>
      <c r="AR310" s="21">
        <v>26.648099999999999</v>
      </c>
      <c r="AS310" s="21">
        <v>-1.49689E-2</v>
      </c>
      <c r="AT310" s="21">
        <v>300</v>
      </c>
      <c r="AU310" s="21">
        <v>0.25866699999999998</v>
      </c>
      <c r="AV310">
        <f t="shared" si="56"/>
        <v>18.480123456790125</v>
      </c>
      <c r="AW310">
        <f t="shared" si="57"/>
        <v>4.7937255445679012</v>
      </c>
      <c r="AX310" s="9"/>
      <c r="AY310" s="21">
        <v>1.4106799999999999</v>
      </c>
      <c r="AZ310" s="21">
        <v>30.4068</v>
      </c>
      <c r="BA310" s="21">
        <v>-1.3330099999999999E-2</v>
      </c>
      <c r="BB310" s="21">
        <v>300</v>
      </c>
      <c r="BC310" s="21">
        <v>1.41022</v>
      </c>
      <c r="BD310">
        <f t="shared" si="58"/>
        <v>16.456913580246912</v>
      </c>
      <c r="BE310">
        <f t="shared" si="59"/>
        <v>23.215438849382714</v>
      </c>
    </row>
    <row r="311" spans="6:57" x14ac:dyDescent="0.25">
      <c r="F311" s="9"/>
      <c r="G311" s="21">
        <v>0.25436399999999998</v>
      </c>
      <c r="H311" s="21">
        <v>8.2306899999999992</v>
      </c>
      <c r="I311" s="21">
        <v>-1.4941400000000001E-2</v>
      </c>
      <c r="J311" s="21">
        <v>301</v>
      </c>
      <c r="K311" s="21">
        <v>0.25381500000000001</v>
      </c>
      <c r="L311">
        <f t="shared" si="48"/>
        <v>18.446172839506172</v>
      </c>
      <c r="M311">
        <f t="shared" si="49"/>
        <v>4.6920423081481477</v>
      </c>
      <c r="N311" s="9"/>
      <c r="O311" s="21">
        <v>1.41571</v>
      </c>
      <c r="P311" s="21">
        <v>11.9895</v>
      </c>
      <c r="Q311" s="21">
        <v>-1.32751E-2</v>
      </c>
      <c r="R311" s="21">
        <v>301</v>
      </c>
      <c r="S311" s="21">
        <v>1.4151</v>
      </c>
      <c r="T311">
        <f t="shared" si="50"/>
        <v>16.38901234567901</v>
      </c>
      <c r="U311">
        <f t="shared" si="51"/>
        <v>23.202088667901233</v>
      </c>
      <c r="X311" s="9"/>
      <c r="Y311" s="21">
        <v>0.25436399999999998</v>
      </c>
      <c r="Z311" s="21">
        <v>17.456900000000001</v>
      </c>
      <c r="AA311" s="21">
        <v>-1.4987199999999999E-2</v>
      </c>
      <c r="AB311" s="21">
        <v>301</v>
      </c>
      <c r="AC311" s="21">
        <v>0.253662</v>
      </c>
      <c r="AD311">
        <f t="shared" si="52"/>
        <v>18.502716049382713</v>
      </c>
      <c r="AE311">
        <f t="shared" si="53"/>
        <v>4.7064248651851841</v>
      </c>
      <c r="AF311" s="9"/>
      <c r="AG311" s="21">
        <v>1.41571</v>
      </c>
      <c r="AH311" s="21">
        <v>21.215699999999998</v>
      </c>
      <c r="AI311" s="21">
        <v>-1.33148E-2</v>
      </c>
      <c r="AJ311" s="21">
        <v>301</v>
      </c>
      <c r="AK311" s="21">
        <v>1.4151</v>
      </c>
      <c r="AL311">
        <f t="shared" si="54"/>
        <v>16.438024691358024</v>
      </c>
      <c r="AM311">
        <f t="shared" si="55"/>
        <v>23.271475935802467</v>
      </c>
      <c r="AP311" s="9"/>
      <c r="AQ311" s="21">
        <v>0.25436399999999998</v>
      </c>
      <c r="AR311" s="21">
        <v>26.658100000000001</v>
      </c>
      <c r="AS311" s="21">
        <v>-1.49719E-2</v>
      </c>
      <c r="AT311" s="21">
        <v>301</v>
      </c>
      <c r="AU311" s="21">
        <v>0.25372299999999998</v>
      </c>
      <c r="AV311">
        <f t="shared" si="56"/>
        <v>18.483827160493824</v>
      </c>
      <c r="AW311">
        <f t="shared" si="57"/>
        <v>4.7016202118518509</v>
      </c>
      <c r="AX311" s="9"/>
      <c r="AY311" s="21">
        <v>1.41571</v>
      </c>
      <c r="AZ311" s="21">
        <v>30.416899999999998</v>
      </c>
      <c r="BA311" s="21">
        <v>-1.33057E-2</v>
      </c>
      <c r="BB311" s="21">
        <v>301</v>
      </c>
      <c r="BC311" s="21">
        <v>1.4154100000000001</v>
      </c>
      <c r="BD311">
        <f t="shared" si="58"/>
        <v>16.42679012345679</v>
      </c>
      <c r="BE311">
        <f t="shared" si="59"/>
        <v>23.255571045679012</v>
      </c>
    </row>
    <row r="312" spans="6:57" x14ac:dyDescent="0.25">
      <c r="F312" s="9"/>
      <c r="G312" s="21">
        <v>0.249329</v>
      </c>
      <c r="H312" s="21">
        <v>8.2407599999999999</v>
      </c>
      <c r="I312" s="21">
        <v>-1.4944499999999999E-2</v>
      </c>
      <c r="J312" s="21">
        <v>302</v>
      </c>
      <c r="K312" s="21">
        <v>0.24865699999999999</v>
      </c>
      <c r="L312">
        <f t="shared" si="48"/>
        <v>18.45</v>
      </c>
      <c r="M312">
        <f t="shared" si="49"/>
        <v>4.6001200500000001</v>
      </c>
      <c r="N312" s="9"/>
      <c r="O312" s="21">
        <v>1.42075</v>
      </c>
      <c r="P312" s="21">
        <v>11.999499999999999</v>
      </c>
      <c r="Q312" s="21">
        <v>-1.3235500000000001E-2</v>
      </c>
      <c r="R312" s="21">
        <v>302</v>
      </c>
      <c r="S312" s="21">
        <v>1.41998</v>
      </c>
      <c r="T312">
        <f t="shared" si="50"/>
        <v>16.340123456790124</v>
      </c>
      <c r="U312">
        <f t="shared" si="51"/>
        <v>23.215230401234567</v>
      </c>
      <c r="X312" s="9"/>
      <c r="Y312" s="21">
        <v>0.249329</v>
      </c>
      <c r="Z312" s="21">
        <v>17.466999999999999</v>
      </c>
      <c r="AA312" s="21">
        <v>-1.4987199999999999E-2</v>
      </c>
      <c r="AB312" s="21">
        <v>302</v>
      </c>
      <c r="AC312" s="21">
        <v>0.248749</v>
      </c>
      <c r="AD312">
        <f t="shared" si="52"/>
        <v>18.502716049382713</v>
      </c>
      <c r="AE312">
        <f t="shared" si="53"/>
        <v>4.6132636898765425</v>
      </c>
      <c r="AF312" s="9"/>
      <c r="AG312" s="21">
        <v>1.42075</v>
      </c>
      <c r="AH312" s="21">
        <v>21.2257</v>
      </c>
      <c r="AI312" s="21">
        <v>-1.3281299999999999E-2</v>
      </c>
      <c r="AJ312" s="21">
        <v>302</v>
      </c>
      <c r="AK312" s="21">
        <v>1.41998</v>
      </c>
      <c r="AL312">
        <f t="shared" si="54"/>
        <v>16.396666666666665</v>
      </c>
      <c r="AM312">
        <f t="shared" si="55"/>
        <v>23.295564166666662</v>
      </c>
      <c r="AP312" s="9"/>
      <c r="AQ312" s="21">
        <v>0.249329</v>
      </c>
      <c r="AR312" s="21">
        <v>26.668199999999999</v>
      </c>
      <c r="AS312" s="21">
        <v>-1.4981100000000001E-2</v>
      </c>
      <c r="AT312" s="21">
        <v>302</v>
      </c>
      <c r="AU312" s="21">
        <v>0.248749</v>
      </c>
      <c r="AV312">
        <f t="shared" si="56"/>
        <v>18.495185185185186</v>
      </c>
      <c r="AW312">
        <f t="shared" si="57"/>
        <v>4.611386027037037</v>
      </c>
      <c r="AX312" s="9"/>
      <c r="AY312" s="21">
        <v>1.42075</v>
      </c>
      <c r="AZ312" s="21">
        <v>30.427</v>
      </c>
      <c r="BA312" s="21">
        <v>-1.3281299999999999E-2</v>
      </c>
      <c r="BB312" s="21">
        <v>302</v>
      </c>
      <c r="BC312" s="21">
        <v>1.4202900000000001</v>
      </c>
      <c r="BD312">
        <f t="shared" si="58"/>
        <v>16.396666666666665</v>
      </c>
      <c r="BE312">
        <f t="shared" si="59"/>
        <v>23.295564166666662</v>
      </c>
    </row>
    <row r="313" spans="6:57" x14ac:dyDescent="0.25">
      <c r="F313" s="9"/>
      <c r="G313" s="21">
        <v>0.24429300000000001</v>
      </c>
      <c r="H313" s="21">
        <v>8.2508400000000002</v>
      </c>
      <c r="I313" s="21">
        <v>-1.4944499999999999E-2</v>
      </c>
      <c r="J313" s="21">
        <v>303</v>
      </c>
      <c r="K313" s="21">
        <v>0.24377399999999999</v>
      </c>
      <c r="L313">
        <f t="shared" si="48"/>
        <v>18.45</v>
      </c>
      <c r="M313">
        <f t="shared" si="49"/>
        <v>4.5072058500000001</v>
      </c>
      <c r="N313" s="9"/>
      <c r="O313" s="21">
        <v>1.42578</v>
      </c>
      <c r="P313" s="21">
        <v>12.009600000000001</v>
      </c>
      <c r="Q313" s="21">
        <v>-1.3205E-2</v>
      </c>
      <c r="R313" s="21">
        <v>303</v>
      </c>
      <c r="S313" s="21">
        <v>1.4248700000000001</v>
      </c>
      <c r="T313">
        <f t="shared" si="50"/>
        <v>16.302469135802468</v>
      </c>
      <c r="U313">
        <f t="shared" si="51"/>
        <v>23.243734444444446</v>
      </c>
      <c r="X313" s="9"/>
      <c r="Y313" s="21">
        <v>0.24429300000000001</v>
      </c>
      <c r="Z313" s="21">
        <v>17.477</v>
      </c>
      <c r="AA313" s="21">
        <v>-1.49841E-2</v>
      </c>
      <c r="AB313" s="21">
        <v>303</v>
      </c>
      <c r="AC313" s="21">
        <v>0.24368300000000001</v>
      </c>
      <c r="AD313">
        <f t="shared" si="52"/>
        <v>18.498888888888889</v>
      </c>
      <c r="AE313">
        <f t="shared" si="53"/>
        <v>4.5191490633333338</v>
      </c>
      <c r="AF313" s="9"/>
      <c r="AG313" s="21">
        <v>1.42578</v>
      </c>
      <c r="AH313" s="21">
        <v>21.235800000000001</v>
      </c>
      <c r="AI313" s="21">
        <v>-1.3250700000000001E-2</v>
      </c>
      <c r="AJ313" s="21">
        <v>303</v>
      </c>
      <c r="AK313" s="21">
        <v>1.4254800000000001</v>
      </c>
      <c r="AL313">
        <f t="shared" si="54"/>
        <v>16.358888888888888</v>
      </c>
      <c r="AM313">
        <f t="shared" si="55"/>
        <v>23.324176600000001</v>
      </c>
      <c r="AP313" s="9"/>
      <c r="AQ313" s="21">
        <v>0.24429300000000001</v>
      </c>
      <c r="AR313" s="21">
        <v>26.6783</v>
      </c>
      <c r="AS313" s="21">
        <v>-1.49841E-2</v>
      </c>
      <c r="AT313" s="21">
        <v>303</v>
      </c>
      <c r="AU313" s="21">
        <v>0.24380499999999999</v>
      </c>
      <c r="AV313">
        <f t="shared" si="56"/>
        <v>18.498888888888889</v>
      </c>
      <c r="AW313">
        <f t="shared" si="57"/>
        <v>4.5191490633333338</v>
      </c>
      <c r="AX313" s="9"/>
      <c r="AY313" s="21">
        <v>1.42578</v>
      </c>
      <c r="AZ313" s="21">
        <v>30.437000000000001</v>
      </c>
      <c r="BA313" s="21">
        <v>-1.3256799999999999E-2</v>
      </c>
      <c r="BB313" s="21">
        <v>303</v>
      </c>
      <c r="BC313" s="21">
        <v>1.4254800000000001</v>
      </c>
      <c r="BD313">
        <f t="shared" si="58"/>
        <v>16.366419753086415</v>
      </c>
      <c r="BE313">
        <f t="shared" si="59"/>
        <v>23.33491395555555</v>
      </c>
    </row>
    <row r="314" spans="6:57" x14ac:dyDescent="0.25">
      <c r="F314" s="9"/>
      <c r="G314" s="21">
        <v>0.239258</v>
      </c>
      <c r="H314" s="21">
        <v>8.2609100000000009</v>
      </c>
      <c r="I314" s="21">
        <v>-1.4947500000000001E-2</v>
      </c>
      <c r="J314" s="21">
        <v>304</v>
      </c>
      <c r="K314" s="21">
        <v>0.238617</v>
      </c>
      <c r="L314">
        <f t="shared" si="48"/>
        <v>18.453703703703706</v>
      </c>
      <c r="M314">
        <f t="shared" si="49"/>
        <v>4.415196240740741</v>
      </c>
      <c r="N314" s="9"/>
      <c r="O314" s="21">
        <v>1.43082</v>
      </c>
      <c r="P314" s="21">
        <v>12.0197</v>
      </c>
      <c r="Q314" s="21">
        <v>-1.3168300000000001E-2</v>
      </c>
      <c r="R314" s="21">
        <v>304</v>
      </c>
      <c r="S314" s="21">
        <v>1.4303600000000001</v>
      </c>
      <c r="T314">
        <f t="shared" si="50"/>
        <v>16.257160493827158</v>
      </c>
      <c r="U314">
        <f t="shared" si="51"/>
        <v>23.261070377777774</v>
      </c>
      <c r="X314" s="9"/>
      <c r="Y314" s="21">
        <v>0.239258</v>
      </c>
      <c r="Z314" s="21">
        <v>17.487100000000002</v>
      </c>
      <c r="AA314" s="21">
        <v>-1.4987199999999999E-2</v>
      </c>
      <c r="AB314" s="21">
        <v>304</v>
      </c>
      <c r="AC314" s="21">
        <v>0.238647</v>
      </c>
      <c r="AD314">
        <f t="shared" si="52"/>
        <v>18.502716049382713</v>
      </c>
      <c r="AE314">
        <f t="shared" si="53"/>
        <v>4.4269228365432092</v>
      </c>
      <c r="AF314" s="9"/>
      <c r="AG314" s="21">
        <v>1.43082</v>
      </c>
      <c r="AH314" s="21">
        <v>21.245899999999999</v>
      </c>
      <c r="AI314" s="21">
        <v>-1.32233E-2</v>
      </c>
      <c r="AJ314" s="21">
        <v>304</v>
      </c>
      <c r="AK314" s="21">
        <v>1.4303600000000001</v>
      </c>
      <c r="AL314">
        <f t="shared" si="54"/>
        <v>16.32506172839506</v>
      </c>
      <c r="AM314">
        <f t="shared" si="55"/>
        <v>23.358224822222219</v>
      </c>
      <c r="AP314" s="9"/>
      <c r="AQ314" s="21">
        <v>0.239258</v>
      </c>
      <c r="AR314" s="21">
        <v>26.688400000000001</v>
      </c>
      <c r="AS314" s="21">
        <v>-1.4981100000000001E-2</v>
      </c>
      <c r="AT314" s="21">
        <v>304</v>
      </c>
      <c r="AU314" s="21">
        <v>0.238678</v>
      </c>
      <c r="AV314">
        <f t="shared" si="56"/>
        <v>18.495185185185186</v>
      </c>
      <c r="AW314">
        <f t="shared" si="57"/>
        <v>4.4251210170370374</v>
      </c>
      <c r="AX314" s="9"/>
      <c r="AY314" s="21">
        <v>1.43082</v>
      </c>
      <c r="AZ314" s="21">
        <v>30.447099999999999</v>
      </c>
      <c r="BA314" s="21">
        <v>-1.32263E-2</v>
      </c>
      <c r="BB314" s="21">
        <v>304</v>
      </c>
      <c r="BC314" s="21">
        <v>1.4303600000000001</v>
      </c>
      <c r="BD314">
        <f t="shared" si="58"/>
        <v>16.328765432098766</v>
      </c>
      <c r="BE314">
        <f t="shared" si="59"/>
        <v>23.363524155555556</v>
      </c>
    </row>
    <row r="315" spans="6:57" x14ac:dyDescent="0.25">
      <c r="F315" s="9"/>
      <c r="G315" s="21">
        <v>0.23422200000000001</v>
      </c>
      <c r="H315" s="21">
        <v>8.2709799999999998</v>
      </c>
      <c r="I315" s="21">
        <v>-1.4944499999999999E-2</v>
      </c>
      <c r="J315" s="21">
        <v>305</v>
      </c>
      <c r="K315" s="21">
        <v>0.23358200000000001</v>
      </c>
      <c r="L315">
        <f t="shared" si="48"/>
        <v>18.45</v>
      </c>
      <c r="M315">
        <f t="shared" si="49"/>
        <v>4.3213958999999997</v>
      </c>
      <c r="N315" s="9"/>
      <c r="O315" s="21">
        <v>1.4358500000000001</v>
      </c>
      <c r="P315" s="21">
        <v>12.0297</v>
      </c>
      <c r="Q315" s="21">
        <v>-1.31378E-2</v>
      </c>
      <c r="R315" s="21">
        <v>305</v>
      </c>
      <c r="S315" s="21">
        <v>1.4352400000000001</v>
      </c>
      <c r="T315">
        <f t="shared" si="50"/>
        <v>16.219506172839505</v>
      </c>
      <c r="U315">
        <f t="shared" si="51"/>
        <v>23.288777938271604</v>
      </c>
      <c r="X315" s="9"/>
      <c r="Y315" s="21">
        <v>0.23422200000000001</v>
      </c>
      <c r="Z315" s="21">
        <v>17.497199999999999</v>
      </c>
      <c r="AA315" s="21">
        <v>-1.4987199999999999E-2</v>
      </c>
      <c r="AB315" s="21">
        <v>305</v>
      </c>
      <c r="AC315" s="21">
        <v>0.233704</v>
      </c>
      <c r="AD315">
        <f t="shared" si="52"/>
        <v>18.502716049382713</v>
      </c>
      <c r="AE315">
        <f t="shared" si="53"/>
        <v>4.3337431585185175</v>
      </c>
      <c r="AF315" s="9"/>
      <c r="AG315" s="21">
        <v>1.4358500000000001</v>
      </c>
      <c r="AH315" s="21">
        <v>21.256</v>
      </c>
      <c r="AI315" s="21">
        <v>-1.31927E-2</v>
      </c>
      <c r="AJ315" s="21">
        <v>305</v>
      </c>
      <c r="AK315" s="21">
        <v>1.4355500000000001</v>
      </c>
      <c r="AL315">
        <f t="shared" si="54"/>
        <v>16.287283950617283</v>
      </c>
      <c r="AM315">
        <f t="shared" si="55"/>
        <v>23.386096660493827</v>
      </c>
      <c r="AP315" s="9"/>
      <c r="AQ315" s="21">
        <v>0.23422200000000001</v>
      </c>
      <c r="AR315" s="21">
        <v>26.698399999999999</v>
      </c>
      <c r="AS315" s="21">
        <v>-1.49841E-2</v>
      </c>
      <c r="AT315" s="21">
        <v>305</v>
      </c>
      <c r="AU315" s="21">
        <v>0.23367299999999999</v>
      </c>
      <c r="AV315">
        <f t="shared" si="56"/>
        <v>18.498888888888889</v>
      </c>
      <c r="AW315">
        <f t="shared" si="57"/>
        <v>4.3328467533333335</v>
      </c>
      <c r="AX315" s="9"/>
      <c r="AY315" s="21">
        <v>1.4358500000000001</v>
      </c>
      <c r="AZ315" s="21">
        <v>30.4572</v>
      </c>
      <c r="BA315" s="21">
        <v>-1.3195800000000001E-2</v>
      </c>
      <c r="BB315" s="21">
        <v>305</v>
      </c>
      <c r="BC315" s="21">
        <v>1.4349400000000001</v>
      </c>
      <c r="BD315">
        <f t="shared" si="58"/>
        <v>16.29111111111111</v>
      </c>
      <c r="BE315">
        <f t="shared" si="59"/>
        <v>23.39159188888889</v>
      </c>
    </row>
    <row r="316" spans="6:57" x14ac:dyDescent="0.25">
      <c r="F316" s="9"/>
      <c r="G316" s="21">
        <v>0.229187</v>
      </c>
      <c r="H316" s="21">
        <v>8.2810500000000005</v>
      </c>
      <c r="I316" s="21">
        <v>-1.4947500000000001E-2</v>
      </c>
      <c r="J316" s="21">
        <v>306</v>
      </c>
      <c r="K316" s="21">
        <v>0.228516</v>
      </c>
      <c r="L316">
        <f t="shared" si="48"/>
        <v>18.453703703703706</v>
      </c>
      <c r="M316">
        <f t="shared" si="49"/>
        <v>4.2293489907407409</v>
      </c>
      <c r="N316" s="9"/>
      <c r="O316" s="21">
        <v>1.44089</v>
      </c>
      <c r="P316" s="21">
        <v>12.0398</v>
      </c>
      <c r="Q316" s="21">
        <v>-1.3107300000000001E-2</v>
      </c>
      <c r="R316" s="21">
        <v>306</v>
      </c>
      <c r="S316" s="21">
        <v>1.4404300000000001</v>
      </c>
      <c r="T316">
        <f t="shared" si="50"/>
        <v>16.181851851851849</v>
      </c>
      <c r="U316">
        <f t="shared" si="51"/>
        <v>23.316268514814812</v>
      </c>
      <c r="X316" s="9"/>
      <c r="Y316" s="21">
        <v>0.229187</v>
      </c>
      <c r="Z316" s="21">
        <v>17.507300000000001</v>
      </c>
      <c r="AA316" s="21">
        <v>-1.4975E-2</v>
      </c>
      <c r="AB316" s="21">
        <v>306</v>
      </c>
      <c r="AC316" s="21">
        <v>0.228546</v>
      </c>
      <c r="AD316">
        <f t="shared" si="52"/>
        <v>18.487654320987652</v>
      </c>
      <c r="AE316">
        <f t="shared" si="53"/>
        <v>4.237130030864197</v>
      </c>
      <c r="AF316" s="9"/>
      <c r="AG316" s="21">
        <v>1.44089</v>
      </c>
      <c r="AH316" s="21">
        <v>21.265999999999998</v>
      </c>
      <c r="AI316" s="21">
        <v>-1.3159199999999999E-2</v>
      </c>
      <c r="AJ316" s="21">
        <v>306</v>
      </c>
      <c r="AK316" s="21">
        <v>1.4395100000000001</v>
      </c>
      <c r="AL316">
        <f t="shared" si="54"/>
        <v>16.245925925925924</v>
      </c>
      <c r="AM316">
        <f t="shared" si="55"/>
        <v>23.408592207407406</v>
      </c>
      <c r="AP316" s="9"/>
      <c r="AQ316" s="21">
        <v>0.229187</v>
      </c>
      <c r="AR316" s="21">
        <v>26.708500000000001</v>
      </c>
      <c r="AS316" s="21">
        <v>-1.4993299999999999E-2</v>
      </c>
      <c r="AT316" s="21">
        <v>306</v>
      </c>
      <c r="AU316" s="21">
        <v>0.228516</v>
      </c>
      <c r="AV316">
        <f t="shared" si="56"/>
        <v>18.510246913580243</v>
      </c>
      <c r="AW316">
        <f t="shared" si="57"/>
        <v>4.2423079593827149</v>
      </c>
      <c r="AX316" s="9"/>
      <c r="AY316" s="21">
        <v>1.44089</v>
      </c>
      <c r="AZ316" s="21">
        <v>30.467300000000002</v>
      </c>
      <c r="BA316" s="21">
        <v>-1.3162200000000001E-2</v>
      </c>
      <c r="BB316" s="21">
        <v>306</v>
      </c>
      <c r="BC316" s="21">
        <v>1.4407300000000001</v>
      </c>
      <c r="BD316">
        <f t="shared" si="58"/>
        <v>16.249629629629627</v>
      </c>
      <c r="BE316">
        <f t="shared" si="59"/>
        <v>23.413928837037034</v>
      </c>
    </row>
    <row r="317" spans="6:57" x14ac:dyDescent="0.25">
      <c r="F317" s="9"/>
      <c r="G317" s="21">
        <v>0.22415199999999999</v>
      </c>
      <c r="H317" s="21">
        <v>8.2911199999999994</v>
      </c>
      <c r="I317" s="21">
        <v>-1.4938399999999999E-2</v>
      </c>
      <c r="J317" s="21">
        <v>307</v>
      </c>
      <c r="K317" s="21">
        <v>0.22357199999999999</v>
      </c>
      <c r="L317">
        <f t="shared" si="48"/>
        <v>18.442469135802465</v>
      </c>
      <c r="M317">
        <f t="shared" si="49"/>
        <v>4.1339163417283942</v>
      </c>
      <c r="N317" s="9"/>
      <c r="O317" s="21">
        <v>1.4459200000000001</v>
      </c>
      <c r="P317" s="21">
        <v>12.049899999999999</v>
      </c>
      <c r="Q317" s="21">
        <v>-1.30829E-2</v>
      </c>
      <c r="R317" s="21">
        <v>307</v>
      </c>
      <c r="S317" s="21">
        <v>1.4450099999999999</v>
      </c>
      <c r="T317">
        <f t="shared" si="50"/>
        <v>16.151728395061728</v>
      </c>
      <c r="U317">
        <f t="shared" si="51"/>
        <v>23.354107120987656</v>
      </c>
      <c r="X317" s="9"/>
      <c r="Y317" s="21">
        <v>0.22415199999999999</v>
      </c>
      <c r="Z317" s="21">
        <v>17.517299999999999</v>
      </c>
      <c r="AA317" s="21">
        <v>-1.49689E-2</v>
      </c>
      <c r="AB317" s="21">
        <v>307</v>
      </c>
      <c r="AC317" s="21">
        <v>0.22357199999999999</v>
      </c>
      <c r="AD317">
        <f t="shared" si="52"/>
        <v>18.480123456790125</v>
      </c>
      <c r="AE317">
        <f t="shared" si="53"/>
        <v>4.1423566330864201</v>
      </c>
      <c r="AF317" s="9"/>
      <c r="AG317" s="21">
        <v>1.4459200000000001</v>
      </c>
      <c r="AH317" s="21">
        <v>21.2761</v>
      </c>
      <c r="AI317" s="21">
        <v>-1.3125599999999999E-2</v>
      </c>
      <c r="AJ317" s="21">
        <v>307</v>
      </c>
      <c r="AK317" s="21">
        <v>1.4453100000000001</v>
      </c>
      <c r="AL317">
        <f t="shared" si="54"/>
        <v>16.204444444444441</v>
      </c>
      <c r="AM317">
        <f t="shared" si="55"/>
        <v>23.430330311111106</v>
      </c>
      <c r="AP317" s="9"/>
      <c r="AQ317" s="21">
        <v>0.22415199999999999</v>
      </c>
      <c r="AR317" s="21">
        <v>26.718599999999999</v>
      </c>
      <c r="AS317" s="21">
        <v>-1.49994E-2</v>
      </c>
      <c r="AT317" s="21">
        <v>307</v>
      </c>
      <c r="AU317" s="21">
        <v>0.22357199999999999</v>
      </c>
      <c r="AV317">
        <f t="shared" si="56"/>
        <v>18.517777777777777</v>
      </c>
      <c r="AW317">
        <f t="shared" si="57"/>
        <v>4.1507969244444443</v>
      </c>
      <c r="AX317" s="9"/>
      <c r="AY317" s="21">
        <v>1.4459200000000001</v>
      </c>
      <c r="AZ317" s="21">
        <v>30.4773</v>
      </c>
      <c r="BA317" s="21">
        <v>-1.31287E-2</v>
      </c>
      <c r="BB317" s="21">
        <v>307</v>
      </c>
      <c r="BC317" s="21">
        <v>1.4453100000000001</v>
      </c>
      <c r="BD317">
        <f t="shared" si="58"/>
        <v>16.208271604938268</v>
      </c>
      <c r="BE317">
        <f t="shared" si="59"/>
        <v>23.435864079012344</v>
      </c>
    </row>
    <row r="318" spans="6:57" x14ac:dyDescent="0.25">
      <c r="F318" s="9"/>
      <c r="G318" s="21">
        <v>0.21911600000000001</v>
      </c>
      <c r="H318" s="21">
        <v>8.3011900000000001</v>
      </c>
      <c r="I318" s="21">
        <v>-1.49292E-2</v>
      </c>
      <c r="J318" s="21">
        <v>308</v>
      </c>
      <c r="K318" s="21">
        <v>0.21850600000000001</v>
      </c>
      <c r="L318">
        <f t="shared" si="48"/>
        <v>18.431111111111111</v>
      </c>
      <c r="M318">
        <f t="shared" si="49"/>
        <v>4.0385513422222221</v>
      </c>
      <c r="N318" s="9"/>
      <c r="O318" s="21">
        <v>1.45096</v>
      </c>
      <c r="P318" s="21">
        <v>12.06</v>
      </c>
      <c r="Q318" s="21">
        <v>-1.30524E-2</v>
      </c>
      <c r="R318" s="21">
        <v>308</v>
      </c>
      <c r="S318" s="21">
        <v>1.4501999999999999</v>
      </c>
      <c r="T318">
        <f t="shared" si="50"/>
        <v>16.114074074074072</v>
      </c>
      <c r="U318">
        <f t="shared" si="51"/>
        <v>23.380876918518517</v>
      </c>
      <c r="X318" s="9"/>
      <c r="Y318" s="21">
        <v>0.21911600000000001</v>
      </c>
      <c r="Z318" s="21">
        <v>17.5274</v>
      </c>
      <c r="AA318" s="21">
        <v>-1.49719E-2</v>
      </c>
      <c r="AB318" s="21">
        <v>308</v>
      </c>
      <c r="AC318" s="21">
        <v>0.21853600000000001</v>
      </c>
      <c r="AD318">
        <f t="shared" si="52"/>
        <v>18.483827160493824</v>
      </c>
      <c r="AE318">
        <f t="shared" si="53"/>
        <v>4.0501022720987647</v>
      </c>
      <c r="AF318" s="9"/>
      <c r="AG318" s="21">
        <v>1.45096</v>
      </c>
      <c r="AH318" s="21">
        <v>21.286200000000001</v>
      </c>
      <c r="AI318" s="21">
        <v>-1.3089E-2</v>
      </c>
      <c r="AJ318" s="21">
        <v>308</v>
      </c>
      <c r="AK318" s="21">
        <v>1.4501999999999999</v>
      </c>
      <c r="AL318">
        <f t="shared" si="54"/>
        <v>16.159259259259258</v>
      </c>
      <c r="AM318">
        <f t="shared" si="55"/>
        <v>23.446438814814815</v>
      </c>
      <c r="AP318" s="9"/>
      <c r="AQ318" s="21">
        <v>0.21911600000000001</v>
      </c>
      <c r="AR318" s="21">
        <v>26.7286</v>
      </c>
      <c r="AS318" s="21">
        <v>-1.4993299999999999E-2</v>
      </c>
      <c r="AT318" s="21">
        <v>308</v>
      </c>
      <c r="AU318" s="21">
        <v>0.21853600000000001</v>
      </c>
      <c r="AV318">
        <f t="shared" si="56"/>
        <v>18.510246913580243</v>
      </c>
      <c r="AW318">
        <f t="shared" si="57"/>
        <v>4.0558912627160488</v>
      </c>
      <c r="AX318" s="9"/>
      <c r="AY318" s="21">
        <v>1.45096</v>
      </c>
      <c r="AZ318" s="21">
        <v>30.487400000000001</v>
      </c>
      <c r="BA318" s="21">
        <v>-1.30951E-2</v>
      </c>
      <c r="BB318" s="21">
        <v>308</v>
      </c>
      <c r="BC318" s="21">
        <v>1.4501999999999999</v>
      </c>
      <c r="BD318">
        <f t="shared" si="58"/>
        <v>16.166790123456789</v>
      </c>
      <c r="BE318">
        <f t="shared" si="59"/>
        <v>23.457365797530862</v>
      </c>
    </row>
    <row r="319" spans="6:57" x14ac:dyDescent="0.25">
      <c r="F319" s="9"/>
      <c r="G319" s="21">
        <v>0.21408099999999999</v>
      </c>
      <c r="H319" s="21">
        <v>8.3112600000000008</v>
      </c>
      <c r="I319" s="21">
        <v>-1.4932300000000001E-2</v>
      </c>
      <c r="J319" s="21">
        <v>309</v>
      </c>
      <c r="K319" s="21">
        <v>0.213562</v>
      </c>
      <c r="L319">
        <f t="shared" si="48"/>
        <v>18.434938271604938</v>
      </c>
      <c r="M319">
        <f t="shared" si="49"/>
        <v>3.9465700201234566</v>
      </c>
      <c r="N319" s="9"/>
      <c r="O319" s="21">
        <v>1.4559899999999999</v>
      </c>
      <c r="P319" s="21">
        <v>12.07</v>
      </c>
      <c r="Q319" s="21">
        <v>-1.3018800000000001E-2</v>
      </c>
      <c r="R319" s="21">
        <v>309</v>
      </c>
      <c r="S319" s="21">
        <v>1.4544699999999999</v>
      </c>
      <c r="T319">
        <f t="shared" si="50"/>
        <v>16.072592592592592</v>
      </c>
      <c r="U319">
        <f t="shared" si="51"/>
        <v>23.401534088888887</v>
      </c>
      <c r="X319" s="9"/>
      <c r="Y319" s="21">
        <v>0.21408099999999999</v>
      </c>
      <c r="Z319" s="21">
        <v>17.537500000000001</v>
      </c>
      <c r="AA319" s="21">
        <v>-1.49841E-2</v>
      </c>
      <c r="AB319" s="21">
        <v>309</v>
      </c>
      <c r="AC319" s="21">
        <v>0.213562</v>
      </c>
      <c r="AD319">
        <f t="shared" si="52"/>
        <v>18.498888888888889</v>
      </c>
      <c r="AE319">
        <f t="shared" si="53"/>
        <v>3.960260632222222</v>
      </c>
      <c r="AF319" s="9"/>
      <c r="AG319" s="21">
        <v>1.4559899999999999</v>
      </c>
      <c r="AH319" s="21">
        <v>21.296199999999999</v>
      </c>
      <c r="AI319" s="21">
        <v>-1.30524E-2</v>
      </c>
      <c r="AJ319" s="21">
        <v>309</v>
      </c>
      <c r="AK319" s="21">
        <v>1.4550799999999999</v>
      </c>
      <c r="AL319">
        <f t="shared" si="54"/>
        <v>16.114074074074072</v>
      </c>
      <c r="AM319">
        <f t="shared" si="55"/>
        <v>23.461930711111105</v>
      </c>
      <c r="AP319" s="9"/>
      <c r="AQ319" s="21">
        <v>0.21408099999999999</v>
      </c>
      <c r="AR319" s="21">
        <v>26.738700000000001</v>
      </c>
      <c r="AS319" s="21">
        <v>-1.49994E-2</v>
      </c>
      <c r="AT319" s="21">
        <v>309</v>
      </c>
      <c r="AU319" s="21">
        <v>0.21340899999999999</v>
      </c>
      <c r="AV319">
        <f t="shared" si="56"/>
        <v>18.517777777777777</v>
      </c>
      <c r="AW319">
        <f t="shared" si="57"/>
        <v>3.9643043844444441</v>
      </c>
      <c r="AX319" s="9"/>
      <c r="AY319" s="21">
        <v>1.4559899999999999</v>
      </c>
      <c r="AZ319" s="21">
        <v>30.497499999999999</v>
      </c>
      <c r="BA319" s="21">
        <v>-1.3058500000000001E-2</v>
      </c>
      <c r="BB319" s="21">
        <v>309</v>
      </c>
      <c r="BC319" s="21">
        <v>1.4556899999999999</v>
      </c>
      <c r="BD319">
        <f t="shared" si="58"/>
        <v>16.121604938271602</v>
      </c>
      <c r="BE319">
        <f t="shared" si="59"/>
        <v>23.472895574074069</v>
      </c>
    </row>
    <row r="320" spans="6:57" x14ac:dyDescent="0.25">
      <c r="F320" s="9"/>
      <c r="G320" s="21">
        <v>0.20904500000000001</v>
      </c>
      <c r="H320" s="21">
        <v>8.3213299999999997</v>
      </c>
      <c r="I320" s="21">
        <v>-1.4932300000000001E-2</v>
      </c>
      <c r="J320" s="21">
        <v>310</v>
      </c>
      <c r="K320" s="21">
        <v>0.20846600000000001</v>
      </c>
      <c r="L320">
        <f t="shared" si="48"/>
        <v>18.434938271604938</v>
      </c>
      <c r="M320">
        <f t="shared" si="49"/>
        <v>3.8537316709876546</v>
      </c>
      <c r="N320" s="9"/>
      <c r="O320" s="21">
        <v>1.4610300000000001</v>
      </c>
      <c r="P320" s="21">
        <v>12.0801</v>
      </c>
      <c r="Q320" s="21">
        <v>-1.2982199999999999E-2</v>
      </c>
      <c r="R320" s="21">
        <v>310</v>
      </c>
      <c r="S320" s="21">
        <v>1.46088</v>
      </c>
      <c r="T320">
        <f t="shared" si="50"/>
        <v>16.027407407407406</v>
      </c>
      <c r="U320">
        <f t="shared" si="51"/>
        <v>23.416523044444443</v>
      </c>
      <c r="X320" s="9"/>
      <c r="Y320" s="21">
        <v>0.20904500000000001</v>
      </c>
      <c r="Z320" s="21">
        <v>17.547499999999999</v>
      </c>
      <c r="AA320" s="21">
        <v>-1.4993299999999999E-2</v>
      </c>
      <c r="AB320" s="21">
        <v>310</v>
      </c>
      <c r="AC320" s="21">
        <v>0.208618</v>
      </c>
      <c r="AD320">
        <f t="shared" si="52"/>
        <v>18.510246913580243</v>
      </c>
      <c r="AE320">
        <f t="shared" si="53"/>
        <v>3.8694745660493819</v>
      </c>
      <c r="AF320" s="9"/>
      <c r="AG320" s="21">
        <v>1.4610300000000001</v>
      </c>
      <c r="AH320" s="21">
        <v>21.3063</v>
      </c>
      <c r="AI320" s="21">
        <v>-1.30127E-2</v>
      </c>
      <c r="AJ320" s="21">
        <v>310</v>
      </c>
      <c r="AK320" s="21">
        <v>1.4599599999999999</v>
      </c>
      <c r="AL320">
        <f t="shared" si="54"/>
        <v>16.065061728395062</v>
      </c>
      <c r="AM320">
        <f t="shared" si="55"/>
        <v>23.471537137037039</v>
      </c>
      <c r="AP320" s="9"/>
      <c r="AQ320" s="21">
        <v>0.20904500000000001</v>
      </c>
      <c r="AR320" s="21">
        <v>26.748799999999999</v>
      </c>
      <c r="AS320" s="21">
        <v>-1.50055E-2</v>
      </c>
      <c r="AT320" s="21">
        <v>310</v>
      </c>
      <c r="AU320" s="21">
        <v>0.20843500000000001</v>
      </c>
      <c r="AV320">
        <f t="shared" si="56"/>
        <v>18.525308641975307</v>
      </c>
      <c r="AW320">
        <f t="shared" si="57"/>
        <v>3.8726231450617283</v>
      </c>
      <c r="AX320" s="9"/>
      <c r="AY320" s="21">
        <v>1.4610300000000001</v>
      </c>
      <c r="AZ320" s="21">
        <v>30.5075</v>
      </c>
      <c r="BA320" s="21">
        <v>-1.3018800000000001E-2</v>
      </c>
      <c r="BB320" s="21">
        <v>310</v>
      </c>
      <c r="BC320" s="21">
        <v>1.4605699999999999</v>
      </c>
      <c r="BD320">
        <f t="shared" si="58"/>
        <v>16.072592592592592</v>
      </c>
      <c r="BE320">
        <f t="shared" si="59"/>
        <v>23.482539955555556</v>
      </c>
    </row>
    <row r="321" spans="6:57" x14ac:dyDescent="0.25">
      <c r="F321" s="9"/>
      <c r="G321" s="21">
        <v>0.20401</v>
      </c>
      <c r="H321" s="21">
        <v>8.3314000000000004</v>
      </c>
      <c r="I321" s="21">
        <v>-1.49353E-2</v>
      </c>
      <c r="J321" s="21">
        <v>311</v>
      </c>
      <c r="K321" s="21">
        <v>0.2034</v>
      </c>
      <c r="L321">
        <f t="shared" si="48"/>
        <v>18.438641975308641</v>
      </c>
      <c r="M321">
        <f t="shared" si="49"/>
        <v>3.7616673493827157</v>
      </c>
      <c r="N321" s="9"/>
      <c r="O321" s="21">
        <v>1.4660599999999999</v>
      </c>
      <c r="P321" s="21">
        <v>12.090199999999999</v>
      </c>
      <c r="Q321" s="21">
        <v>-1.29456E-2</v>
      </c>
      <c r="R321" s="21">
        <v>311</v>
      </c>
      <c r="S321" s="21">
        <v>1.46576</v>
      </c>
      <c r="T321">
        <f t="shared" si="50"/>
        <v>15.982222222222221</v>
      </c>
      <c r="U321">
        <f t="shared" si="51"/>
        <v>23.430896711111107</v>
      </c>
      <c r="X321" s="9"/>
      <c r="Y321" s="21">
        <v>0.20401</v>
      </c>
      <c r="Z321" s="21">
        <v>17.557600000000001</v>
      </c>
      <c r="AA321" s="21">
        <v>-1.50055E-2</v>
      </c>
      <c r="AB321" s="21">
        <v>311</v>
      </c>
      <c r="AC321" s="21">
        <v>0.20330799999999999</v>
      </c>
      <c r="AD321">
        <f t="shared" si="52"/>
        <v>18.525308641975307</v>
      </c>
      <c r="AE321">
        <f t="shared" si="53"/>
        <v>3.7793482160493825</v>
      </c>
      <c r="AF321" s="9"/>
      <c r="AG321" s="21">
        <v>1.4660599999999999</v>
      </c>
      <c r="AH321" s="21">
        <v>21.316400000000002</v>
      </c>
      <c r="AI321" s="21">
        <v>-1.2982199999999999E-2</v>
      </c>
      <c r="AJ321" s="21">
        <v>311</v>
      </c>
      <c r="AK321" s="21">
        <v>1.4654499999999999</v>
      </c>
      <c r="AL321">
        <f t="shared" si="54"/>
        <v>16.027407407407406</v>
      </c>
      <c r="AM321">
        <f t="shared" si="55"/>
        <v>23.497140903703698</v>
      </c>
      <c r="AP321" s="9"/>
      <c r="AQ321" s="21">
        <v>0.20401</v>
      </c>
      <c r="AR321" s="21">
        <v>26.758800000000001</v>
      </c>
      <c r="AS321" s="21">
        <v>-1.5002400000000001E-2</v>
      </c>
      <c r="AT321" s="21">
        <v>311</v>
      </c>
      <c r="AU321" s="21">
        <v>0.2034</v>
      </c>
      <c r="AV321">
        <f t="shared" si="56"/>
        <v>18.521481481481484</v>
      </c>
      <c r="AW321">
        <f t="shared" si="57"/>
        <v>3.7785674370370375</v>
      </c>
      <c r="AX321" s="9"/>
      <c r="AY321" s="21">
        <v>1.4660599999999999</v>
      </c>
      <c r="AZ321" s="21">
        <v>30.517600000000002</v>
      </c>
      <c r="BA321" s="21">
        <v>-1.2985200000000001E-2</v>
      </c>
      <c r="BB321" s="21">
        <v>311</v>
      </c>
      <c r="BC321" s="21">
        <v>1.46515</v>
      </c>
      <c r="BD321">
        <f t="shared" si="58"/>
        <v>16.031111111111109</v>
      </c>
      <c r="BE321">
        <f t="shared" si="59"/>
        <v>23.502570755555549</v>
      </c>
    </row>
    <row r="322" spans="6:57" x14ac:dyDescent="0.25">
      <c r="F322" s="9"/>
      <c r="G322" s="21">
        <v>0.19897500000000001</v>
      </c>
      <c r="H322" s="21">
        <v>8.3414699999999993</v>
      </c>
      <c r="I322" s="21">
        <v>-1.4941400000000001E-2</v>
      </c>
      <c r="J322" s="21">
        <v>312</v>
      </c>
      <c r="K322" s="21">
        <v>0.19839499999999999</v>
      </c>
      <c r="L322">
        <f t="shared" si="48"/>
        <v>18.446172839506172</v>
      </c>
      <c r="M322">
        <f t="shared" si="49"/>
        <v>3.670327240740741</v>
      </c>
      <c r="N322" s="9"/>
      <c r="O322" s="21">
        <v>1.4711000000000001</v>
      </c>
      <c r="P322" s="21">
        <v>12.100199999999999</v>
      </c>
      <c r="Q322" s="21">
        <v>-1.2908899999999999E-2</v>
      </c>
      <c r="R322" s="21">
        <v>312</v>
      </c>
      <c r="S322" s="21">
        <v>1.47095</v>
      </c>
      <c r="T322">
        <f t="shared" si="50"/>
        <v>15.936913580246911</v>
      </c>
      <c r="U322">
        <f t="shared" si="51"/>
        <v>23.444793567901232</v>
      </c>
      <c r="X322" s="9"/>
      <c r="Y322" s="21">
        <v>0.19897500000000001</v>
      </c>
      <c r="Z322" s="21">
        <v>17.567699999999999</v>
      </c>
      <c r="AA322" s="21">
        <v>-1.5002400000000001E-2</v>
      </c>
      <c r="AB322" s="21">
        <v>312</v>
      </c>
      <c r="AC322" s="21">
        <v>0.19842499999999999</v>
      </c>
      <c r="AD322">
        <f t="shared" si="52"/>
        <v>18.521481481481484</v>
      </c>
      <c r="AE322">
        <f t="shared" si="53"/>
        <v>3.6853117777777786</v>
      </c>
      <c r="AF322" s="9"/>
      <c r="AG322" s="21">
        <v>1.4711000000000001</v>
      </c>
      <c r="AH322" s="21">
        <v>21.326499999999999</v>
      </c>
      <c r="AI322" s="21">
        <v>-1.29456E-2</v>
      </c>
      <c r="AJ322" s="21">
        <v>312</v>
      </c>
      <c r="AK322" s="21">
        <v>1.4706399999999999</v>
      </c>
      <c r="AL322">
        <f t="shared" si="54"/>
        <v>15.982222222222221</v>
      </c>
      <c r="AM322">
        <f t="shared" si="55"/>
        <v>23.51144711111111</v>
      </c>
      <c r="AP322" s="9"/>
      <c r="AQ322" s="21">
        <v>0.19897500000000001</v>
      </c>
      <c r="AR322" s="21">
        <v>26.768899999999999</v>
      </c>
      <c r="AS322" s="21">
        <v>-1.4996300000000001E-2</v>
      </c>
      <c r="AT322" s="21">
        <v>312</v>
      </c>
      <c r="AU322" s="21">
        <v>0.19833400000000001</v>
      </c>
      <c r="AV322">
        <f t="shared" si="56"/>
        <v>18.51395061728395</v>
      </c>
      <c r="AW322">
        <f t="shared" si="57"/>
        <v>3.683813324074074</v>
      </c>
      <c r="AX322" s="9"/>
      <c r="AY322" s="21">
        <v>1.4711000000000001</v>
      </c>
      <c r="AZ322" s="21">
        <v>30.527699999999999</v>
      </c>
      <c r="BA322" s="21">
        <v>-1.2948599999999999E-2</v>
      </c>
      <c r="BB322" s="21">
        <v>312</v>
      </c>
      <c r="BC322" s="21">
        <v>1.4706399999999999</v>
      </c>
      <c r="BD322">
        <f t="shared" si="58"/>
        <v>15.985925925925924</v>
      </c>
      <c r="BE322">
        <f t="shared" si="59"/>
        <v>23.51689562962963</v>
      </c>
    </row>
    <row r="323" spans="6:57" x14ac:dyDescent="0.25">
      <c r="F323" s="9"/>
      <c r="G323" s="21">
        <v>0.193939</v>
      </c>
      <c r="H323" s="21">
        <v>8.3515499999999996</v>
      </c>
      <c r="I323" s="21">
        <v>-1.4959699999999999E-2</v>
      </c>
      <c r="J323" s="21">
        <v>313</v>
      </c>
      <c r="K323" s="21">
        <v>0.193359</v>
      </c>
      <c r="L323">
        <f t="shared" si="48"/>
        <v>18.468765432098763</v>
      </c>
      <c r="M323">
        <f t="shared" si="49"/>
        <v>3.5818138991358022</v>
      </c>
      <c r="N323" s="9"/>
      <c r="O323" s="21">
        <v>1.47614</v>
      </c>
      <c r="P323" s="21">
        <v>12.110300000000001</v>
      </c>
      <c r="Q323" s="21">
        <v>-1.28632E-2</v>
      </c>
      <c r="R323" s="21">
        <v>313</v>
      </c>
      <c r="S323" s="21">
        <v>1.4755199999999999</v>
      </c>
      <c r="T323">
        <f t="shared" si="50"/>
        <v>15.880493827160493</v>
      </c>
      <c r="U323">
        <f t="shared" si="51"/>
        <v>23.441832158024688</v>
      </c>
      <c r="X323" s="9"/>
      <c r="Y323" s="21">
        <v>0.193939</v>
      </c>
      <c r="Z323" s="21">
        <v>17.5778</v>
      </c>
      <c r="AA323" s="21">
        <v>-1.49994E-2</v>
      </c>
      <c r="AB323" s="21">
        <v>313</v>
      </c>
      <c r="AC323" s="21">
        <v>0.19342000000000001</v>
      </c>
      <c r="AD323">
        <f t="shared" si="52"/>
        <v>18.517777777777777</v>
      </c>
      <c r="AE323">
        <f t="shared" si="53"/>
        <v>3.5913193044444442</v>
      </c>
      <c r="AF323" s="9"/>
      <c r="AG323" s="21">
        <v>1.47614</v>
      </c>
      <c r="AH323" s="21">
        <v>21.336500000000001</v>
      </c>
      <c r="AI323" s="21">
        <v>-1.2908899999999999E-2</v>
      </c>
      <c r="AJ323" s="21">
        <v>313</v>
      </c>
      <c r="AK323" s="21">
        <v>1.47461</v>
      </c>
      <c r="AL323">
        <f t="shared" si="54"/>
        <v>15.936913580246911</v>
      </c>
      <c r="AM323">
        <f t="shared" si="55"/>
        <v>23.525115612345676</v>
      </c>
      <c r="AP323" s="9"/>
      <c r="AQ323" s="21">
        <v>0.193939</v>
      </c>
      <c r="AR323" s="21">
        <v>26.779</v>
      </c>
      <c r="AS323" s="21">
        <v>-1.5002400000000001E-2</v>
      </c>
      <c r="AT323" s="21">
        <v>313</v>
      </c>
      <c r="AU323" s="21">
        <v>0.19339000000000001</v>
      </c>
      <c r="AV323">
        <f t="shared" si="56"/>
        <v>18.521481481481484</v>
      </c>
      <c r="AW323">
        <f t="shared" si="57"/>
        <v>3.5920375970370375</v>
      </c>
      <c r="AX323" s="9"/>
      <c r="AY323" s="21">
        <v>1.47614</v>
      </c>
      <c r="AZ323" s="21">
        <v>30.537800000000001</v>
      </c>
      <c r="BA323" s="21">
        <v>-1.2912E-2</v>
      </c>
      <c r="BB323" s="21">
        <v>313</v>
      </c>
      <c r="BC323" s="21">
        <v>1.47522</v>
      </c>
      <c r="BD323">
        <f t="shared" si="58"/>
        <v>15.940740740740738</v>
      </c>
      <c r="BE323">
        <f t="shared" si="59"/>
        <v>23.530765037037032</v>
      </c>
    </row>
    <row r="324" spans="6:57" x14ac:dyDescent="0.25">
      <c r="F324" s="9"/>
      <c r="G324" s="21">
        <v>0.18890399999999999</v>
      </c>
      <c r="H324" s="21">
        <v>8.3616200000000003</v>
      </c>
      <c r="I324" s="21">
        <v>-1.49719E-2</v>
      </c>
      <c r="J324" s="21">
        <v>314</v>
      </c>
      <c r="K324" s="21">
        <v>0.188385</v>
      </c>
      <c r="L324">
        <f t="shared" si="48"/>
        <v>18.483827160493824</v>
      </c>
      <c r="M324">
        <f t="shared" si="49"/>
        <v>3.4916688859259253</v>
      </c>
      <c r="N324" s="9"/>
      <c r="O324" s="21">
        <v>1.4811700000000001</v>
      </c>
      <c r="P324" s="21">
        <v>12.1204</v>
      </c>
      <c r="Q324" s="21">
        <v>-1.28296E-2</v>
      </c>
      <c r="R324" s="21">
        <v>314</v>
      </c>
      <c r="S324" s="21">
        <v>1.48041</v>
      </c>
      <c r="T324">
        <f t="shared" si="50"/>
        <v>15.839012345679013</v>
      </c>
      <c r="U324">
        <f t="shared" si="51"/>
        <v>23.460269916049384</v>
      </c>
      <c r="X324" s="9"/>
      <c r="Y324" s="21">
        <v>0.18890399999999999</v>
      </c>
      <c r="Z324" s="21">
        <v>17.587800000000001</v>
      </c>
      <c r="AA324" s="21">
        <v>-1.49994E-2</v>
      </c>
      <c r="AB324" s="21">
        <v>314</v>
      </c>
      <c r="AC324" s="21">
        <v>0.18832399999999999</v>
      </c>
      <c r="AD324">
        <f t="shared" si="52"/>
        <v>18.517777777777777</v>
      </c>
      <c r="AE324">
        <f t="shared" si="53"/>
        <v>3.4980822933333329</v>
      </c>
      <c r="AF324" s="9"/>
      <c r="AG324" s="21">
        <v>1.4811700000000001</v>
      </c>
      <c r="AH324" s="21">
        <v>21.346599999999999</v>
      </c>
      <c r="AI324" s="21">
        <v>-1.28662E-2</v>
      </c>
      <c r="AJ324" s="21">
        <v>314</v>
      </c>
      <c r="AK324" s="21">
        <v>1.48071</v>
      </c>
      <c r="AL324">
        <f t="shared" si="54"/>
        <v>15.884197530864196</v>
      </c>
      <c r="AM324">
        <f t="shared" si="55"/>
        <v>23.527196856790123</v>
      </c>
      <c r="AP324" s="9"/>
      <c r="AQ324" s="21">
        <v>0.18890399999999999</v>
      </c>
      <c r="AR324" s="21">
        <v>26.789100000000001</v>
      </c>
      <c r="AS324" s="21">
        <v>-1.50055E-2</v>
      </c>
      <c r="AT324" s="21">
        <v>314</v>
      </c>
      <c r="AU324" s="21">
        <v>0.18832399999999999</v>
      </c>
      <c r="AV324">
        <f t="shared" si="56"/>
        <v>18.525308641975307</v>
      </c>
      <c r="AW324">
        <f t="shared" si="57"/>
        <v>3.4995049037037034</v>
      </c>
      <c r="AX324" s="9"/>
      <c r="AY324" s="21">
        <v>1.4811700000000001</v>
      </c>
      <c r="AZ324" s="21">
        <v>30.547799999999999</v>
      </c>
      <c r="BA324" s="21">
        <v>-1.28632E-2</v>
      </c>
      <c r="BB324" s="21">
        <v>314</v>
      </c>
      <c r="BC324" s="21">
        <v>1.48041</v>
      </c>
      <c r="BD324">
        <f t="shared" si="58"/>
        <v>15.880493827160493</v>
      </c>
      <c r="BE324">
        <f t="shared" si="59"/>
        <v>23.521711041975308</v>
      </c>
    </row>
    <row r="325" spans="6:57" x14ac:dyDescent="0.25">
      <c r="F325" s="9"/>
      <c r="G325" s="21">
        <v>0.183868</v>
      </c>
      <c r="H325" s="21">
        <v>8.3716899999999992</v>
      </c>
      <c r="I325" s="21">
        <v>-1.49719E-2</v>
      </c>
      <c r="J325" s="21">
        <v>315</v>
      </c>
      <c r="K325" s="21">
        <v>0.183258</v>
      </c>
      <c r="L325">
        <f t="shared" si="48"/>
        <v>18.483827160493824</v>
      </c>
      <c r="M325">
        <f t="shared" si="49"/>
        <v>3.3985843323456786</v>
      </c>
      <c r="N325" s="9"/>
      <c r="O325" s="21">
        <v>1.48621</v>
      </c>
      <c r="P325" s="21">
        <v>12.1305</v>
      </c>
      <c r="Q325" s="21">
        <v>-1.2799100000000001E-2</v>
      </c>
      <c r="R325" s="21">
        <v>315</v>
      </c>
      <c r="S325" s="21">
        <v>1.4856</v>
      </c>
      <c r="T325">
        <f t="shared" si="50"/>
        <v>15.801358024691359</v>
      </c>
      <c r="U325">
        <f t="shared" si="51"/>
        <v>23.484136309876543</v>
      </c>
      <c r="X325" s="9"/>
      <c r="Y325" s="21">
        <v>0.183868</v>
      </c>
      <c r="Z325" s="21">
        <v>17.597899999999999</v>
      </c>
      <c r="AA325" s="21">
        <v>-1.4987199999999999E-2</v>
      </c>
      <c r="AB325" s="21">
        <v>315</v>
      </c>
      <c r="AC325" s="21">
        <v>0.183228</v>
      </c>
      <c r="AD325">
        <f t="shared" si="52"/>
        <v>18.502716049382713</v>
      </c>
      <c r="AE325">
        <f t="shared" si="53"/>
        <v>3.4020573945679007</v>
      </c>
      <c r="AF325" s="9"/>
      <c r="AG325" s="21">
        <v>1.48621</v>
      </c>
      <c r="AH325" s="21">
        <v>21.3567</v>
      </c>
      <c r="AI325" s="21">
        <v>-1.2820399999999999E-2</v>
      </c>
      <c r="AJ325" s="21">
        <v>315</v>
      </c>
      <c r="AK325" s="21">
        <v>1.4856</v>
      </c>
      <c r="AL325">
        <f t="shared" si="54"/>
        <v>15.827654320987653</v>
      </c>
      <c r="AM325">
        <f t="shared" si="55"/>
        <v>23.523218128395062</v>
      </c>
      <c r="AP325" s="9"/>
      <c r="AQ325" s="21">
        <v>0.183868</v>
      </c>
      <c r="AR325" s="21">
        <v>26.799099999999999</v>
      </c>
      <c r="AS325" s="21">
        <v>-1.5014599999999999E-2</v>
      </c>
      <c r="AT325" s="21">
        <v>315</v>
      </c>
      <c r="AU325" s="21">
        <v>0.18331900000000001</v>
      </c>
      <c r="AV325">
        <f t="shared" si="56"/>
        <v>18.536543209876541</v>
      </c>
      <c r="AW325">
        <f t="shared" si="57"/>
        <v>3.4082771269135801</v>
      </c>
      <c r="AX325" s="9"/>
      <c r="AY325" s="21">
        <v>1.48621</v>
      </c>
      <c r="AZ325" s="21">
        <v>30.5579</v>
      </c>
      <c r="BA325" s="21">
        <v>-1.28174E-2</v>
      </c>
      <c r="BB325" s="21">
        <v>315</v>
      </c>
      <c r="BC325" s="21">
        <v>1.4859</v>
      </c>
      <c r="BD325">
        <f t="shared" si="58"/>
        <v>15.82395061728395</v>
      </c>
      <c r="BE325">
        <f t="shared" si="59"/>
        <v>23.517713646913581</v>
      </c>
    </row>
    <row r="326" spans="6:57" x14ac:dyDescent="0.25">
      <c r="F326" s="9"/>
      <c r="G326" s="21">
        <v>0.17883299999999999</v>
      </c>
      <c r="H326" s="21">
        <v>8.3817599999999999</v>
      </c>
      <c r="I326" s="21">
        <v>-1.49719E-2</v>
      </c>
      <c r="J326" s="21">
        <v>316</v>
      </c>
      <c r="K326" s="21">
        <v>0.178314</v>
      </c>
      <c r="L326">
        <f t="shared" si="48"/>
        <v>18.483827160493824</v>
      </c>
      <c r="M326">
        <f t="shared" si="49"/>
        <v>3.3055182625925918</v>
      </c>
      <c r="N326" s="9"/>
      <c r="O326" s="21">
        <v>1.4912399999999999</v>
      </c>
      <c r="P326" s="21">
        <v>12.140499999999999</v>
      </c>
      <c r="Q326" s="21">
        <v>-1.27502E-2</v>
      </c>
      <c r="R326" s="21">
        <v>316</v>
      </c>
      <c r="S326" s="21">
        <v>1.49078</v>
      </c>
      <c r="T326">
        <f t="shared" si="50"/>
        <v>15.740987654320987</v>
      </c>
      <c r="U326">
        <f t="shared" si="51"/>
        <v>23.473590429629628</v>
      </c>
      <c r="X326" s="9"/>
      <c r="Y326" s="21">
        <v>0.17883299999999999</v>
      </c>
      <c r="Z326" s="21">
        <v>17.608000000000001</v>
      </c>
      <c r="AA326" s="21">
        <v>-1.49841E-2</v>
      </c>
      <c r="AB326" s="21">
        <v>316</v>
      </c>
      <c r="AC326" s="21">
        <v>0.17837500000000001</v>
      </c>
      <c r="AD326">
        <f t="shared" si="52"/>
        <v>18.498888888888889</v>
      </c>
      <c r="AE326">
        <f t="shared" si="53"/>
        <v>3.3082117966666664</v>
      </c>
      <c r="AF326" s="9"/>
      <c r="AG326" s="21">
        <v>1.4912399999999999</v>
      </c>
      <c r="AH326" s="21">
        <v>21.366700000000002</v>
      </c>
      <c r="AI326" s="21">
        <v>-1.27747E-2</v>
      </c>
      <c r="AJ326" s="21">
        <v>316</v>
      </c>
      <c r="AK326" s="21">
        <v>1.49078</v>
      </c>
      <c r="AL326">
        <f t="shared" si="54"/>
        <v>15.771234567901235</v>
      </c>
      <c r="AM326">
        <f t="shared" si="55"/>
        <v>23.518695837037036</v>
      </c>
      <c r="AP326" s="9"/>
      <c r="AQ326" s="21">
        <v>0.17883299999999999</v>
      </c>
      <c r="AR326" s="21">
        <v>26.809200000000001</v>
      </c>
      <c r="AS326" s="21">
        <v>-1.5014599999999999E-2</v>
      </c>
      <c r="AT326" s="21">
        <v>316</v>
      </c>
      <c r="AU326" s="21">
        <v>0.17837500000000001</v>
      </c>
      <c r="AV326">
        <f t="shared" si="56"/>
        <v>18.536543209876541</v>
      </c>
      <c r="AW326">
        <f t="shared" si="57"/>
        <v>3.3149456318518511</v>
      </c>
      <c r="AX326" s="9"/>
      <c r="AY326" s="21">
        <v>1.4912399999999999</v>
      </c>
      <c r="AZ326" s="21">
        <v>30.568000000000001</v>
      </c>
      <c r="BA326" s="21">
        <v>-1.2777699999999999E-2</v>
      </c>
      <c r="BB326" s="21">
        <v>316</v>
      </c>
      <c r="BC326" s="21">
        <v>1.49109</v>
      </c>
      <c r="BD326">
        <f t="shared" si="58"/>
        <v>15.774938271604935</v>
      </c>
      <c r="BE326">
        <f t="shared" si="59"/>
        <v>23.524218948148143</v>
      </c>
    </row>
    <row r="327" spans="6:57" x14ac:dyDescent="0.25">
      <c r="F327" s="9"/>
      <c r="G327" s="21">
        <v>0.17379800000000001</v>
      </c>
      <c r="H327" s="21">
        <v>8.3918300000000006</v>
      </c>
      <c r="I327" s="21">
        <v>-1.4978E-2</v>
      </c>
      <c r="J327" s="21">
        <v>317</v>
      </c>
      <c r="K327" s="21">
        <v>0.17315700000000001</v>
      </c>
      <c r="L327">
        <f t="shared" si="48"/>
        <v>18.491358024691355</v>
      </c>
      <c r="M327">
        <f t="shared" si="49"/>
        <v>3.2137610419753084</v>
      </c>
      <c r="N327" s="9"/>
      <c r="O327" s="21">
        <v>1.4962800000000001</v>
      </c>
      <c r="P327" s="21">
        <v>12.150600000000001</v>
      </c>
      <c r="Q327" s="21">
        <v>-1.2710600000000001E-2</v>
      </c>
      <c r="R327" s="21">
        <v>317</v>
      </c>
      <c r="S327" s="21">
        <v>1.4956700000000001</v>
      </c>
      <c r="T327">
        <f t="shared" si="50"/>
        <v>15.692098765432098</v>
      </c>
      <c r="U327">
        <f t="shared" si="51"/>
        <v>23.479773540740741</v>
      </c>
      <c r="X327" s="9"/>
      <c r="Y327" s="21">
        <v>0.17379800000000001</v>
      </c>
      <c r="Z327" s="21">
        <v>17.617999999999999</v>
      </c>
      <c r="AA327" s="21">
        <v>-1.4993299999999999E-2</v>
      </c>
      <c r="AB327" s="21">
        <v>317</v>
      </c>
      <c r="AC327" s="21">
        <v>0.17318700000000001</v>
      </c>
      <c r="AD327">
        <f t="shared" si="52"/>
        <v>18.510246913580243</v>
      </c>
      <c r="AE327">
        <f t="shared" si="53"/>
        <v>3.2170438930864194</v>
      </c>
      <c r="AF327" s="9"/>
      <c r="AG327" s="21">
        <v>1.4962800000000001</v>
      </c>
      <c r="AH327" s="21">
        <v>21.376799999999999</v>
      </c>
      <c r="AI327" s="21">
        <v>-1.2735E-2</v>
      </c>
      <c r="AJ327" s="21">
        <v>317</v>
      </c>
      <c r="AK327" s="21">
        <v>1.49597</v>
      </c>
      <c r="AL327">
        <f t="shared" si="54"/>
        <v>15.722222222222221</v>
      </c>
      <c r="AM327">
        <f t="shared" si="55"/>
        <v>23.524846666666665</v>
      </c>
      <c r="AP327" s="9"/>
      <c r="AQ327" s="21">
        <v>0.17379800000000001</v>
      </c>
      <c r="AR327" s="21">
        <v>26.819299999999998</v>
      </c>
      <c r="AS327" s="21">
        <v>-1.5020800000000001E-2</v>
      </c>
      <c r="AT327" s="21">
        <v>317</v>
      </c>
      <c r="AU327" s="21">
        <v>0.17321800000000001</v>
      </c>
      <c r="AV327">
        <f t="shared" si="56"/>
        <v>18.544197530864199</v>
      </c>
      <c r="AW327">
        <f t="shared" si="57"/>
        <v>3.2229444424691365</v>
      </c>
      <c r="AX327" s="9"/>
      <c r="AY327" s="21">
        <v>1.4962800000000001</v>
      </c>
      <c r="AZ327" s="21">
        <v>30.577999999999999</v>
      </c>
      <c r="BA327" s="21">
        <v>-1.2735E-2</v>
      </c>
      <c r="BB327" s="21">
        <v>317</v>
      </c>
      <c r="BC327" s="21">
        <v>1.4950600000000001</v>
      </c>
      <c r="BD327">
        <f t="shared" si="58"/>
        <v>15.722222222222221</v>
      </c>
      <c r="BE327">
        <f t="shared" si="59"/>
        <v>23.524846666666665</v>
      </c>
    </row>
    <row r="328" spans="6:57" x14ac:dyDescent="0.25">
      <c r="F328" s="9"/>
      <c r="G328" s="21">
        <v>0.168762</v>
      </c>
      <c r="H328" s="21">
        <v>8.4018999999999995</v>
      </c>
      <c r="I328" s="21">
        <v>-1.49841E-2</v>
      </c>
      <c r="J328" s="21">
        <v>318</v>
      </c>
      <c r="K328" s="21">
        <v>0.168152</v>
      </c>
      <c r="L328">
        <f t="shared" si="48"/>
        <v>18.498888888888889</v>
      </c>
      <c r="M328">
        <f t="shared" si="49"/>
        <v>3.1219094866666666</v>
      </c>
      <c r="N328" s="9"/>
      <c r="O328" s="21">
        <v>1.5013099999999999</v>
      </c>
      <c r="P328" s="21">
        <v>12.1607</v>
      </c>
      <c r="Q328" s="21">
        <v>-1.26587E-2</v>
      </c>
      <c r="R328" s="21">
        <v>318</v>
      </c>
      <c r="S328" s="21">
        <v>1.50024</v>
      </c>
      <c r="T328">
        <f t="shared" si="50"/>
        <v>15.628024691358023</v>
      </c>
      <c r="U328">
        <f t="shared" si="51"/>
        <v>23.462509749382711</v>
      </c>
      <c r="X328" s="9"/>
      <c r="Y328" s="21">
        <v>0.168762</v>
      </c>
      <c r="Z328" s="21">
        <v>17.6281</v>
      </c>
      <c r="AA328" s="21">
        <v>-1.4996300000000001E-2</v>
      </c>
      <c r="AB328" s="21">
        <v>318</v>
      </c>
      <c r="AC328" s="21">
        <v>0.168243</v>
      </c>
      <c r="AD328">
        <f t="shared" si="52"/>
        <v>18.51395061728395</v>
      </c>
      <c r="AE328">
        <f t="shared" si="53"/>
        <v>3.1244513340740738</v>
      </c>
      <c r="AF328" s="9"/>
      <c r="AG328" s="21">
        <v>1.5013099999999999</v>
      </c>
      <c r="AH328" s="21">
        <v>21.386900000000001</v>
      </c>
      <c r="AI328" s="21">
        <v>-1.2689199999999999E-2</v>
      </c>
      <c r="AJ328" s="21">
        <v>318</v>
      </c>
      <c r="AK328" s="21">
        <v>1.50085</v>
      </c>
      <c r="AL328">
        <f t="shared" si="54"/>
        <v>15.665679012345679</v>
      </c>
      <c r="AM328">
        <f t="shared" si="55"/>
        <v>23.519040558024692</v>
      </c>
      <c r="AP328" s="9"/>
      <c r="AQ328" s="21">
        <v>0.168762</v>
      </c>
      <c r="AR328" s="21">
        <v>26.8293</v>
      </c>
      <c r="AS328" s="21">
        <v>-1.50177E-2</v>
      </c>
      <c r="AT328" s="21">
        <v>318</v>
      </c>
      <c r="AU328" s="21">
        <v>0.16830400000000001</v>
      </c>
      <c r="AV328">
        <f t="shared" si="56"/>
        <v>18.540370370370372</v>
      </c>
      <c r="AW328">
        <f t="shared" si="57"/>
        <v>3.1289099844444448</v>
      </c>
      <c r="AX328" s="9"/>
      <c r="AY328" s="21">
        <v>1.5013099999999999</v>
      </c>
      <c r="AZ328" s="21">
        <v>30.588100000000001</v>
      </c>
      <c r="BA328" s="21">
        <v>-1.26923E-2</v>
      </c>
      <c r="BB328" s="21">
        <v>318</v>
      </c>
      <c r="BC328" s="21">
        <v>1.5005500000000001</v>
      </c>
      <c r="BD328">
        <f t="shared" si="58"/>
        <v>15.669506172839506</v>
      </c>
      <c r="BE328">
        <f t="shared" si="59"/>
        <v>23.524786312345679</v>
      </c>
    </row>
    <row r="329" spans="6:57" x14ac:dyDescent="0.25">
      <c r="F329" s="9"/>
      <c r="G329" s="21">
        <v>0.16372700000000001</v>
      </c>
      <c r="H329" s="21">
        <v>8.4119700000000002</v>
      </c>
      <c r="I329" s="21">
        <v>-1.4978E-2</v>
      </c>
      <c r="J329" s="21">
        <v>319</v>
      </c>
      <c r="K329" s="21">
        <v>0.163239</v>
      </c>
      <c r="L329">
        <f t="shared" si="48"/>
        <v>18.491358024691355</v>
      </c>
      <c r="M329">
        <f t="shared" si="49"/>
        <v>3.0275345753086418</v>
      </c>
      <c r="N329" s="9"/>
      <c r="O329" s="21">
        <v>1.5063500000000001</v>
      </c>
      <c r="P329" s="21">
        <v>12.1707</v>
      </c>
      <c r="Q329" s="21">
        <v>-1.26129E-2</v>
      </c>
      <c r="R329" s="21">
        <v>319</v>
      </c>
      <c r="S329" s="21">
        <v>1.5057400000000001</v>
      </c>
      <c r="T329">
        <f t="shared" si="50"/>
        <v>15.571481481481479</v>
      </c>
      <c r="U329">
        <f t="shared" si="51"/>
        <v>23.456101129629626</v>
      </c>
      <c r="X329" s="9"/>
      <c r="Y329" s="21">
        <v>0.16372700000000001</v>
      </c>
      <c r="Z329" s="21">
        <v>17.638200000000001</v>
      </c>
      <c r="AA329" s="21">
        <v>-1.5002400000000001E-2</v>
      </c>
      <c r="AB329" s="21">
        <v>319</v>
      </c>
      <c r="AC329" s="21">
        <v>0.16305500000000001</v>
      </c>
      <c r="AD329">
        <f t="shared" si="52"/>
        <v>18.521481481481484</v>
      </c>
      <c r="AE329">
        <f t="shared" si="53"/>
        <v>3.0324665985185191</v>
      </c>
      <c r="AF329" s="9"/>
      <c r="AG329" s="21">
        <v>1.5063500000000001</v>
      </c>
      <c r="AH329" s="21">
        <v>21.396899999999999</v>
      </c>
      <c r="AI329" s="21">
        <v>-1.26404E-2</v>
      </c>
      <c r="AJ329" s="21">
        <v>319</v>
      </c>
      <c r="AK329" s="21">
        <v>1.5057400000000001</v>
      </c>
      <c r="AL329">
        <f t="shared" si="54"/>
        <v>15.60543209876543</v>
      </c>
      <c r="AM329">
        <f t="shared" si="55"/>
        <v>23.507242641975306</v>
      </c>
      <c r="AP329" s="9"/>
      <c r="AQ329" s="21">
        <v>0.16372700000000001</v>
      </c>
      <c r="AR329" s="21">
        <v>26.839400000000001</v>
      </c>
      <c r="AS329" s="21">
        <v>-1.5020800000000001E-2</v>
      </c>
      <c r="AT329" s="21">
        <v>319</v>
      </c>
      <c r="AU329" s="21">
        <v>0.16317699999999999</v>
      </c>
      <c r="AV329">
        <f t="shared" si="56"/>
        <v>18.544197530864199</v>
      </c>
      <c r="AW329">
        <f t="shared" si="57"/>
        <v>3.0361858291358028</v>
      </c>
      <c r="AX329" s="9"/>
      <c r="AY329" s="21">
        <v>1.5063500000000001</v>
      </c>
      <c r="AZ329" s="21">
        <v>30.598199999999999</v>
      </c>
      <c r="BA329" s="21">
        <v>-1.2649499999999999E-2</v>
      </c>
      <c r="BB329" s="21">
        <v>319</v>
      </c>
      <c r="BC329" s="21">
        <v>1.5057400000000001</v>
      </c>
      <c r="BD329">
        <f t="shared" si="58"/>
        <v>15.616666666666664</v>
      </c>
      <c r="BE329">
        <f t="shared" si="59"/>
        <v>23.524165833333331</v>
      </c>
    </row>
    <row r="330" spans="6:57" x14ac:dyDescent="0.25">
      <c r="F330" s="9"/>
      <c r="G330" s="21">
        <v>0.158691</v>
      </c>
      <c r="H330" s="21">
        <v>8.4220400000000009</v>
      </c>
      <c r="I330" s="21">
        <v>-1.49719E-2</v>
      </c>
      <c r="J330" s="21">
        <v>320</v>
      </c>
      <c r="K330" s="21">
        <v>0.15817300000000001</v>
      </c>
      <c r="L330">
        <f t="shared" si="48"/>
        <v>18.483827160493824</v>
      </c>
      <c r="M330">
        <f t="shared" si="49"/>
        <v>2.9332170159259254</v>
      </c>
      <c r="N330" s="9"/>
      <c r="O330" s="21">
        <v>1.5113799999999999</v>
      </c>
      <c r="P330" s="21">
        <v>12.1808</v>
      </c>
      <c r="Q330" s="21">
        <v>-1.25641E-2</v>
      </c>
      <c r="R330" s="21">
        <v>320</v>
      </c>
      <c r="S330" s="21">
        <v>1.5106200000000001</v>
      </c>
      <c r="T330">
        <f t="shared" si="50"/>
        <v>15.511234567901234</v>
      </c>
      <c r="U330">
        <f t="shared" si="51"/>
        <v>23.443369701234566</v>
      </c>
      <c r="X330" s="9"/>
      <c r="Y330" s="21">
        <v>0.158691</v>
      </c>
      <c r="Z330" s="21">
        <v>17.648299999999999</v>
      </c>
      <c r="AA330" s="21">
        <v>-1.5008499999999999E-2</v>
      </c>
      <c r="AB330" s="21">
        <v>320</v>
      </c>
      <c r="AC330" s="21">
        <v>0.15817300000000001</v>
      </c>
      <c r="AD330">
        <f t="shared" si="52"/>
        <v>18.529012345679011</v>
      </c>
      <c r="AE330">
        <f t="shared" si="53"/>
        <v>2.9403874981481479</v>
      </c>
      <c r="AF330" s="9"/>
      <c r="AG330" s="21">
        <v>1.5113799999999999</v>
      </c>
      <c r="AH330" s="21">
        <v>21.407</v>
      </c>
      <c r="AI330" s="21">
        <v>-1.25916E-2</v>
      </c>
      <c r="AJ330" s="21">
        <v>320</v>
      </c>
      <c r="AK330" s="21">
        <v>1.51031</v>
      </c>
      <c r="AL330">
        <f t="shared" si="54"/>
        <v>15.545185185185185</v>
      </c>
      <c r="AM330">
        <f t="shared" si="55"/>
        <v>23.494681985185185</v>
      </c>
      <c r="AP330" s="9"/>
      <c r="AQ330" s="21">
        <v>0.158691</v>
      </c>
      <c r="AR330" s="21">
        <v>26.849499999999999</v>
      </c>
      <c r="AS330" s="21">
        <v>-1.5029900000000001E-2</v>
      </c>
      <c r="AT330" s="21">
        <v>320</v>
      </c>
      <c r="AU330" s="21">
        <v>0.15823400000000001</v>
      </c>
      <c r="AV330">
        <f t="shared" si="56"/>
        <v>18.555432098765429</v>
      </c>
      <c r="AW330">
        <f t="shared" si="57"/>
        <v>2.9445800751851845</v>
      </c>
      <c r="AX330" s="9"/>
      <c r="AY330" s="21">
        <v>1.5113799999999999</v>
      </c>
      <c r="AZ330" s="21">
        <v>30.6082</v>
      </c>
      <c r="BA330" s="21">
        <v>-1.26038E-2</v>
      </c>
      <c r="BB330" s="21">
        <v>320</v>
      </c>
      <c r="BC330" s="21">
        <v>1.5109300000000001</v>
      </c>
      <c r="BD330">
        <f t="shared" si="58"/>
        <v>15.560246913580245</v>
      </c>
      <c r="BE330">
        <f t="shared" si="59"/>
        <v>23.517445980246912</v>
      </c>
    </row>
    <row r="331" spans="6:57" x14ac:dyDescent="0.25">
      <c r="F331" s="9"/>
      <c r="G331" s="21">
        <v>0.15365599999999999</v>
      </c>
      <c r="H331" s="21">
        <v>8.4321099999999998</v>
      </c>
      <c r="I331" s="21">
        <v>-1.49689E-2</v>
      </c>
      <c r="J331" s="21">
        <v>321</v>
      </c>
      <c r="K331" s="21">
        <v>0.15307599999999999</v>
      </c>
      <c r="L331">
        <f t="shared" si="48"/>
        <v>18.480123456790125</v>
      </c>
      <c r="M331">
        <f t="shared" si="49"/>
        <v>2.8395818498765433</v>
      </c>
      <c r="N331" s="9"/>
      <c r="O331" s="21">
        <v>1.5164200000000001</v>
      </c>
      <c r="P331" s="21">
        <v>12.190899999999999</v>
      </c>
      <c r="Q331" s="21">
        <v>-1.25092E-2</v>
      </c>
      <c r="R331" s="21">
        <v>321</v>
      </c>
      <c r="S331" s="21">
        <v>1.5155000000000001</v>
      </c>
      <c r="T331">
        <f t="shared" si="50"/>
        <v>15.443456790123456</v>
      </c>
      <c r="U331">
        <f t="shared" si="51"/>
        <v>23.418766745679012</v>
      </c>
      <c r="X331" s="9"/>
      <c r="Y331" s="21">
        <v>0.15365599999999999</v>
      </c>
      <c r="Z331" s="21">
        <v>17.658300000000001</v>
      </c>
      <c r="AA331" s="21">
        <v>-1.50055E-2</v>
      </c>
      <c r="AB331" s="21">
        <v>321</v>
      </c>
      <c r="AC331" s="21">
        <v>0.15310699999999999</v>
      </c>
      <c r="AD331">
        <f t="shared" si="52"/>
        <v>18.525308641975307</v>
      </c>
      <c r="AE331">
        <f t="shared" si="53"/>
        <v>2.8465248246913575</v>
      </c>
      <c r="AF331" s="9"/>
      <c r="AG331" s="21">
        <v>1.5164200000000001</v>
      </c>
      <c r="AH331" s="21">
        <v>21.417100000000001</v>
      </c>
      <c r="AI331" s="21">
        <v>-1.2533600000000001E-2</v>
      </c>
      <c r="AJ331" s="21">
        <v>321</v>
      </c>
      <c r="AK331" s="21">
        <v>1.5161100000000001</v>
      </c>
      <c r="AL331">
        <f t="shared" si="54"/>
        <v>15.473580246913581</v>
      </c>
      <c r="AM331">
        <f t="shared" si="55"/>
        <v>23.464446558024694</v>
      </c>
      <c r="AP331" s="9"/>
      <c r="AQ331" s="21">
        <v>0.15365599999999999</v>
      </c>
      <c r="AR331" s="21">
        <v>26.8596</v>
      </c>
      <c r="AS331" s="21">
        <v>-1.50391E-2</v>
      </c>
      <c r="AT331" s="21">
        <v>321</v>
      </c>
      <c r="AU331" s="21">
        <v>0.153229</v>
      </c>
      <c r="AV331">
        <f t="shared" si="56"/>
        <v>18.566790123456791</v>
      </c>
      <c r="AW331">
        <f t="shared" si="57"/>
        <v>2.8528987032098763</v>
      </c>
      <c r="AX331" s="9"/>
      <c r="AY331" s="21">
        <v>1.5164200000000001</v>
      </c>
      <c r="AZ331" s="21">
        <v>30.618300000000001</v>
      </c>
      <c r="BA331" s="21">
        <v>-1.25519E-2</v>
      </c>
      <c r="BB331" s="21">
        <v>321</v>
      </c>
      <c r="BC331" s="21">
        <v>1.5155000000000001</v>
      </c>
      <c r="BD331">
        <f t="shared" si="58"/>
        <v>15.496172839506173</v>
      </c>
      <c r="BE331">
        <f t="shared" si="59"/>
        <v>23.498706417283952</v>
      </c>
    </row>
    <row r="332" spans="6:57" x14ac:dyDescent="0.25">
      <c r="F332" s="9"/>
      <c r="G332" s="21">
        <v>0.148621</v>
      </c>
      <c r="H332" s="21">
        <v>8.4421800000000005</v>
      </c>
      <c r="I332" s="21">
        <v>-1.4975E-2</v>
      </c>
      <c r="J332" s="21">
        <v>322</v>
      </c>
      <c r="K332" s="21">
        <v>0.14807100000000001</v>
      </c>
      <c r="L332">
        <f t="shared" ref="L332:L382" si="60">-I332/$F$2*1000</f>
        <v>18.487654320987652</v>
      </c>
      <c r="M332">
        <f t="shared" ref="M332:M382" si="61">L332*G332</f>
        <v>2.747653672839506</v>
      </c>
      <c r="N332" s="9"/>
      <c r="O332" s="21">
        <v>1.52145</v>
      </c>
      <c r="P332" s="21">
        <v>12.201000000000001</v>
      </c>
      <c r="Q332" s="21">
        <v>-1.2451200000000001E-2</v>
      </c>
      <c r="R332" s="21">
        <v>322</v>
      </c>
      <c r="S332" s="21">
        <v>1.5203899999999999</v>
      </c>
      <c r="T332">
        <f t="shared" ref="T332:T382" si="62">-Q332/$F$2*1000</f>
        <v>15.371851851851853</v>
      </c>
      <c r="U332">
        <f t="shared" ref="U332:U382" si="63">T332*O332</f>
        <v>23.387504</v>
      </c>
      <c r="X332" s="9"/>
      <c r="Y332" s="21">
        <v>0.148621</v>
      </c>
      <c r="Z332" s="21">
        <v>17.668399999999998</v>
      </c>
      <c r="AA332" s="21">
        <v>-1.4996300000000001E-2</v>
      </c>
      <c r="AB332" s="21">
        <v>322</v>
      </c>
      <c r="AC332" s="21">
        <v>0.14801</v>
      </c>
      <c r="AD332">
        <f t="shared" ref="AD332:AD382" si="64">-AA332/$F$2*1000</f>
        <v>18.51395061728395</v>
      </c>
      <c r="AE332">
        <f t="shared" ref="AE332:AE382" si="65">AD332*Y332</f>
        <v>2.7515618546913578</v>
      </c>
      <c r="AF332" s="9"/>
      <c r="AG332" s="21">
        <v>1.52145</v>
      </c>
      <c r="AH332" s="21">
        <v>21.427199999999999</v>
      </c>
      <c r="AI332" s="21">
        <v>-1.24847E-2</v>
      </c>
      <c r="AJ332" s="21">
        <v>322</v>
      </c>
      <c r="AK332" s="21">
        <v>1.5206900000000001</v>
      </c>
      <c r="AL332">
        <f t="shared" ref="AL332:AL382" si="66">-AI332/$F$2*1000</f>
        <v>15.413209876543208</v>
      </c>
      <c r="AM332">
        <f t="shared" ref="AM332:AM382" si="67">AL332*AG332</f>
        <v>23.450428166666665</v>
      </c>
      <c r="AP332" s="9"/>
      <c r="AQ332" s="21">
        <v>0.148621</v>
      </c>
      <c r="AR332" s="21">
        <v>26.869599999999998</v>
      </c>
      <c r="AS332" s="21">
        <v>-1.5036000000000001E-2</v>
      </c>
      <c r="AT332" s="21">
        <v>322</v>
      </c>
      <c r="AU332" s="21">
        <v>0.14807100000000001</v>
      </c>
      <c r="AV332">
        <f t="shared" ref="AV332:AV382" si="68">-AS332/$F$2*1000</f>
        <v>18.562962962962963</v>
      </c>
      <c r="AW332">
        <f t="shared" ref="AW332:AW382" si="69">AV332*AQ332</f>
        <v>2.7588461185185187</v>
      </c>
      <c r="AX332" s="9"/>
      <c r="AY332" s="21">
        <v>1.52145</v>
      </c>
      <c r="AZ332" s="21">
        <v>30.628399999999999</v>
      </c>
      <c r="BA332" s="21">
        <v>-1.24908E-2</v>
      </c>
      <c r="BB332" s="21">
        <v>322</v>
      </c>
      <c r="BC332" s="21">
        <v>1.5203899999999999</v>
      </c>
      <c r="BD332">
        <f t="shared" ref="BD332:BD382" si="70">-BA332/$F$2*1000</f>
        <v>15.42074074074074</v>
      </c>
      <c r="BE332">
        <f t="shared" ref="BE332:BE382" si="71">BD332*AY332</f>
        <v>23.461886</v>
      </c>
    </row>
    <row r="333" spans="6:57" x14ac:dyDescent="0.25">
      <c r="F333" s="9"/>
      <c r="G333" s="21">
        <v>0.14358499999999999</v>
      </c>
      <c r="H333" s="21">
        <v>8.4522600000000008</v>
      </c>
      <c r="I333" s="21">
        <v>-1.4981100000000001E-2</v>
      </c>
      <c r="J333" s="21">
        <v>323</v>
      </c>
      <c r="K333" s="21">
        <v>0.14300499999999999</v>
      </c>
      <c r="L333">
        <f t="shared" si="60"/>
        <v>18.495185185185186</v>
      </c>
      <c r="M333">
        <f t="shared" si="61"/>
        <v>2.6556311648148148</v>
      </c>
      <c r="N333" s="9"/>
      <c r="O333" s="21">
        <v>1.5264899999999999</v>
      </c>
      <c r="P333" s="21">
        <v>12.211</v>
      </c>
      <c r="Q333" s="21">
        <v>-1.23932E-2</v>
      </c>
      <c r="R333" s="21">
        <v>323</v>
      </c>
      <c r="S333" s="21">
        <v>1.5258799999999999</v>
      </c>
      <c r="T333">
        <f t="shared" si="62"/>
        <v>15.300246913580246</v>
      </c>
      <c r="U333">
        <f t="shared" si="63"/>
        <v>23.355673911111108</v>
      </c>
      <c r="X333" s="9"/>
      <c r="Y333" s="21">
        <v>0.14358499999999999</v>
      </c>
      <c r="Z333" s="21">
        <v>17.6785</v>
      </c>
      <c r="AA333" s="21">
        <v>-1.49902E-2</v>
      </c>
      <c r="AB333" s="21">
        <v>323</v>
      </c>
      <c r="AC333" s="21">
        <v>0.14291400000000001</v>
      </c>
      <c r="AD333">
        <f t="shared" si="64"/>
        <v>18.506419753086419</v>
      </c>
      <c r="AE333">
        <f t="shared" si="65"/>
        <v>2.6572442802469132</v>
      </c>
      <c r="AF333" s="9"/>
      <c r="AG333" s="21">
        <v>1.5264899999999999</v>
      </c>
      <c r="AH333" s="21">
        <v>21.437200000000001</v>
      </c>
      <c r="AI333" s="21">
        <v>-1.24268E-2</v>
      </c>
      <c r="AJ333" s="21">
        <v>323</v>
      </c>
      <c r="AK333" s="21">
        <v>1.5261800000000001</v>
      </c>
      <c r="AL333">
        <f t="shared" si="66"/>
        <v>15.341728395061727</v>
      </c>
      <c r="AM333">
        <f t="shared" si="67"/>
        <v>23.418994977777775</v>
      </c>
      <c r="AP333" s="9"/>
      <c r="AQ333" s="21">
        <v>0.14358499999999999</v>
      </c>
      <c r="AR333" s="21">
        <v>26.8797</v>
      </c>
      <c r="AS333" s="21">
        <v>-1.5029900000000001E-2</v>
      </c>
      <c r="AT333" s="21">
        <v>323</v>
      </c>
      <c r="AU333" s="21">
        <v>0.14297499999999999</v>
      </c>
      <c r="AV333">
        <f t="shared" si="68"/>
        <v>18.555432098765429</v>
      </c>
      <c r="AW333">
        <f t="shared" si="69"/>
        <v>2.6642817179012339</v>
      </c>
      <c r="AX333" s="9"/>
      <c r="AY333" s="21">
        <v>1.5264899999999999</v>
      </c>
      <c r="AZ333" s="21">
        <v>30.638500000000001</v>
      </c>
      <c r="BA333" s="21">
        <v>-1.24298E-2</v>
      </c>
      <c r="BB333" s="21">
        <v>323</v>
      </c>
      <c r="BC333" s="21">
        <v>1.5264899999999999</v>
      </c>
      <c r="BD333">
        <f t="shared" si="70"/>
        <v>15.34543209876543</v>
      </c>
      <c r="BE333">
        <f t="shared" si="71"/>
        <v>23.424648644444439</v>
      </c>
    </row>
    <row r="334" spans="6:57" x14ac:dyDescent="0.25">
      <c r="F334" s="9"/>
      <c r="G334" s="21">
        <v>0.13855000000000001</v>
      </c>
      <c r="H334" s="21">
        <v>8.4623299999999997</v>
      </c>
      <c r="I334" s="21">
        <v>-1.49841E-2</v>
      </c>
      <c r="J334" s="21">
        <v>324</v>
      </c>
      <c r="K334" s="21">
        <v>0.13793900000000001</v>
      </c>
      <c r="L334">
        <f t="shared" si="60"/>
        <v>18.498888888888889</v>
      </c>
      <c r="M334">
        <f t="shared" si="61"/>
        <v>2.5630210555555557</v>
      </c>
      <c r="N334" s="9"/>
      <c r="O334" s="21">
        <v>1.53152</v>
      </c>
      <c r="P334" s="21">
        <v>12.2211</v>
      </c>
      <c r="Q334" s="21">
        <v>-1.2335199999999999E-2</v>
      </c>
      <c r="R334" s="21">
        <v>324</v>
      </c>
      <c r="S334" s="21">
        <v>1.5310699999999999</v>
      </c>
      <c r="T334">
        <f t="shared" si="62"/>
        <v>15.228641975308641</v>
      </c>
      <c r="U334">
        <f t="shared" si="63"/>
        <v>23.322969758024691</v>
      </c>
      <c r="X334" s="9"/>
      <c r="Y334" s="21">
        <v>0.13855000000000001</v>
      </c>
      <c r="Z334" s="21">
        <v>17.688500000000001</v>
      </c>
      <c r="AA334" s="21">
        <v>-1.49902E-2</v>
      </c>
      <c r="AB334" s="21">
        <v>324</v>
      </c>
      <c r="AC334" s="21">
        <v>0.13803099999999999</v>
      </c>
      <c r="AD334">
        <f t="shared" si="64"/>
        <v>18.506419753086419</v>
      </c>
      <c r="AE334">
        <f t="shared" si="65"/>
        <v>2.5640644567901236</v>
      </c>
      <c r="AF334" s="9"/>
      <c r="AG334" s="21">
        <v>1.53152</v>
      </c>
      <c r="AH334" s="21">
        <v>21.447299999999998</v>
      </c>
      <c r="AI334" s="21">
        <v>-1.23657E-2</v>
      </c>
      <c r="AJ334" s="21">
        <v>324</v>
      </c>
      <c r="AK334" s="21">
        <v>1.5304599999999999</v>
      </c>
      <c r="AL334">
        <f t="shared" si="66"/>
        <v>15.266296296296295</v>
      </c>
      <c r="AM334">
        <f t="shared" si="67"/>
        <v>23.380638103703703</v>
      </c>
      <c r="AP334" s="9"/>
      <c r="AQ334" s="21">
        <v>0.13855000000000001</v>
      </c>
      <c r="AR334" s="21">
        <v>26.889800000000001</v>
      </c>
      <c r="AS334" s="21">
        <v>-1.5026899999999999E-2</v>
      </c>
      <c r="AT334" s="21">
        <v>324</v>
      </c>
      <c r="AU334" s="21">
        <v>0.13793900000000001</v>
      </c>
      <c r="AV334">
        <f t="shared" si="68"/>
        <v>18.551728395061726</v>
      </c>
      <c r="AW334">
        <f t="shared" si="69"/>
        <v>2.5703419691358023</v>
      </c>
      <c r="AX334" s="9"/>
      <c r="AY334" s="21">
        <v>1.53152</v>
      </c>
      <c r="AZ334" s="21">
        <v>30.648499999999999</v>
      </c>
      <c r="BA334" s="21">
        <v>-1.2368799999999999E-2</v>
      </c>
      <c r="BB334" s="21">
        <v>324</v>
      </c>
      <c r="BC334" s="21">
        <v>1.5301499999999999</v>
      </c>
      <c r="BD334">
        <f t="shared" si="70"/>
        <v>15.270123456790122</v>
      </c>
      <c r="BE334">
        <f t="shared" si="71"/>
        <v>23.386499476543207</v>
      </c>
    </row>
    <row r="335" spans="6:57" x14ac:dyDescent="0.25">
      <c r="F335" s="9"/>
      <c r="G335" s="21">
        <v>0.13351399999999999</v>
      </c>
      <c r="H335" s="21">
        <v>8.4724000000000004</v>
      </c>
      <c r="I335" s="21">
        <v>-1.4981100000000001E-2</v>
      </c>
      <c r="J335" s="21">
        <v>325</v>
      </c>
      <c r="K335" s="21">
        <v>0.132965</v>
      </c>
      <c r="L335">
        <f t="shared" si="60"/>
        <v>18.495185185185186</v>
      </c>
      <c r="M335">
        <f t="shared" si="61"/>
        <v>2.4693661548148147</v>
      </c>
      <c r="N335" s="9"/>
      <c r="O335" s="21">
        <v>1.5365599999999999</v>
      </c>
      <c r="P335" s="21">
        <v>12.231199999999999</v>
      </c>
      <c r="Q335" s="21">
        <v>-1.2280299999999999E-2</v>
      </c>
      <c r="R335" s="21">
        <v>325</v>
      </c>
      <c r="S335" s="21">
        <v>1.5356399999999999</v>
      </c>
      <c r="T335">
        <f t="shared" si="62"/>
        <v>15.160864197530863</v>
      </c>
      <c r="U335">
        <f t="shared" si="63"/>
        <v>23.295577491358021</v>
      </c>
      <c r="X335" s="9"/>
      <c r="Y335" s="21">
        <v>0.13351399999999999</v>
      </c>
      <c r="Z335" s="21">
        <v>17.698599999999999</v>
      </c>
      <c r="AA335" s="21">
        <v>-1.49994E-2</v>
      </c>
      <c r="AB335" s="21">
        <v>325</v>
      </c>
      <c r="AC335" s="21">
        <v>0.13284299999999999</v>
      </c>
      <c r="AD335">
        <f t="shared" si="64"/>
        <v>18.517777777777777</v>
      </c>
      <c r="AE335">
        <f t="shared" si="65"/>
        <v>2.4723825822222221</v>
      </c>
      <c r="AF335" s="9"/>
      <c r="AG335" s="21">
        <v>1.5365599999999999</v>
      </c>
      <c r="AH335" s="21">
        <v>21.4574</v>
      </c>
      <c r="AI335" s="21">
        <v>-1.2301599999999999E-2</v>
      </c>
      <c r="AJ335" s="21">
        <v>325</v>
      </c>
      <c r="AK335" s="21">
        <v>1.5359499999999999</v>
      </c>
      <c r="AL335">
        <f t="shared" si="66"/>
        <v>15.187160493827157</v>
      </c>
      <c r="AM335">
        <f t="shared" si="67"/>
        <v>23.335983328395056</v>
      </c>
      <c r="AP335" s="9"/>
      <c r="AQ335" s="21">
        <v>0.13351399999999999</v>
      </c>
      <c r="AR335" s="21">
        <v>26.899799999999999</v>
      </c>
      <c r="AS335" s="21">
        <v>-1.5020800000000001E-2</v>
      </c>
      <c r="AT335" s="21">
        <v>325</v>
      </c>
      <c r="AU335" s="21">
        <v>0.13284299999999999</v>
      </c>
      <c r="AV335">
        <f t="shared" si="68"/>
        <v>18.544197530864199</v>
      </c>
      <c r="AW335">
        <f t="shared" si="69"/>
        <v>2.4759099891358027</v>
      </c>
      <c r="AX335" s="9"/>
      <c r="AY335" s="21">
        <v>1.5365599999999999</v>
      </c>
      <c r="AZ335" s="21">
        <v>30.6586</v>
      </c>
      <c r="BA335" s="21">
        <v>-1.23108E-2</v>
      </c>
      <c r="BB335" s="21">
        <v>325</v>
      </c>
      <c r="BC335" s="21">
        <v>1.5359499999999999</v>
      </c>
      <c r="BD335">
        <f t="shared" si="70"/>
        <v>15.198518518518517</v>
      </c>
      <c r="BE335">
        <f t="shared" si="71"/>
        <v>23.35343561481481</v>
      </c>
    </row>
    <row r="336" spans="6:57" x14ac:dyDescent="0.25">
      <c r="F336" s="9"/>
      <c r="G336" s="21">
        <v>0.12847900000000001</v>
      </c>
      <c r="H336" s="21">
        <v>8.4824699999999993</v>
      </c>
      <c r="I336" s="21">
        <v>-1.4978E-2</v>
      </c>
      <c r="J336" s="21">
        <v>326</v>
      </c>
      <c r="K336" s="21">
        <v>0.12795999999999999</v>
      </c>
      <c r="L336">
        <f t="shared" si="60"/>
        <v>18.491358024691355</v>
      </c>
      <c r="M336">
        <f t="shared" si="61"/>
        <v>2.3757511876543207</v>
      </c>
      <c r="N336" s="9"/>
      <c r="O336" s="21">
        <v>1.5416000000000001</v>
      </c>
      <c r="P336" s="21">
        <v>12.241199999999999</v>
      </c>
      <c r="Q336" s="21">
        <v>-1.22223E-2</v>
      </c>
      <c r="R336" s="21">
        <v>326</v>
      </c>
      <c r="S336" s="21">
        <v>1.5408299999999999</v>
      </c>
      <c r="T336">
        <f t="shared" si="62"/>
        <v>15.08925925925926</v>
      </c>
      <c r="U336">
        <f t="shared" si="63"/>
        <v>23.261602074074077</v>
      </c>
      <c r="X336" s="9"/>
      <c r="Y336" s="21">
        <v>0.12847900000000001</v>
      </c>
      <c r="Z336" s="21">
        <v>17.7087</v>
      </c>
      <c r="AA336" s="21">
        <v>-1.5008499999999999E-2</v>
      </c>
      <c r="AB336" s="21">
        <v>326</v>
      </c>
      <c r="AC336" s="21">
        <v>0.128021</v>
      </c>
      <c r="AD336">
        <f t="shared" si="64"/>
        <v>18.529012345679011</v>
      </c>
      <c r="AE336">
        <f t="shared" si="65"/>
        <v>2.3805889771604938</v>
      </c>
      <c r="AF336" s="9"/>
      <c r="AG336" s="21">
        <v>1.5416000000000001</v>
      </c>
      <c r="AH336" s="21">
        <v>21.467400000000001</v>
      </c>
      <c r="AI336" s="21">
        <v>-1.22375E-2</v>
      </c>
      <c r="AJ336" s="21">
        <v>326</v>
      </c>
      <c r="AK336" s="21">
        <v>1.54114</v>
      </c>
      <c r="AL336">
        <f t="shared" si="66"/>
        <v>15.108024691358024</v>
      </c>
      <c r="AM336">
        <f t="shared" si="67"/>
        <v>23.290530864197532</v>
      </c>
      <c r="AP336" s="9"/>
      <c r="AQ336" s="21">
        <v>0.12847900000000001</v>
      </c>
      <c r="AR336" s="21">
        <v>26.9099</v>
      </c>
      <c r="AS336" s="21">
        <v>-1.50238E-2</v>
      </c>
      <c r="AT336" s="21">
        <v>326</v>
      </c>
      <c r="AU336" s="21">
        <v>0.12792999999999999</v>
      </c>
      <c r="AV336">
        <f t="shared" si="68"/>
        <v>18.547901234567902</v>
      </c>
      <c r="AW336">
        <f t="shared" si="69"/>
        <v>2.3830158027160495</v>
      </c>
      <c r="AX336" s="9"/>
      <c r="AY336" s="21">
        <v>1.5416000000000001</v>
      </c>
      <c r="AZ336" s="21">
        <v>30.668700000000001</v>
      </c>
      <c r="BA336" s="21">
        <v>-1.22559E-2</v>
      </c>
      <c r="BB336" s="21">
        <v>326</v>
      </c>
      <c r="BC336" s="21">
        <v>1.54114</v>
      </c>
      <c r="BD336">
        <f t="shared" si="70"/>
        <v>15.130740740740739</v>
      </c>
      <c r="BE336">
        <f t="shared" si="71"/>
        <v>23.325549925925923</v>
      </c>
    </row>
    <row r="337" spans="6:57" x14ac:dyDescent="0.25">
      <c r="F337" s="9"/>
      <c r="G337" s="21">
        <v>0.123444</v>
      </c>
      <c r="H337" s="21">
        <v>8.49254</v>
      </c>
      <c r="I337" s="21">
        <v>-1.49841E-2</v>
      </c>
      <c r="J337" s="21">
        <v>327</v>
      </c>
      <c r="K337" s="21">
        <v>0.122864</v>
      </c>
      <c r="L337">
        <f t="shared" si="60"/>
        <v>18.498888888888889</v>
      </c>
      <c r="M337">
        <f t="shared" si="61"/>
        <v>2.2835768399999998</v>
      </c>
      <c r="N337" s="9"/>
      <c r="O337" s="21">
        <v>1.5466299999999999</v>
      </c>
      <c r="P337" s="21">
        <v>12.251300000000001</v>
      </c>
      <c r="Q337" s="21">
        <v>-1.2146000000000001E-2</v>
      </c>
      <c r="R337" s="21">
        <v>327</v>
      </c>
      <c r="S337" s="21">
        <v>1.54572</v>
      </c>
      <c r="T337">
        <f t="shared" si="62"/>
        <v>14.995061728395061</v>
      </c>
      <c r="U337">
        <f t="shared" si="63"/>
        <v>23.191812320987651</v>
      </c>
      <c r="X337" s="9"/>
      <c r="Y337" s="21">
        <v>0.123444</v>
      </c>
      <c r="Z337" s="21">
        <v>17.718800000000002</v>
      </c>
      <c r="AA337" s="21">
        <v>-1.5008499999999999E-2</v>
      </c>
      <c r="AB337" s="21">
        <v>327</v>
      </c>
      <c r="AC337" s="21">
        <v>0.122833</v>
      </c>
      <c r="AD337">
        <f t="shared" si="64"/>
        <v>18.529012345679011</v>
      </c>
      <c r="AE337">
        <f t="shared" si="65"/>
        <v>2.2872953999999996</v>
      </c>
      <c r="AF337" s="9"/>
      <c r="AG337" s="21">
        <v>1.5466299999999999</v>
      </c>
      <c r="AH337" s="21">
        <v>21.477499999999999</v>
      </c>
      <c r="AI337" s="21">
        <v>-1.21765E-2</v>
      </c>
      <c r="AJ337" s="21">
        <v>327</v>
      </c>
      <c r="AK337" s="21">
        <v>1.5460199999999999</v>
      </c>
      <c r="AL337">
        <f t="shared" si="66"/>
        <v>15.032716049382715</v>
      </c>
      <c r="AM337">
        <f t="shared" si="67"/>
        <v>23.250049623456789</v>
      </c>
      <c r="AP337" s="9"/>
      <c r="AQ337" s="21">
        <v>0.123444</v>
      </c>
      <c r="AR337" s="21">
        <v>26.92</v>
      </c>
      <c r="AS337" s="21">
        <v>-1.5020800000000001E-2</v>
      </c>
      <c r="AT337" s="21">
        <v>327</v>
      </c>
      <c r="AU337" s="21">
        <v>0.122803</v>
      </c>
      <c r="AV337">
        <f t="shared" si="68"/>
        <v>18.544197530864199</v>
      </c>
      <c r="AW337">
        <f t="shared" si="69"/>
        <v>2.28916992</v>
      </c>
      <c r="AX337" s="9"/>
      <c r="AY337" s="21">
        <v>1.5466299999999999</v>
      </c>
      <c r="AZ337" s="21">
        <v>30.678699999999999</v>
      </c>
      <c r="BA337" s="21">
        <v>-1.2191799999999999E-2</v>
      </c>
      <c r="BB337" s="21">
        <v>327</v>
      </c>
      <c r="BC337" s="21">
        <v>1.5460199999999999</v>
      </c>
      <c r="BD337">
        <f t="shared" si="70"/>
        <v>15.051604938271602</v>
      </c>
      <c r="BE337">
        <f t="shared" si="71"/>
        <v>23.279263745679007</v>
      </c>
    </row>
    <row r="338" spans="6:57" x14ac:dyDescent="0.25">
      <c r="F338" s="9"/>
      <c r="G338" s="21">
        <v>0.118408</v>
      </c>
      <c r="H338" s="21">
        <v>8.5026100000000007</v>
      </c>
      <c r="I338" s="21">
        <v>-1.4993299999999999E-2</v>
      </c>
      <c r="J338" s="21">
        <v>328</v>
      </c>
      <c r="K338" s="21">
        <v>0.117828</v>
      </c>
      <c r="L338">
        <f t="shared" si="60"/>
        <v>18.510246913580243</v>
      </c>
      <c r="M338">
        <f t="shared" si="61"/>
        <v>2.1917613165432095</v>
      </c>
      <c r="N338" s="9"/>
      <c r="O338" s="21">
        <v>1.5516700000000001</v>
      </c>
      <c r="P338" s="21">
        <v>12.2614</v>
      </c>
      <c r="Q338" s="21">
        <v>-1.2085E-2</v>
      </c>
      <c r="R338" s="21">
        <v>328</v>
      </c>
      <c r="S338" s="21">
        <v>1.5506</v>
      </c>
      <c r="T338">
        <f t="shared" si="62"/>
        <v>14.919753086419753</v>
      </c>
      <c r="U338">
        <f t="shared" si="63"/>
        <v>23.150533271604939</v>
      </c>
      <c r="X338" s="9"/>
      <c r="Y338" s="21">
        <v>0.118408</v>
      </c>
      <c r="Z338" s="21">
        <v>17.7288</v>
      </c>
      <c r="AA338" s="21">
        <v>-1.5014599999999999E-2</v>
      </c>
      <c r="AB338" s="21">
        <v>328</v>
      </c>
      <c r="AC338" s="21">
        <v>0.117828</v>
      </c>
      <c r="AD338">
        <f t="shared" si="64"/>
        <v>18.536543209876541</v>
      </c>
      <c r="AE338">
        <f t="shared" si="65"/>
        <v>2.1948750083950617</v>
      </c>
      <c r="AF338" s="9"/>
      <c r="AG338" s="21">
        <v>1.5516700000000001</v>
      </c>
      <c r="AH338" s="21">
        <v>21.4876</v>
      </c>
      <c r="AI338" s="21">
        <v>-1.21155E-2</v>
      </c>
      <c r="AJ338" s="21">
        <v>328</v>
      </c>
      <c r="AK338" s="21">
        <v>1.5508999999999999</v>
      </c>
      <c r="AL338">
        <f t="shared" si="66"/>
        <v>14.957407407407405</v>
      </c>
      <c r="AM338">
        <f t="shared" si="67"/>
        <v>23.20896035185185</v>
      </c>
      <c r="AP338" s="9"/>
      <c r="AQ338" s="21">
        <v>0.118408</v>
      </c>
      <c r="AR338" s="21">
        <v>26.930099999999999</v>
      </c>
      <c r="AS338" s="21">
        <v>-1.50177E-2</v>
      </c>
      <c r="AT338" s="21">
        <v>328</v>
      </c>
      <c r="AU338" s="21">
        <v>0.117828</v>
      </c>
      <c r="AV338">
        <f t="shared" si="68"/>
        <v>18.540370370370372</v>
      </c>
      <c r="AW338">
        <f t="shared" si="69"/>
        <v>2.195328174814815</v>
      </c>
      <c r="AX338" s="9"/>
      <c r="AY338" s="21">
        <v>1.5516700000000001</v>
      </c>
      <c r="AZ338" s="21">
        <v>30.688800000000001</v>
      </c>
      <c r="BA338" s="21">
        <v>-1.2118500000000001E-2</v>
      </c>
      <c r="BB338" s="21">
        <v>328</v>
      </c>
      <c r="BC338" s="21">
        <v>1.5508999999999999</v>
      </c>
      <c r="BD338">
        <f t="shared" si="70"/>
        <v>14.96111111111111</v>
      </c>
      <c r="BE338">
        <f t="shared" si="71"/>
        <v>23.214707277777777</v>
      </c>
    </row>
    <row r="339" spans="6:57" x14ac:dyDescent="0.25">
      <c r="F339" s="9"/>
      <c r="G339" s="21">
        <v>0.113373</v>
      </c>
      <c r="H339" s="21">
        <v>8.5126799999999996</v>
      </c>
      <c r="I339" s="21">
        <v>-1.4996300000000001E-2</v>
      </c>
      <c r="J339" s="21">
        <v>329</v>
      </c>
      <c r="K339" s="21">
        <v>0.11282300000000001</v>
      </c>
      <c r="L339">
        <f t="shared" si="60"/>
        <v>18.51395061728395</v>
      </c>
      <c r="M339">
        <f t="shared" si="61"/>
        <v>2.0989821233333332</v>
      </c>
      <c r="N339" s="9"/>
      <c r="O339" s="21">
        <v>1.5567</v>
      </c>
      <c r="P339" s="21">
        <v>12.2714</v>
      </c>
      <c r="Q339" s="21">
        <v>-1.20117E-2</v>
      </c>
      <c r="R339" s="21">
        <v>329</v>
      </c>
      <c r="S339" s="21">
        <v>1.55579</v>
      </c>
      <c r="T339">
        <f t="shared" si="62"/>
        <v>14.82925925925926</v>
      </c>
      <c r="U339">
        <f t="shared" si="63"/>
        <v>23.084707888888889</v>
      </c>
      <c r="X339" s="9"/>
      <c r="Y339" s="21">
        <v>0.113373</v>
      </c>
      <c r="Z339" s="21">
        <v>17.738900000000001</v>
      </c>
      <c r="AA339" s="21">
        <v>-1.50177E-2</v>
      </c>
      <c r="AB339" s="21">
        <v>329</v>
      </c>
      <c r="AC339" s="21">
        <v>0.11282300000000001</v>
      </c>
      <c r="AD339">
        <f t="shared" si="64"/>
        <v>18.540370370370372</v>
      </c>
      <c r="AE339">
        <f t="shared" si="65"/>
        <v>2.1019774100000004</v>
      </c>
      <c r="AF339" s="9"/>
      <c r="AG339" s="21">
        <v>1.5567</v>
      </c>
      <c r="AH339" s="21">
        <v>21.497699999999998</v>
      </c>
      <c r="AI339" s="21">
        <v>-1.20483E-2</v>
      </c>
      <c r="AJ339" s="21">
        <v>329</v>
      </c>
      <c r="AK339" s="21">
        <v>1.55609</v>
      </c>
      <c r="AL339">
        <f t="shared" si="66"/>
        <v>14.874444444444444</v>
      </c>
      <c r="AM339">
        <f t="shared" si="67"/>
        <v>23.155047666666665</v>
      </c>
      <c r="AP339" s="9"/>
      <c r="AQ339" s="21">
        <v>0.113373</v>
      </c>
      <c r="AR339" s="21">
        <v>26.940100000000001</v>
      </c>
      <c r="AS339" s="21">
        <v>-1.5020800000000001E-2</v>
      </c>
      <c r="AT339" s="21">
        <v>329</v>
      </c>
      <c r="AU339" s="21">
        <v>0.11282300000000001</v>
      </c>
      <c r="AV339">
        <f t="shared" si="68"/>
        <v>18.544197530864199</v>
      </c>
      <c r="AW339">
        <f t="shared" si="69"/>
        <v>2.1024113066666668</v>
      </c>
      <c r="AX339" s="9"/>
      <c r="AY339" s="21">
        <v>1.5567</v>
      </c>
      <c r="AZ339" s="21">
        <v>30.698899999999998</v>
      </c>
      <c r="BA339" s="21">
        <v>-1.20544E-2</v>
      </c>
      <c r="BB339" s="21">
        <v>329</v>
      </c>
      <c r="BC339" s="21">
        <v>1.55579</v>
      </c>
      <c r="BD339">
        <f t="shared" si="70"/>
        <v>14.881975308641973</v>
      </c>
      <c r="BE339">
        <f t="shared" si="71"/>
        <v>23.166770962962961</v>
      </c>
    </row>
    <row r="340" spans="6:57" x14ac:dyDescent="0.25">
      <c r="F340" s="9"/>
      <c r="G340" s="21">
        <v>0.108337</v>
      </c>
      <c r="H340" s="21">
        <v>8.5227500000000003</v>
      </c>
      <c r="I340" s="21">
        <v>-1.5002400000000001E-2</v>
      </c>
      <c r="J340" s="21">
        <v>330</v>
      </c>
      <c r="K340" s="21">
        <v>0.107697</v>
      </c>
      <c r="L340">
        <f t="shared" si="60"/>
        <v>18.521481481481484</v>
      </c>
      <c r="M340">
        <f t="shared" si="61"/>
        <v>2.0065617392592596</v>
      </c>
      <c r="N340" s="9"/>
      <c r="O340" s="21">
        <v>1.5617399999999999</v>
      </c>
      <c r="P340" s="21">
        <v>12.281499999999999</v>
      </c>
      <c r="Q340" s="21">
        <v>-1.1938499999999999E-2</v>
      </c>
      <c r="R340" s="21">
        <v>330</v>
      </c>
      <c r="S340" s="21">
        <v>1.56067</v>
      </c>
      <c r="T340">
        <f t="shared" si="62"/>
        <v>14.738888888888887</v>
      </c>
      <c r="U340">
        <f t="shared" si="63"/>
        <v>23.018312333333331</v>
      </c>
      <c r="X340" s="9"/>
      <c r="Y340" s="21">
        <v>0.108337</v>
      </c>
      <c r="Z340" s="21">
        <v>17.748999999999999</v>
      </c>
      <c r="AA340" s="21">
        <v>-1.5026899999999999E-2</v>
      </c>
      <c r="AB340" s="21">
        <v>330</v>
      </c>
      <c r="AC340" s="21">
        <v>0.10778799999999999</v>
      </c>
      <c r="AD340">
        <f t="shared" si="64"/>
        <v>18.551728395061726</v>
      </c>
      <c r="AE340">
        <f t="shared" si="65"/>
        <v>2.0098385991358021</v>
      </c>
      <c r="AF340" s="9"/>
      <c r="AG340" s="21">
        <v>1.5617399999999999</v>
      </c>
      <c r="AH340" s="21">
        <v>21.5077</v>
      </c>
      <c r="AI340" s="21">
        <v>-1.1975100000000001E-2</v>
      </c>
      <c r="AJ340" s="21">
        <v>330</v>
      </c>
      <c r="AK340" s="21">
        <v>1.56097</v>
      </c>
      <c r="AL340">
        <f t="shared" si="66"/>
        <v>14.784074074074075</v>
      </c>
      <c r="AM340">
        <f t="shared" si="67"/>
        <v>23.088879844444445</v>
      </c>
      <c r="AP340" s="9"/>
      <c r="AQ340" s="21">
        <v>0.108337</v>
      </c>
      <c r="AR340" s="21">
        <v>26.950199999999999</v>
      </c>
      <c r="AS340" s="21">
        <v>-1.5026899999999999E-2</v>
      </c>
      <c r="AT340" s="21">
        <v>330</v>
      </c>
      <c r="AU340" s="21">
        <v>0.10775800000000001</v>
      </c>
      <c r="AV340">
        <f t="shared" si="68"/>
        <v>18.551728395061726</v>
      </c>
      <c r="AW340">
        <f t="shared" si="69"/>
        <v>2.0098385991358021</v>
      </c>
      <c r="AX340" s="9"/>
      <c r="AY340" s="21">
        <v>1.5617399999999999</v>
      </c>
      <c r="AZ340" s="21">
        <v>30.709</v>
      </c>
      <c r="BA340" s="21">
        <v>-1.19843E-2</v>
      </c>
      <c r="BB340" s="21">
        <v>330</v>
      </c>
      <c r="BC340" s="21">
        <v>1.56097</v>
      </c>
      <c r="BD340">
        <f t="shared" si="70"/>
        <v>14.795432098765431</v>
      </c>
      <c r="BE340">
        <f t="shared" si="71"/>
        <v>23.106618125925923</v>
      </c>
    </row>
    <row r="341" spans="6:57" x14ac:dyDescent="0.25">
      <c r="F341" s="9"/>
      <c r="G341" s="21">
        <v>0.103302</v>
      </c>
      <c r="H341" s="21">
        <v>8.5328199999999992</v>
      </c>
      <c r="I341" s="21">
        <v>-1.4993299999999999E-2</v>
      </c>
      <c r="J341" s="21">
        <v>331</v>
      </c>
      <c r="K341" s="21">
        <v>0.102753</v>
      </c>
      <c r="L341">
        <f t="shared" si="60"/>
        <v>18.510246913580243</v>
      </c>
      <c r="M341">
        <f t="shared" si="61"/>
        <v>1.9121455266666663</v>
      </c>
      <c r="N341" s="9"/>
      <c r="O341" s="21">
        <v>1.56677</v>
      </c>
      <c r="P341" s="21">
        <v>12.291600000000001</v>
      </c>
      <c r="Q341" s="21">
        <v>-1.18622E-2</v>
      </c>
      <c r="R341" s="21">
        <v>331</v>
      </c>
      <c r="S341" s="21">
        <v>1.56616</v>
      </c>
      <c r="T341">
        <f t="shared" si="62"/>
        <v>14.644691358024689</v>
      </c>
      <c r="U341">
        <f t="shared" si="63"/>
        <v>22.944863079012343</v>
      </c>
      <c r="X341" s="9"/>
      <c r="Y341" s="21">
        <v>0.103302</v>
      </c>
      <c r="Z341" s="21">
        <v>17.759</v>
      </c>
      <c r="AA341" s="21">
        <v>-1.50177E-2</v>
      </c>
      <c r="AB341" s="21">
        <v>331</v>
      </c>
      <c r="AC341" s="21">
        <v>0.102783</v>
      </c>
      <c r="AD341">
        <f t="shared" si="64"/>
        <v>18.540370370370372</v>
      </c>
      <c r="AE341">
        <f t="shared" si="65"/>
        <v>1.9152573400000004</v>
      </c>
      <c r="AF341" s="9"/>
      <c r="AG341" s="21">
        <v>1.56677</v>
      </c>
      <c r="AH341" s="21">
        <v>21.517800000000001</v>
      </c>
      <c r="AI341" s="21">
        <v>-1.18958E-2</v>
      </c>
      <c r="AJ341" s="21">
        <v>331</v>
      </c>
      <c r="AK341" s="21">
        <v>1.56586</v>
      </c>
      <c r="AL341">
        <f t="shared" si="66"/>
        <v>14.686172839506172</v>
      </c>
      <c r="AM341">
        <f t="shared" si="67"/>
        <v>23.009855019753086</v>
      </c>
      <c r="AP341" s="9"/>
      <c r="AQ341" s="21">
        <v>0.103302</v>
      </c>
      <c r="AR341" s="21">
        <v>26.9603</v>
      </c>
      <c r="AS341" s="21">
        <v>-1.50238E-2</v>
      </c>
      <c r="AT341" s="21">
        <v>331</v>
      </c>
      <c r="AU341" s="21">
        <v>0.102783</v>
      </c>
      <c r="AV341">
        <f t="shared" si="68"/>
        <v>18.547901234567902</v>
      </c>
      <c r="AW341">
        <f t="shared" si="69"/>
        <v>1.9160352933333336</v>
      </c>
      <c r="AX341" s="9"/>
      <c r="AY341" s="21">
        <v>1.56677</v>
      </c>
      <c r="AZ341" s="21">
        <v>30.719000000000001</v>
      </c>
      <c r="BA341" s="21">
        <v>-1.19049E-2</v>
      </c>
      <c r="BB341" s="21">
        <v>331</v>
      </c>
      <c r="BC341" s="21">
        <v>1.56616</v>
      </c>
      <c r="BD341">
        <f t="shared" si="70"/>
        <v>14.697407407407406</v>
      </c>
      <c r="BE341">
        <f t="shared" si="71"/>
        <v>23.027457003703702</v>
      </c>
    </row>
    <row r="342" spans="6:57" x14ac:dyDescent="0.25">
      <c r="F342" s="9"/>
      <c r="G342" s="21">
        <v>9.8266599999999996E-2</v>
      </c>
      <c r="H342" s="21">
        <v>8.5428899999999999</v>
      </c>
      <c r="I342" s="21">
        <v>-1.4996300000000001E-2</v>
      </c>
      <c r="J342" s="21">
        <v>332</v>
      </c>
      <c r="K342" s="21">
        <v>9.7747799999999996E-2</v>
      </c>
      <c r="L342">
        <f t="shared" si="60"/>
        <v>18.51395061728395</v>
      </c>
      <c r="M342">
        <f t="shared" si="61"/>
        <v>1.8193029797283948</v>
      </c>
      <c r="N342" s="9"/>
      <c r="O342" s="21">
        <v>1.5718099999999999</v>
      </c>
      <c r="P342" s="21">
        <v>12.3017</v>
      </c>
      <c r="Q342" s="21">
        <v>-1.17737E-2</v>
      </c>
      <c r="R342" s="21">
        <v>332</v>
      </c>
      <c r="S342" s="21">
        <v>1.5716600000000001</v>
      </c>
      <c r="T342">
        <f t="shared" si="62"/>
        <v>14.535432098765432</v>
      </c>
      <c r="U342">
        <f t="shared" si="63"/>
        <v>22.846937527160492</v>
      </c>
      <c r="X342" s="9"/>
      <c r="Y342" s="21">
        <v>9.8266599999999996E-2</v>
      </c>
      <c r="Z342" s="21">
        <v>17.769100000000002</v>
      </c>
      <c r="AA342" s="21">
        <v>-1.5008499999999999E-2</v>
      </c>
      <c r="AB342" s="21">
        <v>332</v>
      </c>
      <c r="AC342" s="21">
        <v>9.7625699999999996E-2</v>
      </c>
      <c r="AD342">
        <f t="shared" si="64"/>
        <v>18.529012345679011</v>
      </c>
      <c r="AE342">
        <f t="shared" si="65"/>
        <v>1.820783044567901</v>
      </c>
      <c r="AF342" s="9"/>
      <c r="AG342" s="21">
        <v>1.5718099999999999</v>
      </c>
      <c r="AH342" s="21">
        <v>21.527899999999999</v>
      </c>
      <c r="AI342" s="21">
        <v>-1.1816399999999999E-2</v>
      </c>
      <c r="AJ342" s="21">
        <v>332</v>
      </c>
      <c r="AK342" s="21">
        <v>1.57104</v>
      </c>
      <c r="AL342">
        <f t="shared" si="66"/>
        <v>14.588148148148147</v>
      </c>
      <c r="AM342">
        <f t="shared" si="67"/>
        <v>22.929797140740739</v>
      </c>
      <c r="AP342" s="9"/>
      <c r="AQ342" s="21">
        <v>9.8266599999999996E-2</v>
      </c>
      <c r="AR342" s="21">
        <v>26.970300000000002</v>
      </c>
      <c r="AS342" s="21">
        <v>-1.50238E-2</v>
      </c>
      <c r="AT342" s="21">
        <v>332</v>
      </c>
      <c r="AU342" s="21">
        <v>9.7686800000000004E-2</v>
      </c>
      <c r="AV342">
        <f t="shared" si="68"/>
        <v>18.547901234567902</v>
      </c>
      <c r="AW342">
        <f t="shared" si="69"/>
        <v>1.8226391914567901</v>
      </c>
      <c r="AX342" s="9"/>
      <c r="AY342" s="21">
        <v>1.5718099999999999</v>
      </c>
      <c r="AZ342" s="21">
        <v>30.729099999999999</v>
      </c>
      <c r="BA342" s="21">
        <v>-1.1831700000000001E-2</v>
      </c>
      <c r="BB342" s="21">
        <v>332</v>
      </c>
      <c r="BC342" s="21">
        <v>1.5716600000000001</v>
      </c>
      <c r="BD342">
        <f t="shared" si="70"/>
        <v>14.607037037037037</v>
      </c>
      <c r="BE342">
        <f t="shared" si="71"/>
        <v>22.959486885185182</v>
      </c>
    </row>
    <row r="343" spans="6:57" x14ac:dyDescent="0.25">
      <c r="F343" s="9"/>
      <c r="G343" s="21">
        <v>9.32312E-2</v>
      </c>
      <c r="H343" s="21">
        <v>8.5529700000000002</v>
      </c>
      <c r="I343" s="21">
        <v>-1.4993299999999999E-2</v>
      </c>
      <c r="J343" s="21">
        <v>333</v>
      </c>
      <c r="K343" s="21">
        <v>9.2620800000000003E-2</v>
      </c>
      <c r="L343">
        <f t="shared" si="60"/>
        <v>18.510246913580243</v>
      </c>
      <c r="M343">
        <f t="shared" si="61"/>
        <v>1.7257325320493824</v>
      </c>
      <c r="N343" s="9"/>
      <c r="O343" s="21">
        <v>1.57684</v>
      </c>
      <c r="P343" s="21">
        <v>12.3117</v>
      </c>
      <c r="Q343" s="21">
        <v>-1.1682100000000001E-2</v>
      </c>
      <c r="R343" s="21">
        <v>333</v>
      </c>
      <c r="S343" s="21">
        <v>1.5759300000000001</v>
      </c>
      <c r="T343">
        <f t="shared" si="62"/>
        <v>14.422345679012347</v>
      </c>
      <c r="U343">
        <f t="shared" si="63"/>
        <v>22.741731560493829</v>
      </c>
      <c r="X343" s="9"/>
      <c r="Y343" s="21">
        <v>9.32312E-2</v>
      </c>
      <c r="Z343" s="21">
        <v>17.779199999999999</v>
      </c>
      <c r="AA343" s="21">
        <v>-1.50055E-2</v>
      </c>
      <c r="AB343" s="21">
        <v>333</v>
      </c>
      <c r="AC343" s="21">
        <v>9.27124E-2</v>
      </c>
      <c r="AD343">
        <f t="shared" si="64"/>
        <v>18.525308641975307</v>
      </c>
      <c r="AE343">
        <f t="shared" si="65"/>
        <v>1.7271367550617283</v>
      </c>
      <c r="AF343" s="9"/>
      <c r="AG343" s="21">
        <v>1.57684</v>
      </c>
      <c r="AH343" s="21">
        <v>21.5379</v>
      </c>
      <c r="AI343" s="21">
        <v>-1.1734E-2</v>
      </c>
      <c r="AJ343" s="21">
        <v>333</v>
      </c>
      <c r="AK343" s="21">
        <v>1.57623</v>
      </c>
      <c r="AL343">
        <f t="shared" si="66"/>
        <v>14.486419753086418</v>
      </c>
      <c r="AM343">
        <f t="shared" si="67"/>
        <v>22.842766123456787</v>
      </c>
      <c r="AP343" s="9"/>
      <c r="AQ343" s="21">
        <v>9.32312E-2</v>
      </c>
      <c r="AR343" s="21">
        <v>26.980399999999999</v>
      </c>
      <c r="AS343" s="21">
        <v>-1.5020800000000001E-2</v>
      </c>
      <c r="AT343" s="21">
        <v>333</v>
      </c>
      <c r="AU343" s="21">
        <v>9.2895500000000006E-2</v>
      </c>
      <c r="AV343">
        <f t="shared" si="68"/>
        <v>18.544197530864199</v>
      </c>
      <c r="AW343">
        <f t="shared" si="69"/>
        <v>1.7288977888395063</v>
      </c>
      <c r="AX343" s="9"/>
      <c r="AY343" s="21">
        <v>1.57684</v>
      </c>
      <c r="AZ343" s="21">
        <v>30.7392</v>
      </c>
      <c r="BA343" s="21">
        <v>-1.1743200000000001E-2</v>
      </c>
      <c r="BB343" s="21">
        <v>333</v>
      </c>
      <c r="BC343" s="21">
        <v>1.5759300000000001</v>
      </c>
      <c r="BD343">
        <f t="shared" si="70"/>
        <v>14.497777777777777</v>
      </c>
      <c r="BE343">
        <f t="shared" si="71"/>
        <v>22.860675911111112</v>
      </c>
    </row>
    <row r="344" spans="6:57" x14ac:dyDescent="0.25">
      <c r="F344" s="9"/>
      <c r="G344" s="21">
        <v>8.8195800000000005E-2</v>
      </c>
      <c r="H344" s="21">
        <v>8.5630400000000009</v>
      </c>
      <c r="I344" s="21">
        <v>-1.5002400000000001E-2</v>
      </c>
      <c r="J344" s="21">
        <v>334</v>
      </c>
      <c r="K344" s="21">
        <v>8.7585399999999994E-2</v>
      </c>
      <c r="L344">
        <f t="shared" si="60"/>
        <v>18.521481481481484</v>
      </c>
      <c r="M344">
        <f t="shared" si="61"/>
        <v>1.6335168764444448</v>
      </c>
      <c r="N344" s="9"/>
      <c r="O344" s="21">
        <v>1.58188</v>
      </c>
      <c r="P344" s="21">
        <v>12.3218</v>
      </c>
      <c r="Q344" s="21">
        <v>-1.15814E-2</v>
      </c>
      <c r="R344" s="21">
        <v>334</v>
      </c>
      <c r="S344" s="21">
        <v>1.5811200000000001</v>
      </c>
      <c r="T344">
        <f t="shared" si="62"/>
        <v>14.298024691358025</v>
      </c>
      <c r="U344">
        <f t="shared" si="63"/>
        <v>22.617759298765431</v>
      </c>
      <c r="X344" s="9"/>
      <c r="Y344" s="21">
        <v>8.8195800000000005E-2</v>
      </c>
      <c r="Z344" s="21">
        <v>17.789200000000001</v>
      </c>
      <c r="AA344" s="21">
        <v>-1.4993299999999999E-2</v>
      </c>
      <c r="AB344" s="21">
        <v>334</v>
      </c>
      <c r="AC344" s="21">
        <v>8.7707499999999994E-2</v>
      </c>
      <c r="AD344">
        <f t="shared" si="64"/>
        <v>18.510246913580243</v>
      </c>
      <c r="AE344">
        <f t="shared" si="65"/>
        <v>1.6325260347407404</v>
      </c>
      <c r="AF344" s="9"/>
      <c r="AG344" s="21">
        <v>1.58188</v>
      </c>
      <c r="AH344" s="21">
        <v>21.547999999999998</v>
      </c>
      <c r="AI344" s="21">
        <v>-1.1639399999999999E-2</v>
      </c>
      <c r="AJ344" s="21">
        <v>334</v>
      </c>
      <c r="AK344" s="21">
        <v>1.5811200000000001</v>
      </c>
      <c r="AL344">
        <f t="shared" si="66"/>
        <v>14.369629629629628</v>
      </c>
      <c r="AM344">
        <f t="shared" si="67"/>
        <v>22.731029718518517</v>
      </c>
      <c r="AP344" s="9"/>
      <c r="AQ344" s="21">
        <v>8.8195800000000005E-2</v>
      </c>
      <c r="AR344" s="21">
        <v>26.990500000000001</v>
      </c>
      <c r="AS344" s="21">
        <v>-1.50238E-2</v>
      </c>
      <c r="AT344" s="21">
        <v>334</v>
      </c>
      <c r="AU344" s="21">
        <v>8.7615999999999999E-2</v>
      </c>
      <c r="AV344">
        <f t="shared" si="68"/>
        <v>18.547901234567902</v>
      </c>
      <c r="AW344">
        <f t="shared" si="69"/>
        <v>1.6358469877037038</v>
      </c>
      <c r="AX344" s="9"/>
      <c r="AY344" s="21">
        <v>1.58188</v>
      </c>
      <c r="AZ344" s="21">
        <v>30.749199999999998</v>
      </c>
      <c r="BA344" s="21">
        <v>-1.1660800000000001E-2</v>
      </c>
      <c r="BB344" s="21">
        <v>334</v>
      </c>
      <c r="BC344" s="21">
        <v>1.58142</v>
      </c>
      <c r="BD344">
        <f t="shared" si="70"/>
        <v>14.396049382716049</v>
      </c>
      <c r="BE344">
        <f t="shared" si="71"/>
        <v>22.772822597530862</v>
      </c>
    </row>
    <row r="345" spans="6:57" x14ac:dyDescent="0.25">
      <c r="F345" s="9"/>
      <c r="G345" s="21">
        <v>8.3160399999999995E-2</v>
      </c>
      <c r="H345" s="21">
        <v>8.5731099999999998</v>
      </c>
      <c r="I345" s="21">
        <v>-1.50116E-2</v>
      </c>
      <c r="J345" s="21">
        <v>335</v>
      </c>
      <c r="K345" s="21">
        <v>8.2580600000000004E-2</v>
      </c>
      <c r="L345">
        <f t="shared" si="60"/>
        <v>18.532839506172838</v>
      </c>
      <c r="M345">
        <f t="shared" si="61"/>
        <v>1.5411983464691357</v>
      </c>
      <c r="N345" s="9"/>
      <c r="O345" s="21">
        <v>1.58691</v>
      </c>
      <c r="P345" s="21">
        <v>12.331899999999999</v>
      </c>
      <c r="Q345" s="21">
        <v>-1.1483800000000001E-2</v>
      </c>
      <c r="R345" s="21">
        <v>335</v>
      </c>
      <c r="S345" s="21">
        <v>1.5866100000000001</v>
      </c>
      <c r="T345">
        <f t="shared" si="62"/>
        <v>14.17753086419753</v>
      </c>
      <c r="U345">
        <f t="shared" si="63"/>
        <v>22.498465503703702</v>
      </c>
      <c r="X345" s="9"/>
      <c r="Y345" s="21">
        <v>8.3160399999999995E-2</v>
      </c>
      <c r="Z345" s="21">
        <v>17.799299999999999</v>
      </c>
      <c r="AA345" s="21">
        <v>-1.5002400000000001E-2</v>
      </c>
      <c r="AB345" s="21">
        <v>335</v>
      </c>
      <c r="AC345" s="21">
        <v>8.2611100000000007E-2</v>
      </c>
      <c r="AD345">
        <f t="shared" si="64"/>
        <v>18.521481481481484</v>
      </c>
      <c r="AE345">
        <f t="shared" si="65"/>
        <v>1.5402538085925928</v>
      </c>
      <c r="AF345" s="9"/>
      <c r="AG345" s="21">
        <v>1.58691</v>
      </c>
      <c r="AH345" s="21">
        <v>21.5581</v>
      </c>
      <c r="AI345" s="21">
        <v>-1.1544799999999999E-2</v>
      </c>
      <c r="AJ345" s="21">
        <v>335</v>
      </c>
      <c r="AK345" s="21">
        <v>1.5863</v>
      </c>
      <c r="AL345">
        <f t="shared" si="66"/>
        <v>14.252839506172839</v>
      </c>
      <c r="AM345">
        <f t="shared" si="67"/>
        <v>22.617973540740739</v>
      </c>
      <c r="AP345" s="9"/>
      <c r="AQ345" s="21">
        <v>8.3160399999999995E-2</v>
      </c>
      <c r="AR345" s="21">
        <v>27.000599999999999</v>
      </c>
      <c r="AS345" s="21">
        <v>-1.5036000000000001E-2</v>
      </c>
      <c r="AT345" s="21">
        <v>335</v>
      </c>
      <c r="AU345" s="21">
        <v>8.2702600000000001E-2</v>
      </c>
      <c r="AV345">
        <f t="shared" si="68"/>
        <v>18.562962962962963</v>
      </c>
      <c r="AW345">
        <f t="shared" si="69"/>
        <v>1.5437034251851851</v>
      </c>
      <c r="AX345" s="9"/>
      <c r="AY345" s="21">
        <v>1.58691</v>
      </c>
      <c r="AZ345" s="21">
        <v>30.7593</v>
      </c>
      <c r="BA345" s="21">
        <v>-1.15692E-2</v>
      </c>
      <c r="BB345" s="21">
        <v>335</v>
      </c>
      <c r="BC345" s="21">
        <v>1.5860000000000001</v>
      </c>
      <c r="BD345">
        <f t="shared" si="70"/>
        <v>14.282962962962962</v>
      </c>
      <c r="BE345">
        <f t="shared" si="71"/>
        <v>22.665776755555555</v>
      </c>
    </row>
    <row r="346" spans="6:57" x14ac:dyDescent="0.25">
      <c r="F346" s="9"/>
      <c r="G346" s="21">
        <v>7.8125E-2</v>
      </c>
      <c r="H346" s="21">
        <v>8.5831800000000005</v>
      </c>
      <c r="I346" s="21">
        <v>-1.5020800000000001E-2</v>
      </c>
      <c r="J346" s="21">
        <v>336</v>
      </c>
      <c r="K346" s="21">
        <v>7.7636700000000003E-2</v>
      </c>
      <c r="L346">
        <f t="shared" si="60"/>
        <v>18.544197530864199</v>
      </c>
      <c r="M346">
        <f t="shared" si="61"/>
        <v>1.4487654320987655</v>
      </c>
      <c r="N346" s="9"/>
      <c r="O346" s="21">
        <v>1.59195</v>
      </c>
      <c r="P346" s="21">
        <v>12.341900000000001</v>
      </c>
      <c r="Q346" s="21">
        <v>-1.1379999999999999E-2</v>
      </c>
      <c r="R346" s="21">
        <v>336</v>
      </c>
      <c r="S346" s="21">
        <v>1.5914900000000001</v>
      </c>
      <c r="T346">
        <f t="shared" si="62"/>
        <v>14.049382716049381</v>
      </c>
      <c r="U346">
        <f t="shared" si="63"/>
        <v>22.365914814814811</v>
      </c>
      <c r="X346" s="9"/>
      <c r="Y346" s="21">
        <v>7.8125E-2</v>
      </c>
      <c r="Z346" s="21">
        <v>17.8094</v>
      </c>
      <c r="AA346" s="21">
        <v>-1.5002400000000001E-2</v>
      </c>
      <c r="AB346" s="21">
        <v>336</v>
      </c>
      <c r="AC346" s="21">
        <v>7.76062E-2</v>
      </c>
      <c r="AD346">
        <f t="shared" si="64"/>
        <v>18.521481481481484</v>
      </c>
      <c r="AE346">
        <f t="shared" si="65"/>
        <v>1.446990740740741</v>
      </c>
      <c r="AF346" s="9"/>
      <c r="AG346" s="21">
        <v>1.59195</v>
      </c>
      <c r="AH346" s="21">
        <v>21.568200000000001</v>
      </c>
      <c r="AI346" s="21">
        <v>-1.1450200000000001E-2</v>
      </c>
      <c r="AJ346" s="21">
        <v>336</v>
      </c>
      <c r="AK346" s="21">
        <v>1.5908800000000001</v>
      </c>
      <c r="AL346">
        <f t="shared" si="66"/>
        <v>14.136049382716049</v>
      </c>
      <c r="AM346">
        <f t="shared" si="67"/>
        <v>22.503883814814813</v>
      </c>
      <c r="AP346" s="9"/>
      <c r="AQ346" s="21">
        <v>7.8125E-2</v>
      </c>
      <c r="AR346" s="21">
        <v>27.0106</v>
      </c>
      <c r="AS346" s="21">
        <v>-1.5042099999999999E-2</v>
      </c>
      <c r="AT346" s="21">
        <v>336</v>
      </c>
      <c r="AU346" s="21">
        <v>7.7575699999999997E-2</v>
      </c>
      <c r="AV346">
        <f t="shared" si="68"/>
        <v>18.570493827160494</v>
      </c>
      <c r="AW346">
        <f t="shared" si="69"/>
        <v>1.4508198302469135</v>
      </c>
      <c r="AX346" s="9"/>
      <c r="AY346" s="21">
        <v>1.59195</v>
      </c>
      <c r="AZ346" s="21">
        <v>30.769400000000001</v>
      </c>
      <c r="BA346" s="21">
        <v>-1.14777E-2</v>
      </c>
      <c r="BB346" s="21">
        <v>336</v>
      </c>
      <c r="BC346" s="21">
        <v>1.5918000000000001</v>
      </c>
      <c r="BD346">
        <f t="shared" si="70"/>
        <v>14.17</v>
      </c>
      <c r="BE346">
        <f t="shared" si="71"/>
        <v>22.557931499999999</v>
      </c>
    </row>
    <row r="347" spans="6:57" x14ac:dyDescent="0.25">
      <c r="F347" s="9"/>
      <c r="G347" s="21">
        <v>7.3089600000000005E-2</v>
      </c>
      <c r="H347" s="21">
        <v>8.5932499999999994</v>
      </c>
      <c r="I347" s="21">
        <v>-1.5020800000000001E-2</v>
      </c>
      <c r="J347" s="21">
        <v>337</v>
      </c>
      <c r="K347" s="21">
        <v>7.2631799999999996E-2</v>
      </c>
      <c r="L347">
        <f t="shared" si="60"/>
        <v>18.544197530864199</v>
      </c>
      <c r="M347">
        <f t="shared" si="61"/>
        <v>1.355387979851852</v>
      </c>
      <c r="N347" s="9"/>
      <c r="O347" s="21">
        <v>1.5969800000000001</v>
      </c>
      <c r="P347" s="21">
        <v>12.352</v>
      </c>
      <c r="Q347" s="21">
        <v>-1.12701E-2</v>
      </c>
      <c r="R347" s="21">
        <v>337</v>
      </c>
      <c r="S347" s="21">
        <v>1.5957600000000001</v>
      </c>
      <c r="T347">
        <f t="shared" si="62"/>
        <v>13.913703703703703</v>
      </c>
      <c r="U347">
        <f t="shared" si="63"/>
        <v>22.219906540740741</v>
      </c>
      <c r="X347" s="9"/>
      <c r="Y347" s="21">
        <v>7.3089600000000005E-2</v>
      </c>
      <c r="Z347" s="21">
        <v>17.819500000000001</v>
      </c>
      <c r="AA347" s="21">
        <v>-1.5002400000000001E-2</v>
      </c>
      <c r="AB347" s="21">
        <v>337</v>
      </c>
      <c r="AC347" s="21">
        <v>7.2570800000000005E-2</v>
      </c>
      <c r="AD347">
        <f t="shared" si="64"/>
        <v>18.521481481481484</v>
      </c>
      <c r="AE347">
        <f t="shared" si="65"/>
        <v>1.3537276728888892</v>
      </c>
      <c r="AF347" s="9"/>
      <c r="AG347" s="21">
        <v>1.5969800000000001</v>
      </c>
      <c r="AH347" s="21">
        <v>21.578199999999999</v>
      </c>
      <c r="AI347" s="21">
        <v>-1.13434E-2</v>
      </c>
      <c r="AJ347" s="21">
        <v>337</v>
      </c>
      <c r="AK347" s="21">
        <v>1.5966800000000001</v>
      </c>
      <c r="AL347">
        <f t="shared" si="66"/>
        <v>14.004197530864197</v>
      </c>
      <c r="AM347">
        <f t="shared" si="67"/>
        <v>22.364423372839507</v>
      </c>
      <c r="AP347" s="9"/>
      <c r="AQ347" s="21">
        <v>7.3089600000000005E-2</v>
      </c>
      <c r="AR347" s="21">
        <v>27.020700000000001</v>
      </c>
      <c r="AS347" s="21">
        <v>-1.50543E-2</v>
      </c>
      <c r="AT347" s="21">
        <v>337</v>
      </c>
      <c r="AU347" s="21">
        <v>7.2631799999999996E-2</v>
      </c>
      <c r="AV347">
        <f t="shared" si="68"/>
        <v>18.585555555555555</v>
      </c>
      <c r="AW347">
        <f t="shared" si="69"/>
        <v>1.3584108213333335</v>
      </c>
      <c r="AX347" s="9"/>
      <c r="AY347" s="21">
        <v>1.5969800000000001</v>
      </c>
      <c r="AZ347" s="21">
        <v>30.779499999999999</v>
      </c>
      <c r="BA347" s="21">
        <v>-1.1373899999999999E-2</v>
      </c>
      <c r="BB347" s="21">
        <v>337</v>
      </c>
      <c r="BC347" s="21">
        <v>1.5960700000000001</v>
      </c>
      <c r="BD347">
        <f t="shared" si="70"/>
        <v>14.041851851851851</v>
      </c>
      <c r="BE347">
        <f t="shared" si="71"/>
        <v>22.42455657037037</v>
      </c>
    </row>
    <row r="348" spans="6:57" x14ac:dyDescent="0.25">
      <c r="F348" s="9"/>
      <c r="G348" s="21">
        <v>6.8054199999999995E-2</v>
      </c>
      <c r="H348" s="21">
        <v>8.6033200000000001</v>
      </c>
      <c r="I348" s="21">
        <v>-1.5014599999999999E-2</v>
      </c>
      <c r="J348" s="21">
        <v>338</v>
      </c>
      <c r="K348" s="21">
        <v>6.7535399999999995E-2</v>
      </c>
      <c r="L348">
        <f t="shared" si="60"/>
        <v>18.536543209876541</v>
      </c>
      <c r="M348">
        <f t="shared" si="61"/>
        <v>1.26148961891358</v>
      </c>
      <c r="N348" s="9"/>
      <c r="O348" s="21">
        <v>1.60202</v>
      </c>
      <c r="P348" s="21">
        <v>12.3621</v>
      </c>
      <c r="Q348" s="21">
        <v>-1.11542E-2</v>
      </c>
      <c r="R348" s="21">
        <v>338</v>
      </c>
      <c r="S348" s="21">
        <v>1.6012599999999999</v>
      </c>
      <c r="T348">
        <f t="shared" si="62"/>
        <v>13.770617283950616</v>
      </c>
      <c r="U348">
        <f t="shared" si="63"/>
        <v>22.060804301234565</v>
      </c>
      <c r="X348" s="9"/>
      <c r="Y348" s="21">
        <v>6.8054199999999995E-2</v>
      </c>
      <c r="Z348" s="21">
        <v>17.829499999999999</v>
      </c>
      <c r="AA348" s="21">
        <v>-1.5002400000000001E-2</v>
      </c>
      <c r="AB348" s="21">
        <v>338</v>
      </c>
      <c r="AC348" s="21">
        <v>6.7535399999999995E-2</v>
      </c>
      <c r="AD348">
        <f t="shared" si="64"/>
        <v>18.521481481481484</v>
      </c>
      <c r="AE348">
        <f t="shared" si="65"/>
        <v>1.2604646050370372</v>
      </c>
      <c r="AF348" s="9"/>
      <c r="AG348" s="21">
        <v>1.60202</v>
      </c>
      <c r="AH348" s="21">
        <v>21.5883</v>
      </c>
      <c r="AI348" s="21">
        <v>-1.1230499999999999E-2</v>
      </c>
      <c r="AJ348" s="21">
        <v>338</v>
      </c>
      <c r="AK348" s="21">
        <v>1.6012599999999999</v>
      </c>
      <c r="AL348">
        <f t="shared" si="66"/>
        <v>13.864814814814812</v>
      </c>
      <c r="AM348">
        <f t="shared" si="67"/>
        <v>22.211710629629625</v>
      </c>
      <c r="AP348" s="9"/>
      <c r="AQ348" s="21">
        <v>6.8054199999999995E-2</v>
      </c>
      <c r="AR348" s="21">
        <v>27.030799999999999</v>
      </c>
      <c r="AS348" s="21">
        <v>-1.50665E-2</v>
      </c>
      <c r="AT348" s="21">
        <v>338</v>
      </c>
      <c r="AU348" s="21">
        <v>6.7504900000000007E-2</v>
      </c>
      <c r="AV348">
        <f t="shared" si="68"/>
        <v>18.600617283950616</v>
      </c>
      <c r="AW348">
        <f t="shared" si="69"/>
        <v>1.2658501287654318</v>
      </c>
      <c r="AX348" s="9"/>
      <c r="AY348" s="21">
        <v>1.60202</v>
      </c>
      <c r="AZ348" s="21">
        <v>30.7895</v>
      </c>
      <c r="BA348" s="21">
        <v>-1.1261E-2</v>
      </c>
      <c r="BB348" s="21">
        <v>338</v>
      </c>
      <c r="BC348" s="21">
        <v>1.6012599999999999</v>
      </c>
      <c r="BD348">
        <f t="shared" si="70"/>
        <v>13.90246913580247</v>
      </c>
      <c r="BE348">
        <f t="shared" si="71"/>
        <v>22.272033604938272</v>
      </c>
    </row>
    <row r="349" spans="6:57" x14ac:dyDescent="0.25">
      <c r="F349" s="9"/>
      <c r="G349" s="21">
        <v>6.30188E-2</v>
      </c>
      <c r="H349" s="21">
        <v>8.6133900000000008</v>
      </c>
      <c r="I349" s="21">
        <v>-1.5020800000000001E-2</v>
      </c>
      <c r="J349" s="21">
        <v>339</v>
      </c>
      <c r="K349" s="21">
        <v>6.23779E-2</v>
      </c>
      <c r="L349">
        <f t="shared" si="60"/>
        <v>18.544197530864199</v>
      </c>
      <c r="M349">
        <f t="shared" si="61"/>
        <v>1.1686330753580247</v>
      </c>
      <c r="N349" s="9"/>
      <c r="O349" s="21">
        <v>1.6070599999999999</v>
      </c>
      <c r="P349" s="21">
        <v>12.372199999999999</v>
      </c>
      <c r="Q349" s="21">
        <v>-1.10382E-2</v>
      </c>
      <c r="R349" s="21">
        <v>339</v>
      </c>
      <c r="S349" s="21">
        <v>1.6067499999999999</v>
      </c>
      <c r="T349">
        <f t="shared" si="62"/>
        <v>13.627407407407405</v>
      </c>
      <c r="U349">
        <f t="shared" si="63"/>
        <v>21.900061348148142</v>
      </c>
      <c r="X349" s="9"/>
      <c r="Y349" s="21">
        <v>6.30188E-2</v>
      </c>
      <c r="Z349" s="21">
        <v>17.839600000000001</v>
      </c>
      <c r="AA349" s="21">
        <v>-1.5008499999999999E-2</v>
      </c>
      <c r="AB349" s="21">
        <v>339</v>
      </c>
      <c r="AC349" s="21">
        <v>6.2408400000000003E-2</v>
      </c>
      <c r="AD349">
        <f t="shared" si="64"/>
        <v>18.529012345679011</v>
      </c>
      <c r="AE349">
        <f t="shared" si="65"/>
        <v>1.1676761232098765</v>
      </c>
      <c r="AF349" s="9"/>
      <c r="AG349" s="21">
        <v>1.6070599999999999</v>
      </c>
      <c r="AH349" s="21">
        <v>21.598400000000002</v>
      </c>
      <c r="AI349" s="21">
        <v>-1.11206E-2</v>
      </c>
      <c r="AJ349" s="21">
        <v>339</v>
      </c>
      <c r="AK349" s="21">
        <v>1.6064499999999999</v>
      </c>
      <c r="AL349">
        <f t="shared" si="66"/>
        <v>13.729135802469134</v>
      </c>
      <c r="AM349">
        <f t="shared" si="67"/>
        <v>22.063544982716046</v>
      </c>
      <c r="AP349" s="9"/>
      <c r="AQ349" s="21">
        <v>6.30188E-2</v>
      </c>
      <c r="AR349" s="21">
        <v>27.040800000000001</v>
      </c>
      <c r="AS349" s="21">
        <v>-1.5069600000000001E-2</v>
      </c>
      <c r="AT349" s="21">
        <v>339</v>
      </c>
      <c r="AU349" s="21">
        <v>6.2439000000000001E-2</v>
      </c>
      <c r="AV349">
        <f t="shared" si="68"/>
        <v>18.604444444444443</v>
      </c>
      <c r="AW349">
        <f t="shared" si="69"/>
        <v>1.1724297635555554</v>
      </c>
      <c r="AX349" s="9"/>
      <c r="AY349" s="21">
        <v>1.6070599999999999</v>
      </c>
      <c r="AZ349" s="21">
        <v>30.799600000000002</v>
      </c>
      <c r="BA349" s="21">
        <v>-1.1148099999999999E-2</v>
      </c>
      <c r="BB349" s="21">
        <v>339</v>
      </c>
      <c r="BC349" s="21">
        <v>1.6067499999999999</v>
      </c>
      <c r="BD349">
        <f t="shared" si="70"/>
        <v>13.763086419753085</v>
      </c>
      <c r="BE349">
        <f t="shared" si="71"/>
        <v>22.118105661728393</v>
      </c>
    </row>
    <row r="350" spans="6:57" x14ac:dyDescent="0.25">
      <c r="F350" s="9"/>
      <c r="G350" s="21">
        <v>5.7983399999999997E-2</v>
      </c>
      <c r="H350" s="21">
        <v>8.6234599999999997</v>
      </c>
      <c r="I350" s="21">
        <v>-1.5014599999999999E-2</v>
      </c>
      <c r="J350" s="21">
        <v>340</v>
      </c>
      <c r="K350" s="21">
        <v>5.74951E-2</v>
      </c>
      <c r="L350">
        <f t="shared" si="60"/>
        <v>18.536543209876541</v>
      </c>
      <c r="M350">
        <f t="shared" si="61"/>
        <v>1.0748117995555553</v>
      </c>
      <c r="N350" s="9"/>
      <c r="O350" s="21">
        <v>1.61209</v>
      </c>
      <c r="P350" s="21">
        <v>12.382199999999999</v>
      </c>
      <c r="Q350" s="21">
        <v>-1.09131E-2</v>
      </c>
      <c r="R350" s="21">
        <v>340</v>
      </c>
      <c r="S350" s="21">
        <v>1.6110199999999999</v>
      </c>
      <c r="T350">
        <f t="shared" si="62"/>
        <v>13.472962962962963</v>
      </c>
      <c r="U350">
        <f t="shared" si="63"/>
        <v>21.719628862962963</v>
      </c>
      <c r="X350" s="9"/>
      <c r="Y350" s="21">
        <v>5.7983399999999997E-2</v>
      </c>
      <c r="Z350" s="21">
        <v>17.849699999999999</v>
      </c>
      <c r="AA350" s="21">
        <v>-1.5008499999999999E-2</v>
      </c>
      <c r="AB350" s="21">
        <v>340</v>
      </c>
      <c r="AC350" s="21">
        <v>5.7525600000000003E-2</v>
      </c>
      <c r="AD350">
        <f t="shared" si="64"/>
        <v>18.529012345679011</v>
      </c>
      <c r="AE350">
        <f t="shared" si="65"/>
        <v>1.0743751344444443</v>
      </c>
      <c r="AF350" s="9"/>
      <c r="AG350" s="21">
        <v>1.61209</v>
      </c>
      <c r="AH350" s="21">
        <v>21.6084</v>
      </c>
      <c r="AI350" s="21">
        <v>-1.09985E-2</v>
      </c>
      <c r="AJ350" s="21">
        <v>340</v>
      </c>
      <c r="AK350" s="21">
        <v>1.6113299999999999</v>
      </c>
      <c r="AL350">
        <f t="shared" si="66"/>
        <v>13.578395061728394</v>
      </c>
      <c r="AM350">
        <f t="shared" si="67"/>
        <v>21.889594895061727</v>
      </c>
      <c r="AP350" s="9"/>
      <c r="AQ350" s="21">
        <v>5.7983399999999997E-2</v>
      </c>
      <c r="AR350" s="21">
        <v>27.050899999999999</v>
      </c>
      <c r="AS350" s="21">
        <v>-1.5069600000000001E-2</v>
      </c>
      <c r="AT350" s="21">
        <v>340</v>
      </c>
      <c r="AU350" s="21">
        <v>5.7434100000000002E-2</v>
      </c>
      <c r="AV350">
        <f t="shared" si="68"/>
        <v>18.604444444444443</v>
      </c>
      <c r="AW350">
        <f t="shared" si="69"/>
        <v>1.0787489439999998</v>
      </c>
      <c r="AX350" s="9"/>
      <c r="AY350" s="21">
        <v>1.61209</v>
      </c>
      <c r="AZ350" s="21">
        <v>30.809699999999999</v>
      </c>
      <c r="BA350" s="21">
        <v>-1.10321E-2</v>
      </c>
      <c r="BB350" s="21">
        <v>340</v>
      </c>
      <c r="BC350" s="21">
        <v>1.6113299999999999</v>
      </c>
      <c r="BD350">
        <f t="shared" si="70"/>
        <v>13.619876543209877</v>
      </c>
      <c r="BE350">
        <f t="shared" si="71"/>
        <v>21.956466776543209</v>
      </c>
    </row>
    <row r="351" spans="6:57" x14ac:dyDescent="0.25">
      <c r="F351" s="9"/>
      <c r="G351" s="21">
        <v>5.2948000000000002E-2</v>
      </c>
      <c r="H351" s="21">
        <v>8.6335300000000004</v>
      </c>
      <c r="I351" s="21">
        <v>-1.50116E-2</v>
      </c>
      <c r="J351" s="21">
        <v>341</v>
      </c>
      <c r="K351" s="21">
        <v>5.2429200000000002E-2</v>
      </c>
      <c r="L351">
        <f t="shared" si="60"/>
        <v>18.532839506172838</v>
      </c>
      <c r="M351">
        <f t="shared" si="61"/>
        <v>0.98127678617283942</v>
      </c>
      <c r="N351" s="9"/>
      <c r="O351" s="21">
        <v>1.61713</v>
      </c>
      <c r="P351" s="21">
        <v>12.392300000000001</v>
      </c>
      <c r="Q351" s="21">
        <v>-1.0781900000000001E-2</v>
      </c>
      <c r="R351" s="21">
        <v>341</v>
      </c>
      <c r="S351" s="21">
        <v>1.61652</v>
      </c>
      <c r="T351">
        <f t="shared" si="62"/>
        <v>13.310987654320988</v>
      </c>
      <c r="U351">
        <f t="shared" si="63"/>
        <v>21.525597465432099</v>
      </c>
      <c r="X351" s="9"/>
      <c r="Y351" s="21">
        <v>5.2948000000000002E-2</v>
      </c>
      <c r="Z351" s="21">
        <v>17.8597</v>
      </c>
      <c r="AA351" s="21">
        <v>-1.5002400000000001E-2</v>
      </c>
      <c r="AB351" s="21">
        <v>341</v>
      </c>
      <c r="AC351" s="21">
        <v>5.2398699999999999E-2</v>
      </c>
      <c r="AD351">
        <f t="shared" si="64"/>
        <v>18.521481481481484</v>
      </c>
      <c r="AE351">
        <f t="shared" si="65"/>
        <v>0.98067540148148158</v>
      </c>
      <c r="AF351" s="9"/>
      <c r="AG351" s="21">
        <v>1.61713</v>
      </c>
      <c r="AH351" s="21">
        <v>21.618500000000001</v>
      </c>
      <c r="AI351" s="21">
        <v>-1.0870400000000001E-2</v>
      </c>
      <c r="AJ351" s="21">
        <v>341</v>
      </c>
      <c r="AK351" s="21">
        <v>1.6162099999999999</v>
      </c>
      <c r="AL351">
        <f t="shared" si="66"/>
        <v>13.420246913580247</v>
      </c>
      <c r="AM351">
        <f t="shared" si="67"/>
        <v>21.702283891358025</v>
      </c>
      <c r="AP351" s="9"/>
      <c r="AQ351" s="21">
        <v>5.2948000000000002E-2</v>
      </c>
      <c r="AR351" s="21">
        <v>27.061</v>
      </c>
      <c r="AS351" s="21">
        <v>-1.5069600000000001E-2</v>
      </c>
      <c r="AT351" s="21">
        <v>341</v>
      </c>
      <c r="AU351" s="21">
        <v>5.2307100000000002E-2</v>
      </c>
      <c r="AV351">
        <f t="shared" si="68"/>
        <v>18.604444444444443</v>
      </c>
      <c r="AW351">
        <f t="shared" si="69"/>
        <v>0.98506812444444436</v>
      </c>
      <c r="AX351" s="9"/>
      <c r="AY351" s="21">
        <v>1.61713</v>
      </c>
      <c r="AZ351" s="21">
        <v>30.819700000000001</v>
      </c>
      <c r="BA351" s="21">
        <v>-1.0891700000000001E-2</v>
      </c>
      <c r="BB351" s="21">
        <v>341</v>
      </c>
      <c r="BC351" s="21">
        <v>1.6162099999999999</v>
      </c>
      <c r="BD351">
        <f t="shared" si="70"/>
        <v>13.446543209876543</v>
      </c>
      <c r="BE351">
        <f t="shared" si="71"/>
        <v>21.744808420987653</v>
      </c>
    </row>
    <row r="352" spans="6:57" x14ac:dyDescent="0.25">
      <c r="F352" s="9"/>
      <c r="G352" s="21">
        <v>4.79126E-2</v>
      </c>
      <c r="H352" s="21">
        <v>8.6435999999999993</v>
      </c>
      <c r="I352" s="21">
        <v>-1.50116E-2</v>
      </c>
      <c r="J352" s="21">
        <v>342</v>
      </c>
      <c r="K352" s="21">
        <v>4.7793599999999999E-2</v>
      </c>
      <c r="L352">
        <f t="shared" si="60"/>
        <v>18.532839506172838</v>
      </c>
      <c r="M352">
        <f t="shared" si="61"/>
        <v>0.88795652612345666</v>
      </c>
      <c r="N352" s="9"/>
      <c r="O352" s="21">
        <v>1.62216</v>
      </c>
      <c r="P352" s="21">
        <v>12.4024</v>
      </c>
      <c r="Q352" s="21">
        <v>-1.06476E-2</v>
      </c>
      <c r="R352" s="21">
        <v>342</v>
      </c>
      <c r="S352" s="21">
        <v>1.6216999999999999</v>
      </c>
      <c r="T352">
        <f t="shared" si="62"/>
        <v>13.145185185185186</v>
      </c>
      <c r="U352">
        <f t="shared" si="63"/>
        <v>21.323593600000002</v>
      </c>
      <c r="X352" s="9"/>
      <c r="Y352" s="21">
        <v>4.79126E-2</v>
      </c>
      <c r="Z352" s="21">
        <v>17.869800000000001</v>
      </c>
      <c r="AA352" s="21">
        <v>-1.50055E-2</v>
      </c>
      <c r="AB352" s="21">
        <v>342</v>
      </c>
      <c r="AC352" s="21">
        <v>4.7848500000000002E-2</v>
      </c>
      <c r="AD352">
        <f t="shared" si="64"/>
        <v>18.525308641975307</v>
      </c>
      <c r="AE352">
        <f t="shared" si="65"/>
        <v>0.88759570283950606</v>
      </c>
      <c r="AF352" s="9"/>
      <c r="AG352" s="21">
        <v>1.62216</v>
      </c>
      <c r="AH352" s="21">
        <v>21.628599999999999</v>
      </c>
      <c r="AI352" s="21">
        <v>-1.07391E-2</v>
      </c>
      <c r="AJ352" s="21">
        <v>342</v>
      </c>
      <c r="AK352" s="21">
        <v>1.6214</v>
      </c>
      <c r="AL352">
        <f t="shared" si="66"/>
        <v>13.258148148148148</v>
      </c>
      <c r="AM352">
        <f t="shared" si="67"/>
        <v>21.506837600000001</v>
      </c>
      <c r="AP352" s="9"/>
      <c r="AQ352" s="21">
        <v>4.79126E-2</v>
      </c>
      <c r="AR352" s="21">
        <v>27.071000000000002</v>
      </c>
      <c r="AS352" s="21">
        <v>-1.5063500000000001E-2</v>
      </c>
      <c r="AT352" s="21">
        <v>342</v>
      </c>
      <c r="AU352" s="21">
        <v>4.7851600000000001E-2</v>
      </c>
      <c r="AV352">
        <f t="shared" si="68"/>
        <v>18.596913580246913</v>
      </c>
      <c r="AW352">
        <f t="shared" si="69"/>
        <v>0.89102648160493825</v>
      </c>
      <c r="AX352" s="9"/>
      <c r="AY352" s="21">
        <v>1.62216</v>
      </c>
      <c r="AZ352" s="21">
        <v>30.829799999999999</v>
      </c>
      <c r="BA352" s="21">
        <v>-1.07635E-2</v>
      </c>
      <c r="BB352" s="21">
        <v>342</v>
      </c>
      <c r="BC352" s="21">
        <v>1.6216999999999999</v>
      </c>
      <c r="BD352">
        <f t="shared" si="70"/>
        <v>13.288271604938272</v>
      </c>
      <c r="BE352">
        <f t="shared" si="71"/>
        <v>21.555702666666669</v>
      </c>
    </row>
    <row r="353" spans="6:57" x14ac:dyDescent="0.25">
      <c r="F353" s="9"/>
      <c r="G353" s="21">
        <v>4.2877199999999997E-2</v>
      </c>
      <c r="H353" s="21">
        <v>8.6536799999999996</v>
      </c>
      <c r="I353" s="21">
        <v>-1.5029900000000001E-2</v>
      </c>
      <c r="J353" s="21">
        <v>343</v>
      </c>
      <c r="K353" s="21">
        <v>4.2810099999999997E-2</v>
      </c>
      <c r="L353">
        <f t="shared" si="60"/>
        <v>18.555432098765429</v>
      </c>
      <c r="M353">
        <f t="shared" si="61"/>
        <v>0.79560497318518497</v>
      </c>
      <c r="N353" s="9"/>
      <c r="O353" s="21">
        <v>1.6272</v>
      </c>
      <c r="P353" s="21">
        <v>12.4124</v>
      </c>
      <c r="Q353" s="21">
        <v>-1.05103E-2</v>
      </c>
      <c r="R353" s="21">
        <v>343</v>
      </c>
      <c r="S353" s="21">
        <v>1.62659</v>
      </c>
      <c r="T353">
        <f t="shared" si="62"/>
        <v>12.97567901234568</v>
      </c>
      <c r="U353">
        <f t="shared" si="63"/>
        <v>21.114024888888888</v>
      </c>
      <c r="X353" s="9"/>
      <c r="Y353" s="21">
        <v>4.2877199999999997E-2</v>
      </c>
      <c r="Z353" s="21">
        <v>17.879899999999999</v>
      </c>
      <c r="AA353" s="21">
        <v>-1.5014599999999999E-2</v>
      </c>
      <c r="AB353" s="21">
        <v>343</v>
      </c>
      <c r="AC353" s="21">
        <v>4.2779499999999998E-2</v>
      </c>
      <c r="AD353">
        <f t="shared" si="64"/>
        <v>18.536543209876541</v>
      </c>
      <c r="AE353">
        <f t="shared" si="65"/>
        <v>0.79479507051851839</v>
      </c>
      <c r="AF353" s="9"/>
      <c r="AG353" s="21">
        <v>1.6272</v>
      </c>
      <c r="AH353" s="21">
        <v>21.6387</v>
      </c>
      <c r="AI353" s="21">
        <v>-1.05957E-2</v>
      </c>
      <c r="AJ353" s="21">
        <v>343</v>
      </c>
      <c r="AK353" s="21">
        <v>1.6268899999999999</v>
      </c>
      <c r="AL353">
        <f t="shared" si="66"/>
        <v>13.08111111111111</v>
      </c>
      <c r="AM353">
        <f t="shared" si="67"/>
        <v>21.285583999999997</v>
      </c>
      <c r="AP353" s="9"/>
      <c r="AQ353" s="21">
        <v>4.2877199999999997E-2</v>
      </c>
      <c r="AR353" s="21">
        <v>27.081099999999999</v>
      </c>
      <c r="AS353" s="21">
        <v>-1.50665E-2</v>
      </c>
      <c r="AT353" s="21">
        <v>343</v>
      </c>
      <c r="AU353" s="21">
        <v>4.2776500000000002E-2</v>
      </c>
      <c r="AV353">
        <f t="shared" si="68"/>
        <v>18.600617283950616</v>
      </c>
      <c r="AW353">
        <f t="shared" si="69"/>
        <v>0.79754238740740724</v>
      </c>
      <c r="AX353" s="9"/>
      <c r="AY353" s="21">
        <v>1.6272</v>
      </c>
      <c r="AZ353" s="21">
        <v>30.8399</v>
      </c>
      <c r="BA353" s="21">
        <v>-1.0623199999999999E-2</v>
      </c>
      <c r="BB353" s="21">
        <v>343</v>
      </c>
      <c r="BC353" s="21">
        <v>1.62598</v>
      </c>
      <c r="BD353">
        <f t="shared" si="70"/>
        <v>13.115061728395061</v>
      </c>
      <c r="BE353">
        <f t="shared" si="71"/>
        <v>21.340828444444444</v>
      </c>
    </row>
    <row r="354" spans="6:57" x14ac:dyDescent="0.25">
      <c r="F354" s="9"/>
      <c r="G354" s="21">
        <v>3.7841800000000002E-2</v>
      </c>
      <c r="H354" s="21">
        <v>8.6637500000000003</v>
      </c>
      <c r="I354" s="21">
        <v>-1.50452E-2</v>
      </c>
      <c r="J354" s="21">
        <v>344</v>
      </c>
      <c r="K354" s="21">
        <v>3.7692299999999998E-2</v>
      </c>
      <c r="L354">
        <f t="shared" si="60"/>
        <v>18.574320987654321</v>
      </c>
      <c r="M354">
        <f t="shared" si="61"/>
        <v>0.70288573995061732</v>
      </c>
      <c r="N354" s="9"/>
      <c r="O354" s="21">
        <v>1.6322300000000001</v>
      </c>
      <c r="P354" s="21">
        <v>12.422499999999999</v>
      </c>
      <c r="Q354" s="21">
        <v>-1.03607E-2</v>
      </c>
      <c r="R354" s="21">
        <v>344</v>
      </c>
      <c r="S354" s="21">
        <v>1.63147</v>
      </c>
      <c r="T354">
        <f t="shared" si="62"/>
        <v>12.790987654320988</v>
      </c>
      <c r="U354">
        <f t="shared" si="63"/>
        <v>20.877833779012349</v>
      </c>
      <c r="X354" s="9"/>
      <c r="Y354" s="21">
        <v>3.7841800000000002E-2</v>
      </c>
      <c r="Z354" s="21">
        <v>17.89</v>
      </c>
      <c r="AA354" s="21">
        <v>-1.5026899999999999E-2</v>
      </c>
      <c r="AB354" s="21">
        <v>344</v>
      </c>
      <c r="AC354" s="21">
        <v>3.77411E-2</v>
      </c>
      <c r="AD354">
        <f t="shared" si="64"/>
        <v>18.551728395061726</v>
      </c>
      <c r="AE354">
        <f t="shared" si="65"/>
        <v>0.70203079558024684</v>
      </c>
      <c r="AF354" s="9"/>
      <c r="AG354" s="21">
        <v>1.6322300000000001</v>
      </c>
      <c r="AH354" s="21">
        <v>21.648700000000002</v>
      </c>
      <c r="AI354" s="21">
        <v>-1.0449200000000001E-2</v>
      </c>
      <c r="AJ354" s="21">
        <v>344</v>
      </c>
      <c r="AK354" s="21">
        <v>1.6317699999999999</v>
      </c>
      <c r="AL354">
        <f t="shared" si="66"/>
        <v>12.900246913580247</v>
      </c>
      <c r="AM354">
        <f t="shared" si="67"/>
        <v>21.056170019753086</v>
      </c>
      <c r="AP354" s="9"/>
      <c r="AQ354" s="21">
        <v>3.7841800000000002E-2</v>
      </c>
      <c r="AR354" s="21">
        <v>27.091200000000001</v>
      </c>
      <c r="AS354" s="21">
        <v>-1.5069600000000001E-2</v>
      </c>
      <c r="AT354" s="21">
        <v>344</v>
      </c>
      <c r="AU354" s="21">
        <v>3.76984E-2</v>
      </c>
      <c r="AV354">
        <f t="shared" si="68"/>
        <v>18.604444444444443</v>
      </c>
      <c r="AW354">
        <f t="shared" si="69"/>
        <v>0.70402566577777781</v>
      </c>
      <c r="AX354" s="9"/>
      <c r="AY354" s="21">
        <v>1.6322300000000001</v>
      </c>
      <c r="AZ354" s="21">
        <v>30.85</v>
      </c>
      <c r="BA354" s="21">
        <v>-1.04828E-2</v>
      </c>
      <c r="BB354" s="21">
        <v>344</v>
      </c>
      <c r="BC354" s="21">
        <v>1.63147</v>
      </c>
      <c r="BD354">
        <f t="shared" si="70"/>
        <v>12.941728395061729</v>
      </c>
      <c r="BE354">
        <f t="shared" si="71"/>
        <v>21.123877338271605</v>
      </c>
    </row>
    <row r="355" spans="6:57" x14ac:dyDescent="0.25">
      <c r="F355" s="9"/>
      <c r="G355" s="21">
        <v>3.2806399999999999E-2</v>
      </c>
      <c r="H355" s="21">
        <v>8.6738199999999992</v>
      </c>
      <c r="I355" s="21">
        <v>-1.50513E-2</v>
      </c>
      <c r="J355" s="21">
        <v>345</v>
      </c>
      <c r="K355" s="21">
        <v>3.2684299999999999E-2</v>
      </c>
      <c r="L355">
        <f t="shared" si="60"/>
        <v>18.581851851851848</v>
      </c>
      <c r="M355">
        <f t="shared" si="61"/>
        <v>0.60960366459259241</v>
      </c>
      <c r="N355" s="9"/>
      <c r="O355" s="21">
        <v>1.63727</v>
      </c>
      <c r="P355" s="21">
        <v>12.432600000000001</v>
      </c>
      <c r="Q355" s="21">
        <v>-1.0199E-2</v>
      </c>
      <c r="R355" s="21">
        <v>345</v>
      </c>
      <c r="S355" s="21">
        <v>1.63666</v>
      </c>
      <c r="T355">
        <f t="shared" si="62"/>
        <v>12.591358024691356</v>
      </c>
      <c r="U355">
        <f t="shared" si="63"/>
        <v>20.615452753086416</v>
      </c>
      <c r="X355" s="9"/>
      <c r="Y355" s="21">
        <v>3.2806399999999999E-2</v>
      </c>
      <c r="Z355" s="21">
        <v>17.899999999999999</v>
      </c>
      <c r="AA355" s="21">
        <v>-1.50452E-2</v>
      </c>
      <c r="AB355" s="21">
        <v>345</v>
      </c>
      <c r="AC355" s="21">
        <v>3.2766700000000003E-2</v>
      </c>
      <c r="AD355">
        <f t="shared" si="64"/>
        <v>18.574320987654321</v>
      </c>
      <c r="AE355">
        <f t="shared" si="65"/>
        <v>0.60935660404938274</v>
      </c>
      <c r="AF355" s="9"/>
      <c r="AG355" s="21">
        <v>1.63727</v>
      </c>
      <c r="AH355" s="21">
        <v>21.658799999999999</v>
      </c>
      <c r="AI355" s="21">
        <v>-1.02875E-2</v>
      </c>
      <c r="AJ355" s="21">
        <v>345</v>
      </c>
      <c r="AK355" s="21">
        <v>1.63696</v>
      </c>
      <c r="AL355">
        <f t="shared" si="66"/>
        <v>12.700617283950615</v>
      </c>
      <c r="AM355">
        <f t="shared" si="67"/>
        <v>20.794339660493822</v>
      </c>
      <c r="AP355" s="9"/>
      <c r="AQ355" s="21">
        <v>3.2806399999999999E-2</v>
      </c>
      <c r="AR355" s="21">
        <v>27.101299999999998</v>
      </c>
      <c r="AS355" s="21">
        <v>-1.50787E-2</v>
      </c>
      <c r="AT355" s="21">
        <v>345</v>
      </c>
      <c r="AU355" s="21">
        <v>3.26141E-2</v>
      </c>
      <c r="AV355">
        <f t="shared" si="68"/>
        <v>18.61567901234568</v>
      </c>
      <c r="AW355">
        <f t="shared" si="69"/>
        <v>0.61071341195061735</v>
      </c>
      <c r="AX355" s="9"/>
      <c r="AY355" s="21">
        <v>1.63727</v>
      </c>
      <c r="AZ355" s="21">
        <v>30.86</v>
      </c>
      <c r="BA355" s="21">
        <v>-1.0321E-2</v>
      </c>
      <c r="BB355" s="21">
        <v>345</v>
      </c>
      <c r="BC355" s="21">
        <v>1.63696</v>
      </c>
      <c r="BD355">
        <f t="shared" si="70"/>
        <v>12.741975308641976</v>
      </c>
      <c r="BE355">
        <f t="shared" si="71"/>
        <v>20.862053913580247</v>
      </c>
    </row>
    <row r="356" spans="6:57" x14ac:dyDescent="0.25">
      <c r="F356" s="9"/>
      <c r="G356" s="21">
        <v>2.7771000000000001E-2</v>
      </c>
      <c r="H356" s="21">
        <v>8.6838899999999999</v>
      </c>
      <c r="I356" s="21">
        <v>-1.50543E-2</v>
      </c>
      <c r="J356" s="21">
        <v>346</v>
      </c>
      <c r="K356" s="21">
        <v>2.7627599999999999E-2</v>
      </c>
      <c r="L356">
        <f t="shared" si="60"/>
        <v>18.585555555555555</v>
      </c>
      <c r="M356">
        <f t="shared" si="61"/>
        <v>0.51613946333333327</v>
      </c>
      <c r="N356" s="9"/>
      <c r="O356" s="21">
        <v>1.6423000000000001</v>
      </c>
      <c r="P356" s="21">
        <v>12.4427</v>
      </c>
      <c r="Q356" s="21">
        <v>-1.0015899999999999E-2</v>
      </c>
      <c r="R356" s="21">
        <v>346</v>
      </c>
      <c r="S356" s="21">
        <v>1.64093</v>
      </c>
      <c r="T356">
        <f t="shared" si="62"/>
        <v>12.365308641975307</v>
      </c>
      <c r="U356">
        <f t="shared" si="63"/>
        <v>20.307546382716048</v>
      </c>
      <c r="X356" s="9"/>
      <c r="Y356" s="21">
        <v>2.7771000000000001E-2</v>
      </c>
      <c r="Z356" s="21">
        <v>17.9101</v>
      </c>
      <c r="AA356" s="21">
        <v>-1.50574E-2</v>
      </c>
      <c r="AB356" s="21">
        <v>346</v>
      </c>
      <c r="AC356" s="21">
        <v>2.7673300000000001E-2</v>
      </c>
      <c r="AD356">
        <f t="shared" si="64"/>
        <v>18.589382716049382</v>
      </c>
      <c r="AE356">
        <f t="shared" si="65"/>
        <v>0.51624574740740736</v>
      </c>
      <c r="AF356" s="9"/>
      <c r="AG356" s="21">
        <v>1.6423000000000001</v>
      </c>
      <c r="AH356" s="21">
        <v>21.668900000000001</v>
      </c>
      <c r="AI356" s="21">
        <v>-1.01227E-2</v>
      </c>
      <c r="AJ356" s="21">
        <v>346</v>
      </c>
      <c r="AK356" s="21">
        <v>1.64185</v>
      </c>
      <c r="AL356">
        <f t="shared" si="66"/>
        <v>12.49716049382716</v>
      </c>
      <c r="AM356">
        <f t="shared" si="67"/>
        <v>20.524086679012346</v>
      </c>
      <c r="AP356" s="9"/>
      <c r="AQ356" s="21">
        <v>2.7771000000000001E-2</v>
      </c>
      <c r="AR356" s="21">
        <v>27.1113</v>
      </c>
      <c r="AS356" s="21">
        <v>-1.5081799999999999E-2</v>
      </c>
      <c r="AT356" s="21">
        <v>346</v>
      </c>
      <c r="AU356" s="21">
        <v>2.7633700000000001E-2</v>
      </c>
      <c r="AV356">
        <f t="shared" si="68"/>
        <v>18.619506172839504</v>
      </c>
      <c r="AW356">
        <f t="shared" si="69"/>
        <v>0.51708230592592586</v>
      </c>
      <c r="AX356" s="9"/>
      <c r="AY356" s="21">
        <v>1.6423000000000001</v>
      </c>
      <c r="AZ356" s="21">
        <v>30.870100000000001</v>
      </c>
      <c r="BA356" s="21">
        <v>-1.01593E-2</v>
      </c>
      <c r="BB356" s="21">
        <v>346</v>
      </c>
      <c r="BC356" s="21">
        <v>1.64185</v>
      </c>
      <c r="BD356">
        <f t="shared" si="70"/>
        <v>12.542345679012344</v>
      </c>
      <c r="BE356">
        <f t="shared" si="71"/>
        <v>20.598294308641975</v>
      </c>
    </row>
    <row r="357" spans="6:57" x14ac:dyDescent="0.25">
      <c r="F357" s="9"/>
      <c r="G357" s="21">
        <v>2.2735600000000002E-2</v>
      </c>
      <c r="H357" s="21">
        <v>8.6939600000000006</v>
      </c>
      <c r="I357" s="21">
        <v>-1.50543E-2</v>
      </c>
      <c r="J357" s="21">
        <v>347</v>
      </c>
      <c r="K357" s="21">
        <v>2.2573900000000001E-2</v>
      </c>
      <c r="L357">
        <f t="shared" si="60"/>
        <v>18.585555555555555</v>
      </c>
      <c r="M357">
        <f t="shared" si="61"/>
        <v>0.42255375688888891</v>
      </c>
      <c r="N357" s="9"/>
      <c r="O357" s="21">
        <v>1.64734</v>
      </c>
      <c r="P357" s="21">
        <v>12.4527</v>
      </c>
      <c r="Q357" s="21">
        <v>-9.8358200000000003E-3</v>
      </c>
      <c r="R357" s="21">
        <v>347</v>
      </c>
      <c r="S357" s="21">
        <v>1.64673</v>
      </c>
      <c r="T357">
        <f t="shared" si="62"/>
        <v>12.142987654320986</v>
      </c>
      <c r="U357">
        <f t="shared" si="63"/>
        <v>20.003629282469134</v>
      </c>
      <c r="X357" s="9"/>
      <c r="Y357" s="21">
        <v>2.2735600000000002E-2</v>
      </c>
      <c r="Z357" s="21">
        <v>17.920200000000001</v>
      </c>
      <c r="AA357" s="21">
        <v>-1.50604E-2</v>
      </c>
      <c r="AB357" s="21">
        <v>347</v>
      </c>
      <c r="AC357" s="21">
        <v>2.2586100000000001E-2</v>
      </c>
      <c r="AD357">
        <f t="shared" si="64"/>
        <v>18.593086419753085</v>
      </c>
      <c r="AE357">
        <f t="shared" si="65"/>
        <v>0.42272497560493827</v>
      </c>
      <c r="AF357" s="9"/>
      <c r="AG357" s="21">
        <v>1.64734</v>
      </c>
      <c r="AH357" s="21">
        <v>21.678899999999999</v>
      </c>
      <c r="AI357" s="21">
        <v>-9.9334699999999998E-3</v>
      </c>
      <c r="AJ357" s="21">
        <v>347</v>
      </c>
      <c r="AK357" s="21">
        <v>1.64612</v>
      </c>
      <c r="AL357">
        <f t="shared" si="66"/>
        <v>12.263543209876541</v>
      </c>
      <c r="AM357">
        <f t="shared" si="67"/>
        <v>20.202225271358021</v>
      </c>
      <c r="AP357" s="9"/>
      <c r="AQ357" s="21">
        <v>2.2735600000000002E-2</v>
      </c>
      <c r="AR357" s="21">
        <v>27.121400000000001</v>
      </c>
      <c r="AS357" s="21">
        <v>-1.50787E-2</v>
      </c>
      <c r="AT357" s="21">
        <v>347</v>
      </c>
      <c r="AU357" s="21">
        <v>2.2598300000000002E-2</v>
      </c>
      <c r="AV357">
        <f t="shared" si="68"/>
        <v>18.61567901234568</v>
      </c>
      <c r="AW357">
        <f t="shared" si="69"/>
        <v>0.42323863175308646</v>
      </c>
      <c r="AX357" s="9"/>
      <c r="AY357" s="21">
        <v>1.64734</v>
      </c>
      <c r="AZ357" s="21">
        <v>30.880199999999999</v>
      </c>
      <c r="BA357" s="21">
        <v>-9.9822999999999995E-3</v>
      </c>
      <c r="BB357" s="21">
        <v>347</v>
      </c>
      <c r="BC357" s="21">
        <v>1.64703</v>
      </c>
      <c r="BD357">
        <f t="shared" si="70"/>
        <v>12.323827160493826</v>
      </c>
      <c r="BE357">
        <f t="shared" si="71"/>
        <v>20.301533434567901</v>
      </c>
    </row>
    <row r="358" spans="6:57" x14ac:dyDescent="0.25">
      <c r="F358" s="9"/>
      <c r="G358" s="21">
        <v>1.7700199999999999E-2</v>
      </c>
      <c r="H358" s="21">
        <v>8.7040299999999995</v>
      </c>
      <c r="I358" s="21">
        <v>-1.50543E-2</v>
      </c>
      <c r="J358" s="21">
        <v>348</v>
      </c>
      <c r="K358" s="21">
        <v>1.75049E-2</v>
      </c>
      <c r="L358">
        <f t="shared" si="60"/>
        <v>18.585555555555555</v>
      </c>
      <c r="M358">
        <f t="shared" si="61"/>
        <v>0.32896805044444444</v>
      </c>
      <c r="N358" s="9"/>
      <c r="O358" s="21">
        <v>1.6523699999999999</v>
      </c>
      <c r="P358" s="21">
        <v>12.4628</v>
      </c>
      <c r="Q358" s="21">
        <v>-9.6282999999999994E-3</v>
      </c>
      <c r="R358" s="21">
        <v>348</v>
      </c>
      <c r="S358" s="21">
        <v>1.65161</v>
      </c>
      <c r="T358">
        <f t="shared" si="62"/>
        <v>11.886790123456787</v>
      </c>
      <c r="U358">
        <f t="shared" si="63"/>
        <v>19.64137539629629</v>
      </c>
      <c r="X358" s="9"/>
      <c r="Y358" s="21">
        <v>1.7700199999999999E-2</v>
      </c>
      <c r="Z358" s="21">
        <v>17.930199999999999</v>
      </c>
      <c r="AA358" s="21">
        <v>-1.50543E-2</v>
      </c>
      <c r="AB358" s="21">
        <v>348</v>
      </c>
      <c r="AC358" s="21">
        <v>1.7513999999999998E-2</v>
      </c>
      <c r="AD358">
        <f t="shared" si="64"/>
        <v>18.585555555555555</v>
      </c>
      <c r="AE358">
        <f t="shared" si="65"/>
        <v>0.32896805044444444</v>
      </c>
      <c r="AF358" s="9"/>
      <c r="AG358" s="21">
        <v>1.6523699999999999</v>
      </c>
      <c r="AH358" s="21">
        <v>21.689</v>
      </c>
      <c r="AI358" s="21">
        <v>-9.7351099999999999E-3</v>
      </c>
      <c r="AJ358" s="21">
        <v>348</v>
      </c>
      <c r="AK358" s="21">
        <v>1.651</v>
      </c>
      <c r="AL358">
        <f t="shared" si="66"/>
        <v>12.018654320987654</v>
      </c>
      <c r="AM358">
        <f t="shared" si="67"/>
        <v>19.859263840370367</v>
      </c>
      <c r="AP358" s="9"/>
      <c r="AQ358" s="21">
        <v>1.7700199999999999E-2</v>
      </c>
      <c r="AR358" s="21">
        <v>27.131499999999999</v>
      </c>
      <c r="AS358" s="21">
        <v>-1.5090900000000001E-2</v>
      </c>
      <c r="AT358" s="21">
        <v>348</v>
      </c>
      <c r="AU358" s="21">
        <v>1.7462200000000001E-2</v>
      </c>
      <c r="AV358">
        <f t="shared" si="68"/>
        <v>18.630740740740741</v>
      </c>
      <c r="AW358">
        <f t="shared" si="69"/>
        <v>0.32976783725925923</v>
      </c>
      <c r="AX358" s="9"/>
      <c r="AY358" s="21">
        <v>1.6523699999999999</v>
      </c>
      <c r="AZ358" s="21">
        <v>30.8902</v>
      </c>
      <c r="BA358" s="21">
        <v>-9.7930900000000008E-3</v>
      </c>
      <c r="BB358" s="21">
        <v>348</v>
      </c>
      <c r="BC358" s="21">
        <v>1.6519200000000001</v>
      </c>
      <c r="BD358">
        <f t="shared" si="70"/>
        <v>12.090234567901234</v>
      </c>
      <c r="BE358">
        <f t="shared" si="71"/>
        <v>19.97754089296296</v>
      </c>
    </row>
    <row r="359" spans="6:57" x14ac:dyDescent="0.25">
      <c r="F359" s="9"/>
      <c r="G359" s="21">
        <v>1.26648E-2</v>
      </c>
      <c r="H359" s="21">
        <v>8.7141000000000002</v>
      </c>
      <c r="I359" s="21">
        <v>-1.50574E-2</v>
      </c>
      <c r="J359" s="21">
        <v>349</v>
      </c>
      <c r="K359" s="21">
        <v>1.25366E-2</v>
      </c>
      <c r="L359">
        <f t="shared" si="60"/>
        <v>18.589382716049382</v>
      </c>
      <c r="M359">
        <f t="shared" si="61"/>
        <v>0.23543081422222223</v>
      </c>
      <c r="N359" s="9"/>
      <c r="O359" s="21">
        <v>1.65741</v>
      </c>
      <c r="P359" s="21">
        <v>12.472899999999999</v>
      </c>
      <c r="Q359" s="21">
        <v>-9.4299299999999996E-3</v>
      </c>
      <c r="R359" s="21">
        <v>349</v>
      </c>
      <c r="S359" s="21">
        <v>1.6561900000000001</v>
      </c>
      <c r="T359">
        <f t="shared" si="62"/>
        <v>11.641888888888888</v>
      </c>
      <c r="U359">
        <f t="shared" si="63"/>
        <v>19.295383063333333</v>
      </c>
      <c r="X359" s="9"/>
      <c r="Y359" s="21">
        <v>1.26648E-2</v>
      </c>
      <c r="Z359" s="21">
        <v>17.940300000000001</v>
      </c>
      <c r="AA359" s="21">
        <v>-1.50513E-2</v>
      </c>
      <c r="AB359" s="21">
        <v>349</v>
      </c>
      <c r="AC359" s="21">
        <v>1.2582400000000001E-2</v>
      </c>
      <c r="AD359">
        <f t="shared" si="64"/>
        <v>18.581851851851848</v>
      </c>
      <c r="AE359">
        <f t="shared" si="65"/>
        <v>0.23533543733333329</v>
      </c>
      <c r="AF359" s="9"/>
      <c r="AG359" s="21">
        <v>1.65741</v>
      </c>
      <c r="AH359" s="21">
        <v>21.699100000000001</v>
      </c>
      <c r="AI359" s="21">
        <v>-9.5214800000000006E-3</v>
      </c>
      <c r="AJ359" s="21">
        <v>349</v>
      </c>
      <c r="AK359" s="21">
        <v>1.6568000000000001</v>
      </c>
      <c r="AL359">
        <f t="shared" si="66"/>
        <v>11.754913580246914</v>
      </c>
      <c r="AM359">
        <f t="shared" si="67"/>
        <v>19.482711317037037</v>
      </c>
      <c r="AP359" s="9"/>
      <c r="AQ359" s="21">
        <v>1.26648E-2</v>
      </c>
      <c r="AR359" s="21">
        <v>27.141500000000001</v>
      </c>
      <c r="AS359" s="21">
        <v>-1.5084800000000001E-2</v>
      </c>
      <c r="AT359" s="21">
        <v>349</v>
      </c>
      <c r="AU359" s="21">
        <v>1.25244E-2</v>
      </c>
      <c r="AV359">
        <f t="shared" si="68"/>
        <v>18.623209876543207</v>
      </c>
      <c r="AW359">
        <f t="shared" si="69"/>
        <v>0.2358592284444444</v>
      </c>
      <c r="AX359" s="9"/>
      <c r="AY359" s="21">
        <v>1.65741</v>
      </c>
      <c r="AZ359" s="21">
        <v>30.900300000000001</v>
      </c>
      <c r="BA359" s="21">
        <v>-9.5733599999999995E-3</v>
      </c>
      <c r="BB359" s="21">
        <v>349</v>
      </c>
      <c r="BC359" s="21">
        <v>1.65649</v>
      </c>
      <c r="BD359">
        <f t="shared" si="70"/>
        <v>11.818962962962962</v>
      </c>
      <c r="BE359">
        <f t="shared" si="71"/>
        <v>19.588867404444443</v>
      </c>
    </row>
    <row r="360" spans="6:57" x14ac:dyDescent="0.25">
      <c r="F360" s="9"/>
      <c r="G360" s="21">
        <v>7.6293899999999998E-3</v>
      </c>
      <c r="H360" s="21">
        <v>8.7241700000000009</v>
      </c>
      <c r="I360" s="21">
        <v>-1.50574E-2</v>
      </c>
      <c r="J360" s="21">
        <v>350</v>
      </c>
      <c r="K360" s="21">
        <v>7.4371300000000001E-3</v>
      </c>
      <c r="L360">
        <f t="shared" si="60"/>
        <v>18.589382716049382</v>
      </c>
      <c r="M360">
        <f t="shared" si="61"/>
        <v>0.14182565059999999</v>
      </c>
      <c r="N360" s="9"/>
      <c r="O360" s="21">
        <v>1.66245</v>
      </c>
      <c r="P360" s="21">
        <v>12.482900000000001</v>
      </c>
      <c r="Q360" s="21">
        <v>-9.2132599999999992E-3</v>
      </c>
      <c r="R360" s="21">
        <v>350</v>
      </c>
      <c r="S360" s="21">
        <v>1.66168</v>
      </c>
      <c r="T360">
        <f t="shared" si="62"/>
        <v>11.374395061728395</v>
      </c>
      <c r="U360">
        <f t="shared" si="63"/>
        <v>18.909363070370368</v>
      </c>
      <c r="X360" s="9"/>
      <c r="Y360" s="21">
        <v>7.6293899999999998E-3</v>
      </c>
      <c r="Z360" s="21">
        <v>17.950399999999998</v>
      </c>
      <c r="AA360" s="21">
        <v>-1.50543E-2</v>
      </c>
      <c r="AB360" s="21">
        <v>350</v>
      </c>
      <c r="AC360" s="21">
        <v>7.5042700000000004E-3</v>
      </c>
      <c r="AD360">
        <f t="shared" si="64"/>
        <v>18.585555555555555</v>
      </c>
      <c r="AE360">
        <f t="shared" si="65"/>
        <v>0.14179645169999999</v>
      </c>
      <c r="AF360" s="9"/>
      <c r="AG360" s="21">
        <v>1.66245</v>
      </c>
      <c r="AH360" s="21">
        <v>21.709099999999999</v>
      </c>
      <c r="AI360" s="21">
        <v>-9.3048100000000002E-3</v>
      </c>
      <c r="AJ360" s="21">
        <v>350</v>
      </c>
      <c r="AK360" s="21">
        <v>1.6613800000000001</v>
      </c>
      <c r="AL360">
        <f t="shared" si="66"/>
        <v>11.487419753086421</v>
      </c>
      <c r="AM360">
        <f t="shared" si="67"/>
        <v>19.097260968518519</v>
      </c>
      <c r="AP360" s="9"/>
      <c r="AQ360" s="21">
        <v>7.6293899999999998E-3</v>
      </c>
      <c r="AR360" s="21">
        <v>27.151599999999998</v>
      </c>
      <c r="AS360" s="21">
        <v>-1.5084800000000001E-2</v>
      </c>
      <c r="AT360" s="21">
        <v>350</v>
      </c>
      <c r="AU360" s="21">
        <v>7.4981700000000002E-3</v>
      </c>
      <c r="AV360">
        <f t="shared" si="68"/>
        <v>18.623209876543207</v>
      </c>
      <c r="AW360">
        <f t="shared" si="69"/>
        <v>0.14208373119999998</v>
      </c>
      <c r="AX360" s="9"/>
      <c r="AY360" s="21">
        <v>1.66245</v>
      </c>
      <c r="AZ360" s="21">
        <v>30.910399999999999</v>
      </c>
      <c r="BA360" s="21">
        <v>-9.3627899999999993E-3</v>
      </c>
      <c r="BB360" s="21">
        <v>350</v>
      </c>
      <c r="BC360" s="21">
        <v>1.66229</v>
      </c>
      <c r="BD360">
        <f t="shared" si="70"/>
        <v>11.558999999999997</v>
      </c>
      <c r="BE360">
        <f t="shared" si="71"/>
        <v>19.216259549999997</v>
      </c>
    </row>
    <row r="361" spans="6:57" x14ac:dyDescent="0.25">
      <c r="F361" s="9"/>
      <c r="G361" s="21">
        <v>2.59399E-3</v>
      </c>
      <c r="H361" s="21">
        <v>8.7342399999999998</v>
      </c>
      <c r="I361" s="21">
        <v>-1.50543E-2</v>
      </c>
      <c r="J361" s="21">
        <v>351</v>
      </c>
      <c r="K361" s="21">
        <v>2.4169899999999999E-3</v>
      </c>
      <c r="L361">
        <f t="shared" si="60"/>
        <v>18.585555555555555</v>
      </c>
      <c r="M361">
        <f t="shared" si="61"/>
        <v>4.8210745255555555E-2</v>
      </c>
      <c r="N361" s="9"/>
      <c r="O361" s="21">
        <v>1.6674800000000001</v>
      </c>
      <c r="P361" s="21">
        <v>12.493</v>
      </c>
      <c r="Q361" s="21">
        <v>-8.9752200000000008E-3</v>
      </c>
      <c r="R361" s="21">
        <v>351</v>
      </c>
      <c r="S361" s="21">
        <v>1.6668700000000001</v>
      </c>
      <c r="T361">
        <f t="shared" si="62"/>
        <v>11.080518518518518</v>
      </c>
      <c r="U361">
        <f t="shared" si="63"/>
        <v>18.47654301925926</v>
      </c>
      <c r="X361" s="9"/>
      <c r="Y361" s="21">
        <v>2.59399E-3</v>
      </c>
      <c r="Z361" s="21">
        <v>17.9605</v>
      </c>
      <c r="AA361" s="21">
        <v>-1.50513E-2</v>
      </c>
      <c r="AB361" s="21">
        <v>351</v>
      </c>
      <c r="AC361" s="21">
        <v>2.4597199999999999E-3</v>
      </c>
      <c r="AD361">
        <f t="shared" si="64"/>
        <v>18.581851851851848</v>
      </c>
      <c r="AE361">
        <f t="shared" si="65"/>
        <v>4.8201137885185173E-2</v>
      </c>
      <c r="AF361" s="9"/>
      <c r="AG361" s="21">
        <v>1.6674800000000001</v>
      </c>
      <c r="AH361" s="21">
        <v>21.719200000000001</v>
      </c>
      <c r="AI361" s="21">
        <v>-9.0698199999999993E-3</v>
      </c>
      <c r="AJ361" s="21">
        <v>351</v>
      </c>
      <c r="AK361" s="21">
        <v>1.6668700000000001</v>
      </c>
      <c r="AL361">
        <f t="shared" si="66"/>
        <v>11.197308641975308</v>
      </c>
      <c r="AM361">
        <f t="shared" si="67"/>
        <v>18.671288214320988</v>
      </c>
      <c r="AP361" s="9"/>
      <c r="AQ361" s="21">
        <v>2.59399E-3</v>
      </c>
      <c r="AR361" s="21">
        <v>27.1617</v>
      </c>
      <c r="AS361" s="21">
        <v>-1.50787E-2</v>
      </c>
      <c r="AT361" s="21">
        <v>351</v>
      </c>
      <c r="AU361" s="21">
        <v>2.42004E-3</v>
      </c>
      <c r="AV361">
        <f t="shared" si="68"/>
        <v>18.61567901234568</v>
      </c>
      <c r="AW361">
        <f t="shared" si="69"/>
        <v>4.8288885201234574E-2</v>
      </c>
      <c r="AX361" s="9"/>
      <c r="AY361" s="21">
        <v>1.6674800000000001</v>
      </c>
      <c r="AZ361" s="21">
        <v>30.920500000000001</v>
      </c>
      <c r="BA361" s="21">
        <v>-9.1216999999999999E-3</v>
      </c>
      <c r="BB361" s="21">
        <v>351</v>
      </c>
      <c r="BC361" s="21">
        <v>1.66656</v>
      </c>
      <c r="BD361">
        <f t="shared" si="70"/>
        <v>11.261358024691358</v>
      </c>
      <c r="BE361">
        <f t="shared" si="71"/>
        <v>18.778089279012345</v>
      </c>
    </row>
    <row r="362" spans="6:57" x14ac:dyDescent="0.25">
      <c r="F362" s="9"/>
      <c r="G362" s="21">
        <v>-2.4414100000000002E-3</v>
      </c>
      <c r="H362" s="21">
        <v>8.7443100000000005</v>
      </c>
      <c r="I362" s="21">
        <v>-1.5063500000000001E-2</v>
      </c>
      <c r="J362" s="21">
        <v>352</v>
      </c>
      <c r="K362" s="21">
        <v>-2.6702900000000001E-3</v>
      </c>
      <c r="L362">
        <f t="shared" si="60"/>
        <v>18.596913580246913</v>
      </c>
      <c r="M362">
        <f t="shared" si="61"/>
        <v>-4.5402690783950615E-2</v>
      </c>
      <c r="N362" s="9"/>
      <c r="O362" s="21">
        <v>1.67252</v>
      </c>
      <c r="P362" s="21">
        <v>12.5031</v>
      </c>
      <c r="Q362" s="21">
        <v>-8.7097200000000007E-3</v>
      </c>
      <c r="R362" s="21">
        <v>352</v>
      </c>
      <c r="S362" s="21">
        <v>1.6717500000000001</v>
      </c>
      <c r="T362">
        <f t="shared" si="62"/>
        <v>10.752740740740741</v>
      </c>
      <c r="U362">
        <f t="shared" si="63"/>
        <v>17.984173943703706</v>
      </c>
      <c r="X362" s="9"/>
      <c r="Y362" s="21">
        <v>-2.4414100000000002E-3</v>
      </c>
      <c r="Z362" s="21">
        <v>17.970500000000001</v>
      </c>
      <c r="AA362" s="21">
        <v>-1.50452E-2</v>
      </c>
      <c r="AB362" s="21">
        <v>352</v>
      </c>
      <c r="AC362" s="21">
        <v>-2.6733400000000002E-3</v>
      </c>
      <c r="AD362">
        <f t="shared" si="64"/>
        <v>18.574320987654321</v>
      </c>
      <c r="AE362">
        <f t="shared" si="65"/>
        <v>-4.5347533002469138E-2</v>
      </c>
      <c r="AF362" s="9"/>
      <c r="AG362" s="21">
        <v>1.67252</v>
      </c>
      <c r="AH362" s="21">
        <v>21.729299999999999</v>
      </c>
      <c r="AI362" s="21">
        <v>-8.8195800000000005E-3</v>
      </c>
      <c r="AJ362" s="21">
        <v>352</v>
      </c>
      <c r="AK362" s="21">
        <v>1.6720600000000001</v>
      </c>
      <c r="AL362">
        <f t="shared" si="66"/>
        <v>10.888370370370369</v>
      </c>
      <c r="AM362">
        <f t="shared" si="67"/>
        <v>18.21101721185185</v>
      </c>
      <c r="AP362" s="9"/>
      <c r="AQ362" s="21">
        <v>-2.4414100000000002E-3</v>
      </c>
      <c r="AR362" s="21">
        <v>27.171800000000001</v>
      </c>
      <c r="AS362" s="21">
        <v>-1.50787E-2</v>
      </c>
      <c r="AT362" s="21">
        <v>352</v>
      </c>
      <c r="AU362" s="21">
        <v>-2.6763899999999998E-3</v>
      </c>
      <c r="AV362">
        <f t="shared" si="68"/>
        <v>18.61567901234568</v>
      </c>
      <c r="AW362">
        <f t="shared" si="69"/>
        <v>-4.544850489753087E-2</v>
      </c>
      <c r="AX362" s="9"/>
      <c r="AY362" s="21">
        <v>1.67252</v>
      </c>
      <c r="AZ362" s="21">
        <v>30.930499999999999</v>
      </c>
      <c r="BA362" s="21">
        <v>-8.8775599999999996E-3</v>
      </c>
      <c r="BB362" s="21">
        <v>352</v>
      </c>
      <c r="BC362" s="21">
        <v>1.6714500000000001</v>
      </c>
      <c r="BD362">
        <f t="shared" si="70"/>
        <v>10.959950617283949</v>
      </c>
      <c r="BE362">
        <f t="shared" si="71"/>
        <v>18.330736606419752</v>
      </c>
    </row>
    <row r="363" spans="6:57" x14ac:dyDescent="0.25">
      <c r="F363" s="9"/>
      <c r="G363" s="21">
        <v>-7.4768100000000004E-3</v>
      </c>
      <c r="H363" s="21">
        <v>8.7543900000000008</v>
      </c>
      <c r="I363" s="21">
        <v>-1.50604E-2</v>
      </c>
      <c r="J363" s="21">
        <v>353</v>
      </c>
      <c r="K363" s="21">
        <v>-7.75452E-3</v>
      </c>
      <c r="L363">
        <f t="shared" si="60"/>
        <v>18.593086419753085</v>
      </c>
      <c r="M363">
        <f t="shared" si="61"/>
        <v>-0.13901697447407407</v>
      </c>
      <c r="N363" s="9"/>
      <c r="O363" s="21">
        <v>1.6775500000000001</v>
      </c>
      <c r="P363" s="21">
        <v>12.513199999999999</v>
      </c>
      <c r="Q363" s="21">
        <v>-8.4442100000000006E-3</v>
      </c>
      <c r="R363" s="21">
        <v>353</v>
      </c>
      <c r="S363" s="21">
        <v>1.6766399999999999</v>
      </c>
      <c r="T363">
        <f t="shared" si="62"/>
        <v>10.424950617283951</v>
      </c>
      <c r="U363">
        <f t="shared" si="63"/>
        <v>17.488375908024693</v>
      </c>
      <c r="X363" s="9"/>
      <c r="Y363" s="21">
        <v>-7.4768100000000004E-3</v>
      </c>
      <c r="Z363" s="21">
        <v>17.980599999999999</v>
      </c>
      <c r="AA363" s="21">
        <v>-1.50391E-2</v>
      </c>
      <c r="AB363" s="21">
        <v>353</v>
      </c>
      <c r="AC363" s="21">
        <v>-7.7484099999999998E-3</v>
      </c>
      <c r="AD363">
        <f t="shared" si="64"/>
        <v>18.566790123456791</v>
      </c>
      <c r="AE363">
        <f t="shared" si="65"/>
        <v>-0.13882036206296297</v>
      </c>
      <c r="AF363" s="9"/>
      <c r="AG363" s="21">
        <v>1.6775500000000001</v>
      </c>
      <c r="AH363" s="21">
        <v>21.7394</v>
      </c>
      <c r="AI363" s="21">
        <v>-8.5601800000000006E-3</v>
      </c>
      <c r="AJ363" s="21">
        <v>353</v>
      </c>
      <c r="AK363" s="21">
        <v>1.6766399999999999</v>
      </c>
      <c r="AL363">
        <f t="shared" si="66"/>
        <v>10.568123456790124</v>
      </c>
      <c r="AM363">
        <f t="shared" si="67"/>
        <v>17.728555504938274</v>
      </c>
      <c r="AP363" s="9"/>
      <c r="AQ363" s="21">
        <v>-7.4768100000000004E-3</v>
      </c>
      <c r="AR363" s="21">
        <v>27.181799999999999</v>
      </c>
      <c r="AS363" s="21">
        <v>-1.50879E-2</v>
      </c>
      <c r="AT363" s="21">
        <v>353</v>
      </c>
      <c r="AU363" s="21">
        <v>-7.6263399999999997E-3</v>
      </c>
      <c r="AV363">
        <f t="shared" si="68"/>
        <v>18.627037037037034</v>
      </c>
      <c r="AW363">
        <f t="shared" si="69"/>
        <v>-0.13927081678888889</v>
      </c>
      <c r="AX363" s="9"/>
      <c r="AY363" s="21">
        <v>1.6775500000000001</v>
      </c>
      <c r="AZ363" s="21">
        <v>30.9406</v>
      </c>
      <c r="BA363" s="21">
        <v>-8.5998499999999992E-3</v>
      </c>
      <c r="BB363" s="21">
        <v>353</v>
      </c>
      <c r="BC363" s="21">
        <v>1.6769400000000001</v>
      </c>
      <c r="BD363">
        <f t="shared" si="70"/>
        <v>10.617098765432097</v>
      </c>
      <c r="BE363">
        <f t="shared" si="71"/>
        <v>17.810714033950614</v>
      </c>
    </row>
    <row r="364" spans="6:57" x14ac:dyDescent="0.25">
      <c r="F364" s="9"/>
      <c r="G364" s="21">
        <v>-1.2512199999999999E-2</v>
      </c>
      <c r="H364" s="21">
        <v>8.7644599999999997</v>
      </c>
      <c r="I364" s="21">
        <v>-1.50574E-2</v>
      </c>
      <c r="J364" s="21">
        <v>354</v>
      </c>
      <c r="K364" s="21">
        <v>-1.27625E-2</v>
      </c>
      <c r="L364">
        <f t="shared" si="60"/>
        <v>18.589382716049382</v>
      </c>
      <c r="M364">
        <f t="shared" si="61"/>
        <v>-0.23259407441975308</v>
      </c>
      <c r="N364" s="9"/>
      <c r="O364" s="21">
        <v>1.68259</v>
      </c>
      <c r="P364" s="21">
        <v>12.523199999999999</v>
      </c>
      <c r="Q364" s="21">
        <v>-8.1420899999999994E-3</v>
      </c>
      <c r="R364" s="21">
        <v>354</v>
      </c>
      <c r="S364" s="21">
        <v>1.6818200000000001</v>
      </c>
      <c r="T364">
        <f t="shared" si="62"/>
        <v>10.051962962962962</v>
      </c>
      <c r="U364">
        <f t="shared" si="63"/>
        <v>16.91333236185185</v>
      </c>
      <c r="X364" s="9"/>
      <c r="Y364" s="21">
        <v>-1.2512199999999999E-2</v>
      </c>
      <c r="Z364" s="21">
        <v>17.9907</v>
      </c>
      <c r="AA364" s="21">
        <v>-1.50391E-2</v>
      </c>
      <c r="AB364" s="21">
        <v>354</v>
      </c>
      <c r="AC364" s="21">
        <v>-1.27808E-2</v>
      </c>
      <c r="AD364">
        <f t="shared" si="64"/>
        <v>18.566790123456791</v>
      </c>
      <c r="AE364">
        <f t="shared" si="65"/>
        <v>-0.23231139138271603</v>
      </c>
      <c r="AF364" s="9"/>
      <c r="AG364" s="21">
        <v>1.68259</v>
      </c>
      <c r="AH364" s="21">
        <v>21.749400000000001</v>
      </c>
      <c r="AI364" s="21">
        <v>-8.2702599999999998E-3</v>
      </c>
      <c r="AJ364" s="21">
        <v>354</v>
      </c>
      <c r="AK364" s="21">
        <v>1.6818200000000001</v>
      </c>
      <c r="AL364">
        <f t="shared" si="66"/>
        <v>10.210197530864198</v>
      </c>
      <c r="AM364">
        <f t="shared" si="67"/>
        <v>17.179576263456791</v>
      </c>
      <c r="AP364" s="9"/>
      <c r="AQ364" s="21">
        <v>-1.2512199999999999E-2</v>
      </c>
      <c r="AR364" s="21">
        <v>27.1919</v>
      </c>
      <c r="AS364" s="21">
        <v>-1.50879E-2</v>
      </c>
      <c r="AT364" s="21">
        <v>354</v>
      </c>
      <c r="AU364" s="21">
        <v>-1.27533E-2</v>
      </c>
      <c r="AV364">
        <f t="shared" si="68"/>
        <v>18.627037037037034</v>
      </c>
      <c r="AW364">
        <f t="shared" si="69"/>
        <v>-0.23306521281481477</v>
      </c>
      <c r="AX364" s="9"/>
      <c r="AY364" s="21">
        <v>1.68259</v>
      </c>
      <c r="AZ364" s="21">
        <v>30.950700000000001</v>
      </c>
      <c r="BA364" s="21">
        <v>-8.30994E-3</v>
      </c>
      <c r="BB364" s="21">
        <v>354</v>
      </c>
      <c r="BC364" s="21">
        <v>1.6818200000000001</v>
      </c>
      <c r="BD364">
        <f t="shared" si="70"/>
        <v>10.259185185185183</v>
      </c>
      <c r="BE364">
        <f t="shared" si="71"/>
        <v>17.262002400740737</v>
      </c>
    </row>
    <row r="365" spans="6:57" x14ac:dyDescent="0.25">
      <c r="F365" s="9"/>
      <c r="G365" s="21">
        <v>-1.75476E-2</v>
      </c>
      <c r="H365" s="21">
        <v>8.7745300000000004</v>
      </c>
      <c r="I365" s="21">
        <v>-1.50513E-2</v>
      </c>
      <c r="J365" s="21">
        <v>355</v>
      </c>
      <c r="K365" s="21">
        <v>-1.78589E-2</v>
      </c>
      <c r="L365">
        <f t="shared" si="60"/>
        <v>18.581851851851848</v>
      </c>
      <c r="M365">
        <f t="shared" si="61"/>
        <v>-0.32606690355555551</v>
      </c>
      <c r="N365" s="9"/>
      <c r="O365" s="21">
        <v>1.6876199999999999</v>
      </c>
      <c r="P365" s="21">
        <v>12.533300000000001</v>
      </c>
      <c r="Q365" s="21">
        <v>-7.8216599999999994E-3</v>
      </c>
      <c r="R365" s="21">
        <v>355</v>
      </c>
      <c r="S365" s="21">
        <v>1.6873199999999999</v>
      </c>
      <c r="T365">
        <f t="shared" si="62"/>
        <v>9.6563703703703698</v>
      </c>
      <c r="U365">
        <f t="shared" si="63"/>
        <v>16.296283764444443</v>
      </c>
      <c r="X365" s="9"/>
      <c r="Y365" s="21">
        <v>-1.75476E-2</v>
      </c>
      <c r="Z365" s="21">
        <v>18.000699999999998</v>
      </c>
      <c r="AA365" s="21">
        <v>-1.5048199999999999E-2</v>
      </c>
      <c r="AB365" s="21">
        <v>355</v>
      </c>
      <c r="AC365" s="21">
        <v>-1.7797899999999998E-2</v>
      </c>
      <c r="AD365">
        <f t="shared" si="64"/>
        <v>18.578024691358021</v>
      </c>
      <c r="AE365">
        <f t="shared" si="65"/>
        <v>-0.325999746074074</v>
      </c>
      <c r="AF365" s="9"/>
      <c r="AG365" s="21">
        <v>1.6876199999999999</v>
      </c>
      <c r="AH365" s="21">
        <v>21.759499999999999</v>
      </c>
      <c r="AI365" s="21">
        <v>-7.9681400000000003E-3</v>
      </c>
      <c r="AJ365" s="21">
        <v>355</v>
      </c>
      <c r="AK365" s="21">
        <v>1.6867099999999999</v>
      </c>
      <c r="AL365">
        <f t="shared" si="66"/>
        <v>9.8372098765432092</v>
      </c>
      <c r="AM365">
        <f t="shared" si="67"/>
        <v>16.60147213185185</v>
      </c>
      <c r="AP365" s="9"/>
      <c r="AQ365" s="21">
        <v>-1.75476E-2</v>
      </c>
      <c r="AR365" s="21">
        <v>27.202000000000002</v>
      </c>
      <c r="AS365" s="21">
        <v>-1.5096999999999999E-2</v>
      </c>
      <c r="AT365" s="21">
        <v>355</v>
      </c>
      <c r="AU365" s="21">
        <v>-1.7721600000000001E-2</v>
      </c>
      <c r="AV365">
        <f t="shared" si="68"/>
        <v>18.638271604938272</v>
      </c>
      <c r="AW365">
        <f t="shared" si="69"/>
        <v>-0.32705693481481479</v>
      </c>
      <c r="AX365" s="9"/>
      <c r="AY365" s="21">
        <v>1.6876199999999999</v>
      </c>
      <c r="AZ365" s="21">
        <v>30.960699999999999</v>
      </c>
      <c r="BA365" s="21">
        <v>-7.9864500000000008E-3</v>
      </c>
      <c r="BB365" s="21">
        <v>355</v>
      </c>
      <c r="BC365" s="21">
        <v>1.6873199999999999</v>
      </c>
      <c r="BD365">
        <f t="shared" si="70"/>
        <v>9.8598148148148166</v>
      </c>
      <c r="BE365">
        <f t="shared" si="71"/>
        <v>16.639620677777781</v>
      </c>
    </row>
    <row r="366" spans="6:57" x14ac:dyDescent="0.25">
      <c r="F366" s="9"/>
      <c r="G366" s="21">
        <v>-2.2582999999999999E-2</v>
      </c>
      <c r="H366" s="21">
        <v>8.7845999999999993</v>
      </c>
      <c r="I366" s="21">
        <v>-1.50543E-2</v>
      </c>
      <c r="J366" s="21">
        <v>356</v>
      </c>
      <c r="K366" s="21">
        <v>-2.28912E-2</v>
      </c>
      <c r="L366">
        <f t="shared" si="60"/>
        <v>18.585555555555555</v>
      </c>
      <c r="M366">
        <f t="shared" si="61"/>
        <v>-0.41971760111111106</v>
      </c>
      <c r="N366" s="9"/>
      <c r="O366" s="21">
        <v>1.6926600000000001</v>
      </c>
      <c r="P366" s="21">
        <v>12.5434</v>
      </c>
      <c r="Q366" s="21">
        <v>-7.4493399999999996E-3</v>
      </c>
      <c r="R366" s="21">
        <v>356</v>
      </c>
      <c r="S366" s="21">
        <v>1.6915899999999999</v>
      </c>
      <c r="T366">
        <f t="shared" si="62"/>
        <v>9.1967160493827151</v>
      </c>
      <c r="U366">
        <f t="shared" si="63"/>
        <v>15.566913388148148</v>
      </c>
      <c r="X366" s="9"/>
      <c r="Y366" s="21">
        <v>-2.2582999999999999E-2</v>
      </c>
      <c r="Z366" s="21">
        <v>18.0108</v>
      </c>
      <c r="AA366" s="21">
        <v>-1.50513E-2</v>
      </c>
      <c r="AB366" s="21">
        <v>356</v>
      </c>
      <c r="AC366" s="21">
        <v>-2.2882099999999999E-2</v>
      </c>
      <c r="AD366">
        <f t="shared" si="64"/>
        <v>18.581851851851848</v>
      </c>
      <c r="AE366">
        <f t="shared" si="65"/>
        <v>-0.41963396037037026</v>
      </c>
      <c r="AF366" s="9"/>
      <c r="AG366" s="21">
        <v>1.6926600000000001</v>
      </c>
      <c r="AH366" s="21">
        <v>21.769600000000001</v>
      </c>
      <c r="AI366" s="21">
        <v>-7.6293899999999998E-3</v>
      </c>
      <c r="AJ366" s="21">
        <v>356</v>
      </c>
      <c r="AK366" s="21">
        <v>1.6918899999999999</v>
      </c>
      <c r="AL366">
        <f t="shared" si="66"/>
        <v>9.4189999999999987</v>
      </c>
      <c r="AM366">
        <f t="shared" si="67"/>
        <v>15.943164539999998</v>
      </c>
      <c r="AP366" s="9"/>
      <c r="AQ366" s="21">
        <v>-2.2582999999999999E-2</v>
      </c>
      <c r="AR366" s="21">
        <v>27.212</v>
      </c>
      <c r="AS366" s="21">
        <v>-1.5109300000000001E-2</v>
      </c>
      <c r="AT366" s="21">
        <v>356</v>
      </c>
      <c r="AU366" s="21">
        <v>-2.2869899999999999E-2</v>
      </c>
      <c r="AV366">
        <f t="shared" si="68"/>
        <v>18.653456790123457</v>
      </c>
      <c r="AW366">
        <f t="shared" si="69"/>
        <v>-0.42125101469135801</v>
      </c>
      <c r="AX366" s="9"/>
      <c r="AY366" s="21">
        <v>1.6926600000000001</v>
      </c>
      <c r="AZ366" s="21">
        <v>30.970800000000001</v>
      </c>
      <c r="BA366" s="21">
        <v>-7.6416000000000001E-3</v>
      </c>
      <c r="BB366" s="21">
        <v>356</v>
      </c>
      <c r="BC366" s="21">
        <v>1.6921999999999999</v>
      </c>
      <c r="BD366">
        <f t="shared" si="70"/>
        <v>9.4340740740740738</v>
      </c>
      <c r="BE366">
        <f t="shared" si="71"/>
        <v>15.968679822222223</v>
      </c>
    </row>
    <row r="367" spans="6:57" x14ac:dyDescent="0.25">
      <c r="F367" s="9"/>
      <c r="G367" s="21">
        <v>-2.7618400000000001E-2</v>
      </c>
      <c r="H367" s="21">
        <v>8.79467</v>
      </c>
      <c r="I367" s="21">
        <v>-1.5063500000000001E-2</v>
      </c>
      <c r="J367" s="21">
        <v>357</v>
      </c>
      <c r="K367" s="21">
        <v>-2.7874800000000002E-2</v>
      </c>
      <c r="L367">
        <f t="shared" si="60"/>
        <v>18.596913580246913</v>
      </c>
      <c r="M367">
        <f t="shared" si="61"/>
        <v>-0.51361699802469141</v>
      </c>
      <c r="N367" s="9"/>
      <c r="O367" s="21">
        <v>1.6976899999999999</v>
      </c>
      <c r="P367" s="21">
        <v>12.5534</v>
      </c>
      <c r="Q367" s="21">
        <v>-7.0739699999999997E-3</v>
      </c>
      <c r="R367" s="21">
        <v>357</v>
      </c>
      <c r="S367" s="21">
        <v>1.6964699999999999</v>
      </c>
      <c r="T367">
        <f t="shared" si="62"/>
        <v>8.7332962962962952</v>
      </c>
      <c r="U367">
        <f t="shared" si="63"/>
        <v>14.826429789259256</v>
      </c>
      <c r="X367" s="9"/>
      <c r="Y367" s="21">
        <v>-2.7618400000000001E-2</v>
      </c>
      <c r="Z367" s="21">
        <v>18.020900000000001</v>
      </c>
      <c r="AA367" s="21">
        <v>-1.50574E-2</v>
      </c>
      <c r="AB367" s="21">
        <v>357</v>
      </c>
      <c r="AC367" s="21">
        <v>-2.7865600000000001E-2</v>
      </c>
      <c r="AD367">
        <f t="shared" si="64"/>
        <v>18.589382716049382</v>
      </c>
      <c r="AE367">
        <f t="shared" si="65"/>
        <v>-0.51340900760493824</v>
      </c>
      <c r="AF367" s="9"/>
      <c r="AG367" s="21">
        <v>1.6976899999999999</v>
      </c>
      <c r="AH367" s="21">
        <v>21.779599999999999</v>
      </c>
      <c r="AI367" s="21">
        <v>-7.2479199999999997E-3</v>
      </c>
      <c r="AJ367" s="21">
        <v>357</v>
      </c>
      <c r="AK367" s="21">
        <v>1.69739</v>
      </c>
      <c r="AL367">
        <f t="shared" si="66"/>
        <v>8.9480493827160483</v>
      </c>
      <c r="AM367">
        <f t="shared" si="67"/>
        <v>15.191013956543207</v>
      </c>
      <c r="AP367" s="9"/>
      <c r="AQ367" s="21">
        <v>-2.7618400000000001E-2</v>
      </c>
      <c r="AR367" s="21">
        <v>27.222100000000001</v>
      </c>
      <c r="AS367" s="21">
        <v>-1.51215E-2</v>
      </c>
      <c r="AT367" s="21">
        <v>357</v>
      </c>
      <c r="AU367" s="21">
        <v>-2.7886999999999999E-2</v>
      </c>
      <c r="AV367">
        <f t="shared" si="68"/>
        <v>18.668518518518518</v>
      </c>
      <c r="AW367">
        <f t="shared" si="69"/>
        <v>-0.51559461185185185</v>
      </c>
      <c r="AX367" s="9"/>
      <c r="AY367" s="21">
        <v>1.6976899999999999</v>
      </c>
      <c r="AZ367" s="21">
        <v>30.980899999999998</v>
      </c>
      <c r="BA367" s="21">
        <v>-7.2601300000000001E-3</v>
      </c>
      <c r="BB367" s="21">
        <v>357</v>
      </c>
      <c r="BC367" s="21">
        <v>1.69739</v>
      </c>
      <c r="BD367">
        <f t="shared" si="70"/>
        <v>8.9631234567901235</v>
      </c>
      <c r="BE367">
        <f t="shared" si="71"/>
        <v>15.216605061358024</v>
      </c>
    </row>
    <row r="368" spans="6:57" x14ac:dyDescent="0.25">
      <c r="F368" s="9"/>
      <c r="G368" s="21">
        <v>-3.2653799999999997E-2</v>
      </c>
      <c r="H368" s="21">
        <v>8.8047400000000007</v>
      </c>
      <c r="I368" s="21">
        <v>-1.50543E-2</v>
      </c>
      <c r="J368" s="21">
        <v>358</v>
      </c>
      <c r="K368" s="21">
        <v>-3.2974200000000002E-2</v>
      </c>
      <c r="L368">
        <f t="shared" si="60"/>
        <v>18.585555555555555</v>
      </c>
      <c r="M368">
        <f t="shared" si="61"/>
        <v>-0.60688901399999995</v>
      </c>
      <c r="N368" s="9"/>
      <c r="O368" s="21">
        <v>1.7027300000000001</v>
      </c>
      <c r="P368" s="21">
        <v>12.563499999999999</v>
      </c>
      <c r="Q368" s="21">
        <v>-6.6406299999999998E-3</v>
      </c>
      <c r="R368" s="21">
        <v>358</v>
      </c>
      <c r="S368" s="21">
        <v>1.70197</v>
      </c>
      <c r="T368">
        <f t="shared" si="62"/>
        <v>8.1983086419753075</v>
      </c>
      <c r="U368">
        <f t="shared" si="63"/>
        <v>13.959506073950616</v>
      </c>
      <c r="X368" s="9"/>
      <c r="Y368" s="21">
        <v>-3.2653799999999997E-2</v>
      </c>
      <c r="Z368" s="21">
        <v>18.030999999999999</v>
      </c>
      <c r="AA368" s="21">
        <v>-1.50665E-2</v>
      </c>
      <c r="AB368" s="21">
        <v>358</v>
      </c>
      <c r="AC368" s="21">
        <v>-3.29681E-2</v>
      </c>
      <c r="AD368">
        <f t="shared" si="64"/>
        <v>18.600617283950616</v>
      </c>
      <c r="AE368">
        <f t="shared" si="65"/>
        <v>-0.60738083666666653</v>
      </c>
      <c r="AF368" s="9"/>
      <c r="AG368" s="21">
        <v>1.7027300000000001</v>
      </c>
      <c r="AH368" s="21">
        <v>21.7897</v>
      </c>
      <c r="AI368" s="21">
        <v>-6.8359400000000004E-3</v>
      </c>
      <c r="AJ368" s="21">
        <v>358</v>
      </c>
      <c r="AK368" s="21">
        <v>1.7022699999999999</v>
      </c>
      <c r="AL368">
        <f t="shared" si="66"/>
        <v>8.4394320987654314</v>
      </c>
      <c r="AM368">
        <f t="shared" si="67"/>
        <v>14.370074217530863</v>
      </c>
      <c r="AP368" s="9"/>
      <c r="AQ368" s="21">
        <v>-3.2653799999999997E-2</v>
      </c>
      <c r="AR368" s="21">
        <v>27.232199999999999</v>
      </c>
      <c r="AS368" s="21">
        <v>-1.51337E-2</v>
      </c>
      <c r="AT368" s="21">
        <v>358</v>
      </c>
      <c r="AU368" s="21">
        <v>-3.2998699999999999E-2</v>
      </c>
      <c r="AV368">
        <f t="shared" si="68"/>
        <v>18.683580246913579</v>
      </c>
      <c r="AW368">
        <f t="shared" si="69"/>
        <v>-0.61008989266666658</v>
      </c>
      <c r="AX368" s="9"/>
      <c r="AY368" s="21">
        <v>1.7027300000000001</v>
      </c>
      <c r="AZ368" s="21">
        <v>30.9909</v>
      </c>
      <c r="BA368" s="21">
        <v>-6.8542500000000001E-3</v>
      </c>
      <c r="BB368" s="21">
        <v>358</v>
      </c>
      <c r="BC368" s="21">
        <v>1.7022699999999999</v>
      </c>
      <c r="BD368">
        <f t="shared" si="70"/>
        <v>8.462037037037037</v>
      </c>
      <c r="BE368">
        <f t="shared" si="71"/>
        <v>14.408564324074074</v>
      </c>
    </row>
    <row r="369" spans="6:57" x14ac:dyDescent="0.25">
      <c r="F369" s="9"/>
      <c r="G369" s="21">
        <v>-3.7689199999999999E-2</v>
      </c>
      <c r="H369" s="21">
        <v>8.8148099999999996</v>
      </c>
      <c r="I369" s="21">
        <v>-1.50391E-2</v>
      </c>
      <c r="J369" s="21">
        <v>359</v>
      </c>
      <c r="K369" s="21">
        <v>-3.7988300000000003E-2</v>
      </c>
      <c r="L369">
        <f t="shared" si="60"/>
        <v>18.566790123456791</v>
      </c>
      <c r="M369">
        <f t="shared" si="61"/>
        <v>-0.69976746632098763</v>
      </c>
      <c r="N369" s="9"/>
      <c r="O369" s="21">
        <v>1.7077599999999999</v>
      </c>
      <c r="P369" s="21">
        <v>12.573600000000001</v>
      </c>
      <c r="Q369" s="21">
        <v>-6.1889600000000003E-3</v>
      </c>
      <c r="R369" s="21">
        <v>359</v>
      </c>
      <c r="S369" s="21">
        <v>1.70685</v>
      </c>
      <c r="T369">
        <f t="shared" si="62"/>
        <v>7.6406913580246911</v>
      </c>
      <c r="U369">
        <f t="shared" si="63"/>
        <v>13.048467073580246</v>
      </c>
      <c r="X369" s="9"/>
      <c r="Y369" s="21">
        <v>-3.7689199999999999E-2</v>
      </c>
      <c r="Z369" s="21">
        <v>18.041</v>
      </c>
      <c r="AA369" s="21">
        <v>-1.5069600000000001E-2</v>
      </c>
      <c r="AB369" s="21">
        <v>359</v>
      </c>
      <c r="AC369" s="21">
        <v>-3.8043199999999999E-2</v>
      </c>
      <c r="AD369">
        <f t="shared" si="64"/>
        <v>18.604444444444443</v>
      </c>
      <c r="AE369">
        <f t="shared" si="65"/>
        <v>-0.7011866275555555</v>
      </c>
      <c r="AF369" s="9"/>
      <c r="AG369" s="21">
        <v>1.7077599999999999</v>
      </c>
      <c r="AH369" s="21">
        <v>21.799800000000001</v>
      </c>
      <c r="AI369" s="21">
        <v>-6.3781699999999998E-3</v>
      </c>
      <c r="AJ369" s="21">
        <v>359</v>
      </c>
      <c r="AK369" s="21">
        <v>1.70746</v>
      </c>
      <c r="AL369">
        <f t="shared" si="66"/>
        <v>7.8742839506172837</v>
      </c>
      <c r="AM369">
        <f t="shared" si="67"/>
        <v>13.447387159506173</v>
      </c>
      <c r="AP369" s="9"/>
      <c r="AQ369" s="21">
        <v>-3.7689199999999999E-2</v>
      </c>
      <c r="AR369" s="21">
        <v>27.2423</v>
      </c>
      <c r="AS369" s="21">
        <v>-1.5130599999999999E-2</v>
      </c>
      <c r="AT369" s="21">
        <v>359</v>
      </c>
      <c r="AU369" s="21">
        <v>-3.8070699999999999E-2</v>
      </c>
      <c r="AV369">
        <f t="shared" si="68"/>
        <v>18.679753086419751</v>
      </c>
      <c r="AW369">
        <f t="shared" si="69"/>
        <v>-0.70402495002469123</v>
      </c>
      <c r="AX369" s="9"/>
      <c r="AY369" s="21">
        <v>1.7077599999999999</v>
      </c>
      <c r="AZ369" s="21">
        <v>31.001000000000001</v>
      </c>
      <c r="BA369" s="21">
        <v>-6.38428E-3</v>
      </c>
      <c r="BB369" s="21">
        <v>359</v>
      </c>
      <c r="BC369" s="21">
        <v>1.70624</v>
      </c>
      <c r="BD369">
        <f t="shared" si="70"/>
        <v>7.8818271604938257</v>
      </c>
      <c r="BE369">
        <f t="shared" si="71"/>
        <v>13.460269151604935</v>
      </c>
    </row>
    <row r="370" spans="6:57" x14ac:dyDescent="0.25">
      <c r="F370" s="9"/>
      <c r="G370" s="21">
        <v>-4.2724600000000001E-2</v>
      </c>
      <c r="H370" s="21">
        <v>8.8248800000000003</v>
      </c>
      <c r="I370" s="21">
        <v>-1.5029900000000001E-2</v>
      </c>
      <c r="J370" s="21">
        <v>360</v>
      </c>
      <c r="K370" s="21">
        <v>-4.3063400000000002E-2</v>
      </c>
      <c r="L370">
        <f t="shared" si="60"/>
        <v>18.555432098765429</v>
      </c>
      <c r="M370">
        <f t="shared" si="61"/>
        <v>-0.7927734142469135</v>
      </c>
      <c r="N370" s="9"/>
      <c r="O370" s="21">
        <v>1.7128000000000001</v>
      </c>
      <c r="P370" s="21">
        <v>12.583600000000001</v>
      </c>
      <c r="Q370" s="21">
        <v>-5.6640600000000003E-3</v>
      </c>
      <c r="R370" s="21">
        <v>360</v>
      </c>
      <c r="S370" s="21">
        <v>1.71265</v>
      </c>
      <c r="T370">
        <f t="shared" si="62"/>
        <v>6.9926666666666657</v>
      </c>
      <c r="U370">
        <f t="shared" si="63"/>
        <v>11.977039466666666</v>
      </c>
      <c r="X370" s="9"/>
      <c r="Y370" s="21">
        <v>-4.2724600000000001E-2</v>
      </c>
      <c r="Z370" s="21">
        <v>18.051100000000002</v>
      </c>
      <c r="AA370" s="21">
        <v>-1.5075699999999999E-2</v>
      </c>
      <c r="AB370" s="21">
        <v>360</v>
      </c>
      <c r="AC370" s="21">
        <v>-4.3045E-2</v>
      </c>
      <c r="AD370">
        <f t="shared" si="64"/>
        <v>18.611975308641973</v>
      </c>
      <c r="AE370">
        <f t="shared" si="65"/>
        <v>-0.79518920027160489</v>
      </c>
      <c r="AF370" s="9"/>
      <c r="AG370" s="21">
        <v>1.7128000000000001</v>
      </c>
      <c r="AH370" s="21">
        <v>21.809899999999999</v>
      </c>
      <c r="AI370" s="21">
        <v>-5.88684E-3</v>
      </c>
      <c r="AJ370" s="21">
        <v>360</v>
      </c>
      <c r="AK370" s="21">
        <v>1.71204</v>
      </c>
      <c r="AL370">
        <f t="shared" si="66"/>
        <v>7.2677037037037033</v>
      </c>
      <c r="AM370">
        <f t="shared" si="67"/>
        <v>12.448122903703704</v>
      </c>
      <c r="AP370" s="9"/>
      <c r="AQ370" s="21">
        <v>-4.2724600000000001E-2</v>
      </c>
      <c r="AR370" s="21">
        <v>27.252300000000002</v>
      </c>
      <c r="AS370" s="21">
        <v>-1.51337E-2</v>
      </c>
      <c r="AT370" s="21">
        <v>360</v>
      </c>
      <c r="AU370" s="21">
        <v>-4.30725E-2</v>
      </c>
      <c r="AV370">
        <f t="shared" si="68"/>
        <v>18.683580246913579</v>
      </c>
      <c r="AW370">
        <f t="shared" si="69"/>
        <v>-0.79824849261728392</v>
      </c>
      <c r="AX370" s="9"/>
      <c r="AY370" s="21">
        <v>1.7128000000000001</v>
      </c>
      <c r="AZ370" s="21">
        <v>31.011099999999999</v>
      </c>
      <c r="BA370" s="21">
        <v>-5.8776899999999997E-3</v>
      </c>
      <c r="BB370" s="21">
        <v>360</v>
      </c>
      <c r="BC370" s="21">
        <v>1.71204</v>
      </c>
      <c r="BD370">
        <f t="shared" si="70"/>
        <v>7.2564074074074068</v>
      </c>
      <c r="BE370">
        <f t="shared" si="71"/>
        <v>12.428774607407407</v>
      </c>
    </row>
    <row r="371" spans="6:57" x14ac:dyDescent="0.25">
      <c r="F371" s="9"/>
      <c r="G371" s="21">
        <v>-4.7759999999999997E-2</v>
      </c>
      <c r="H371" s="21">
        <v>8.8349499999999992</v>
      </c>
      <c r="I371" s="21">
        <v>-1.5014599999999999E-2</v>
      </c>
      <c r="J371" s="21">
        <v>361</v>
      </c>
      <c r="K371" s="21">
        <v>-4.81018E-2</v>
      </c>
      <c r="L371">
        <f t="shared" si="60"/>
        <v>18.536543209876541</v>
      </c>
      <c r="M371">
        <f t="shared" si="61"/>
        <v>-0.88530530370370353</v>
      </c>
      <c r="N371" s="9"/>
      <c r="O371" s="21">
        <v>1.71783</v>
      </c>
      <c r="P371" s="21">
        <v>12.5937</v>
      </c>
      <c r="Q371" s="21">
        <v>-5.0994899999999999E-3</v>
      </c>
      <c r="R371" s="21">
        <v>361</v>
      </c>
      <c r="S371" s="21">
        <v>1.71692</v>
      </c>
      <c r="T371">
        <f t="shared" si="62"/>
        <v>6.2956666666666665</v>
      </c>
      <c r="U371">
        <f t="shared" si="63"/>
        <v>10.814885069999999</v>
      </c>
      <c r="X371" s="9"/>
      <c r="Y371" s="21">
        <v>-4.7759999999999997E-2</v>
      </c>
      <c r="Z371" s="21">
        <v>18.061199999999999</v>
      </c>
      <c r="AA371" s="21">
        <v>-1.5081799999999999E-2</v>
      </c>
      <c r="AB371" s="21">
        <v>361</v>
      </c>
      <c r="AC371" s="21">
        <v>-4.8120099999999999E-2</v>
      </c>
      <c r="AD371">
        <f t="shared" si="64"/>
        <v>18.619506172839504</v>
      </c>
      <c r="AE371">
        <f t="shared" si="65"/>
        <v>-0.88926761481481464</v>
      </c>
      <c r="AF371" s="9"/>
      <c r="AG371" s="21">
        <v>1.71783</v>
      </c>
      <c r="AH371" s="21">
        <v>21.819900000000001</v>
      </c>
      <c r="AI371" s="21">
        <v>-5.3283699999999998E-3</v>
      </c>
      <c r="AJ371" s="21">
        <v>361</v>
      </c>
      <c r="AK371" s="21">
        <v>1.71661</v>
      </c>
      <c r="AL371">
        <f t="shared" si="66"/>
        <v>6.5782345679012337</v>
      </c>
      <c r="AM371">
        <f t="shared" si="67"/>
        <v>11.300288687777776</v>
      </c>
      <c r="AP371" s="9"/>
      <c r="AQ371" s="21">
        <v>-4.7759999999999997E-2</v>
      </c>
      <c r="AR371" s="21">
        <v>27.2624</v>
      </c>
      <c r="AS371" s="21">
        <v>-1.5136699999999999E-2</v>
      </c>
      <c r="AT371" s="21">
        <v>361</v>
      </c>
      <c r="AU371" s="21">
        <v>-4.8123199999999998E-2</v>
      </c>
      <c r="AV371">
        <f t="shared" si="68"/>
        <v>18.687283950617282</v>
      </c>
      <c r="AW371">
        <f t="shared" si="69"/>
        <v>-0.89250468148148132</v>
      </c>
      <c r="AX371" s="9"/>
      <c r="AY371" s="21">
        <v>1.71783</v>
      </c>
      <c r="AZ371" s="21">
        <v>31.0212</v>
      </c>
      <c r="BA371" s="21">
        <v>-5.30701E-3</v>
      </c>
      <c r="BB371" s="21">
        <v>361</v>
      </c>
      <c r="BC371" s="21">
        <v>1.71722</v>
      </c>
      <c r="BD371">
        <f t="shared" si="70"/>
        <v>6.5518641975308638</v>
      </c>
      <c r="BE371">
        <f t="shared" si="71"/>
        <v>11.254988874444443</v>
      </c>
    </row>
    <row r="372" spans="6:57" x14ac:dyDescent="0.25">
      <c r="F372" s="9"/>
      <c r="G372" s="21">
        <v>-5.2795399999999999E-2</v>
      </c>
      <c r="H372" s="21">
        <v>8.8450199999999999</v>
      </c>
      <c r="I372" s="21">
        <v>-1.5014599999999999E-2</v>
      </c>
      <c r="J372" s="21">
        <v>362</v>
      </c>
      <c r="K372" s="21">
        <v>-5.3314199999999999E-2</v>
      </c>
      <c r="L372">
        <f t="shared" si="60"/>
        <v>18.536543209876541</v>
      </c>
      <c r="M372">
        <f t="shared" si="61"/>
        <v>-0.9786442133827159</v>
      </c>
      <c r="N372" s="9"/>
      <c r="O372" s="21">
        <v>1.7228699999999999</v>
      </c>
      <c r="P372" s="21">
        <v>12.6038</v>
      </c>
      <c r="Q372" s="21">
        <v>-4.4366500000000003E-3</v>
      </c>
      <c r="R372" s="21">
        <v>362</v>
      </c>
      <c r="S372" s="21">
        <v>1.72272</v>
      </c>
      <c r="T372">
        <f t="shared" si="62"/>
        <v>5.4773456790123465</v>
      </c>
      <c r="U372">
        <f t="shared" si="63"/>
        <v>9.4367545500000016</v>
      </c>
      <c r="X372" s="9"/>
      <c r="Y372" s="21">
        <v>-5.2795399999999999E-2</v>
      </c>
      <c r="Z372" s="21">
        <v>18.071200000000001</v>
      </c>
      <c r="AA372" s="21">
        <v>-1.50787E-2</v>
      </c>
      <c r="AB372" s="21">
        <v>362</v>
      </c>
      <c r="AC372" s="21">
        <v>-5.3283700000000003E-2</v>
      </c>
      <c r="AD372">
        <f t="shared" si="64"/>
        <v>18.61567901234568</v>
      </c>
      <c r="AE372">
        <f t="shared" si="65"/>
        <v>-0.98282221972839512</v>
      </c>
      <c r="AF372" s="9"/>
      <c r="AG372" s="21">
        <v>1.7228699999999999</v>
      </c>
      <c r="AH372" s="21">
        <v>21.83</v>
      </c>
      <c r="AI372" s="21">
        <v>-4.7024500000000004E-3</v>
      </c>
      <c r="AJ372" s="21">
        <v>362</v>
      </c>
      <c r="AK372" s="21">
        <v>1.72272</v>
      </c>
      <c r="AL372">
        <f t="shared" si="66"/>
        <v>5.8054938271604941</v>
      </c>
      <c r="AM372">
        <f t="shared" si="67"/>
        <v>10.002111149999999</v>
      </c>
      <c r="AP372" s="9"/>
      <c r="AQ372" s="21">
        <v>-5.2795399999999999E-2</v>
      </c>
      <c r="AR372" s="21">
        <v>27.272500000000001</v>
      </c>
      <c r="AS372" s="21">
        <v>-1.51398E-2</v>
      </c>
      <c r="AT372" s="21">
        <v>362</v>
      </c>
      <c r="AU372" s="21">
        <v>-5.3222699999999998E-2</v>
      </c>
      <c r="AV372">
        <f t="shared" si="68"/>
        <v>18.691111111111109</v>
      </c>
      <c r="AW372">
        <f t="shared" si="69"/>
        <v>-0.98680468755555539</v>
      </c>
      <c r="AX372" s="9"/>
      <c r="AY372" s="21">
        <v>1.7228699999999999</v>
      </c>
      <c r="AZ372" s="21">
        <v>31.031199999999998</v>
      </c>
      <c r="BA372" s="21">
        <v>-4.6774299999999998E-3</v>
      </c>
      <c r="BB372" s="21">
        <v>362</v>
      </c>
      <c r="BC372" s="21">
        <v>1.72211</v>
      </c>
      <c r="BD372">
        <f t="shared" si="70"/>
        <v>5.7746049382716045</v>
      </c>
      <c r="BE372">
        <f t="shared" si="71"/>
        <v>9.9488936099999989</v>
      </c>
    </row>
    <row r="373" spans="6:57" x14ac:dyDescent="0.25">
      <c r="F373" s="9"/>
      <c r="G373" s="21">
        <v>-5.7830800000000002E-2</v>
      </c>
      <c r="H373" s="21">
        <v>8.8551000000000002</v>
      </c>
      <c r="I373" s="21">
        <v>-1.50238E-2</v>
      </c>
      <c r="J373" s="21">
        <v>363</v>
      </c>
      <c r="K373" s="21">
        <v>-5.84106E-2</v>
      </c>
      <c r="L373">
        <f t="shared" si="60"/>
        <v>18.547901234567902</v>
      </c>
      <c r="M373">
        <f t="shared" si="61"/>
        <v>-1.0726399667160496</v>
      </c>
      <c r="N373" s="9"/>
      <c r="O373" s="21">
        <v>1.7279100000000001</v>
      </c>
      <c r="P373" s="21">
        <v>12.613899999999999</v>
      </c>
      <c r="Q373" s="21">
        <v>-3.7155199999999999E-3</v>
      </c>
      <c r="R373" s="21">
        <v>363</v>
      </c>
      <c r="S373" s="21">
        <v>1.72668</v>
      </c>
      <c r="T373">
        <f t="shared" si="62"/>
        <v>4.587061728395061</v>
      </c>
      <c r="U373">
        <f t="shared" si="63"/>
        <v>7.9260298311111104</v>
      </c>
      <c r="X373" s="9"/>
      <c r="Y373" s="21">
        <v>-5.7830800000000002E-2</v>
      </c>
      <c r="Z373" s="21">
        <v>18.081299999999999</v>
      </c>
      <c r="AA373" s="21">
        <v>-1.5075699999999999E-2</v>
      </c>
      <c r="AB373" s="21">
        <v>363</v>
      </c>
      <c r="AC373" s="21">
        <v>-5.8441199999999999E-2</v>
      </c>
      <c r="AD373">
        <f t="shared" si="64"/>
        <v>18.611975308641973</v>
      </c>
      <c r="AE373">
        <f t="shared" si="65"/>
        <v>-1.0763454216790123</v>
      </c>
      <c r="AF373" s="9"/>
      <c r="AG373" s="21">
        <v>1.7279100000000001</v>
      </c>
      <c r="AH373" s="21">
        <v>21.8401</v>
      </c>
      <c r="AI373" s="21">
        <v>-4.0057399999999998E-3</v>
      </c>
      <c r="AJ373" s="21">
        <v>363</v>
      </c>
      <c r="AK373" s="21">
        <v>1.72699</v>
      </c>
      <c r="AL373">
        <f t="shared" si="66"/>
        <v>4.945358024691358</v>
      </c>
      <c r="AM373">
        <f t="shared" si="67"/>
        <v>8.5451335844444447</v>
      </c>
      <c r="AP373" s="9"/>
      <c r="AQ373" s="21">
        <v>-5.7830800000000002E-2</v>
      </c>
      <c r="AR373" s="21">
        <v>27.282499999999999</v>
      </c>
      <c r="AS373" s="21">
        <v>-1.51489E-2</v>
      </c>
      <c r="AT373" s="21">
        <v>363</v>
      </c>
      <c r="AU373" s="21">
        <v>-5.8441199999999999E-2</v>
      </c>
      <c r="AV373">
        <f t="shared" si="68"/>
        <v>18.702345679012346</v>
      </c>
      <c r="AW373">
        <f t="shared" si="69"/>
        <v>-1.0815716124938273</v>
      </c>
      <c r="AX373" s="9"/>
      <c r="AY373" s="21">
        <v>1.7279100000000001</v>
      </c>
      <c r="AZ373" s="21">
        <v>31.0413</v>
      </c>
      <c r="BA373" s="21">
        <v>-3.9590500000000004E-3</v>
      </c>
      <c r="BB373" s="21">
        <v>363</v>
      </c>
      <c r="BC373" s="21">
        <v>1.72699</v>
      </c>
      <c r="BD373">
        <f t="shared" si="70"/>
        <v>4.8877160493827159</v>
      </c>
      <c r="BE373">
        <f t="shared" si="71"/>
        <v>8.445533438888889</v>
      </c>
    </row>
    <row r="374" spans="6:57" x14ac:dyDescent="0.25">
      <c r="F374" s="9"/>
      <c r="G374" s="21">
        <v>-6.2866199999999997E-2</v>
      </c>
      <c r="H374" s="21">
        <v>8.8651700000000009</v>
      </c>
      <c r="I374" s="21">
        <v>-1.5026899999999999E-2</v>
      </c>
      <c r="J374" s="21">
        <v>364</v>
      </c>
      <c r="K374" s="21">
        <v>-6.34155E-2</v>
      </c>
      <c r="L374">
        <f t="shared" si="60"/>
        <v>18.551728395061726</v>
      </c>
      <c r="M374">
        <f t="shared" si="61"/>
        <v>-1.1662766676296294</v>
      </c>
      <c r="N374" s="9"/>
      <c r="O374" s="21">
        <v>1.7329399999999999</v>
      </c>
      <c r="P374" s="21">
        <v>12.623900000000001</v>
      </c>
      <c r="Q374" s="21">
        <v>-2.8472900000000002E-3</v>
      </c>
      <c r="R374" s="21">
        <v>364</v>
      </c>
      <c r="S374" s="21">
        <v>1.7321800000000001</v>
      </c>
      <c r="T374">
        <f t="shared" si="62"/>
        <v>3.5151728395061728</v>
      </c>
      <c r="U374">
        <f t="shared" si="63"/>
        <v>6.091583620493827</v>
      </c>
      <c r="X374" s="9"/>
      <c r="Y374" s="21">
        <v>-6.2866199999999997E-2</v>
      </c>
      <c r="Z374" s="21">
        <v>18.0914</v>
      </c>
      <c r="AA374" s="21">
        <v>-1.50726E-2</v>
      </c>
      <c r="AB374" s="21">
        <v>364</v>
      </c>
      <c r="AC374" s="21">
        <v>-6.3384999999999997E-2</v>
      </c>
      <c r="AD374">
        <f t="shared" si="64"/>
        <v>18.60814814814815</v>
      </c>
      <c r="AE374">
        <f t="shared" si="65"/>
        <v>-1.1698235631111111</v>
      </c>
      <c r="AF374" s="9"/>
      <c r="AG374" s="21">
        <v>1.7329399999999999</v>
      </c>
      <c r="AH374" s="21">
        <v>21.850100000000001</v>
      </c>
      <c r="AI374" s="21">
        <v>-3.1793199999999998E-3</v>
      </c>
      <c r="AJ374" s="21">
        <v>364</v>
      </c>
      <c r="AK374" s="21">
        <v>1.7321800000000001</v>
      </c>
      <c r="AL374">
        <f t="shared" si="66"/>
        <v>3.9250864197530859</v>
      </c>
      <c r="AM374">
        <f t="shared" si="67"/>
        <v>6.801939260246912</v>
      </c>
      <c r="AP374" s="9"/>
      <c r="AQ374" s="21">
        <v>-6.2866199999999997E-2</v>
      </c>
      <c r="AR374" s="21">
        <v>27.2926</v>
      </c>
      <c r="AS374" s="21">
        <v>-1.5158100000000001E-2</v>
      </c>
      <c r="AT374" s="21">
        <v>364</v>
      </c>
      <c r="AU374" s="21">
        <v>-6.3384999999999997E-2</v>
      </c>
      <c r="AV374">
        <f t="shared" si="68"/>
        <v>18.713703703703704</v>
      </c>
      <c r="AW374">
        <f t="shared" si="69"/>
        <v>-1.1764594397777777</v>
      </c>
      <c r="AX374" s="9"/>
      <c r="AY374" s="21">
        <v>1.7329399999999999</v>
      </c>
      <c r="AZ374" s="21">
        <v>31.051400000000001</v>
      </c>
      <c r="BA374" s="21">
        <v>-3.14117E-3</v>
      </c>
      <c r="BB374" s="21">
        <v>364</v>
      </c>
      <c r="BC374" s="21">
        <v>1.7315700000000001</v>
      </c>
      <c r="BD374">
        <f t="shared" si="70"/>
        <v>3.8779876543209872</v>
      </c>
      <c r="BE374">
        <f t="shared" si="71"/>
        <v>6.7203199256790116</v>
      </c>
    </row>
    <row r="375" spans="6:57" x14ac:dyDescent="0.25">
      <c r="F375" s="9"/>
      <c r="G375" s="21">
        <v>-6.7901600000000006E-2</v>
      </c>
      <c r="H375" s="21">
        <v>8.8752399999999998</v>
      </c>
      <c r="I375" s="21">
        <v>-1.5029900000000001E-2</v>
      </c>
      <c r="J375" s="21">
        <v>365</v>
      </c>
      <c r="K375" s="21">
        <v>-6.8450899999999995E-2</v>
      </c>
      <c r="L375">
        <f t="shared" si="60"/>
        <v>18.555432098765429</v>
      </c>
      <c r="M375">
        <f t="shared" si="61"/>
        <v>-1.2599435281975309</v>
      </c>
      <c r="N375" s="9"/>
      <c r="O375" s="21">
        <v>1.7379800000000001</v>
      </c>
      <c r="P375" s="21">
        <v>12.634</v>
      </c>
      <c r="Q375" s="21">
        <v>-1.89331E-3</v>
      </c>
      <c r="R375" s="21">
        <v>365</v>
      </c>
      <c r="S375" s="21">
        <v>1.7373700000000001</v>
      </c>
      <c r="T375">
        <f t="shared" si="62"/>
        <v>2.3374197530864196</v>
      </c>
      <c r="U375">
        <f t="shared" si="63"/>
        <v>4.062388782469136</v>
      </c>
      <c r="X375" s="9"/>
      <c r="Y375" s="21">
        <v>-6.7901600000000006E-2</v>
      </c>
      <c r="Z375" s="21">
        <v>18.101500000000001</v>
      </c>
      <c r="AA375" s="21">
        <v>-1.50604E-2</v>
      </c>
      <c r="AB375" s="21">
        <v>365</v>
      </c>
      <c r="AC375" s="21">
        <v>-6.8328899999999998E-2</v>
      </c>
      <c r="AD375">
        <f t="shared" si="64"/>
        <v>18.593086419753085</v>
      </c>
      <c r="AE375">
        <f t="shared" si="65"/>
        <v>-1.2625003168395061</v>
      </c>
      <c r="AF375" s="9"/>
      <c r="AG375" s="21">
        <v>1.7379800000000001</v>
      </c>
      <c r="AH375" s="21">
        <v>21.860199999999999</v>
      </c>
      <c r="AI375" s="21">
        <v>-2.2296099999999999E-3</v>
      </c>
      <c r="AJ375" s="21">
        <v>365</v>
      </c>
      <c r="AK375" s="21">
        <v>1.73706</v>
      </c>
      <c r="AL375">
        <f t="shared" si="66"/>
        <v>2.7526049382716047</v>
      </c>
      <c r="AM375">
        <f t="shared" si="67"/>
        <v>4.7839723306172841</v>
      </c>
      <c r="AP375" s="9"/>
      <c r="AQ375" s="21">
        <v>-6.7901600000000006E-2</v>
      </c>
      <c r="AR375" s="21">
        <v>27.302700000000002</v>
      </c>
      <c r="AS375" s="21">
        <v>-1.5158100000000001E-2</v>
      </c>
      <c r="AT375" s="21">
        <v>365</v>
      </c>
      <c r="AU375" s="21">
        <v>-6.8359400000000001E-2</v>
      </c>
      <c r="AV375">
        <f t="shared" si="68"/>
        <v>18.713703703703704</v>
      </c>
      <c r="AW375">
        <f t="shared" si="69"/>
        <v>-1.2706904234074075</v>
      </c>
      <c r="AX375" s="9"/>
      <c r="AY375" s="21">
        <v>1.7379800000000001</v>
      </c>
      <c r="AZ375" s="21">
        <v>31.061399999999999</v>
      </c>
      <c r="BA375" s="21">
        <v>-2.1707200000000001E-3</v>
      </c>
      <c r="BB375" s="21">
        <v>365</v>
      </c>
      <c r="BC375" s="21">
        <v>1.73767</v>
      </c>
      <c r="BD375">
        <f t="shared" si="70"/>
        <v>2.6799012345679012</v>
      </c>
      <c r="BE375">
        <f t="shared" si="71"/>
        <v>4.6576147476543213</v>
      </c>
    </row>
    <row r="376" spans="6:57" x14ac:dyDescent="0.25">
      <c r="F376" s="9"/>
      <c r="G376" s="21">
        <v>-7.2937000000000002E-2</v>
      </c>
      <c r="H376" s="21">
        <v>8.8853100000000005</v>
      </c>
      <c r="I376" s="21">
        <v>-1.5029900000000001E-2</v>
      </c>
      <c r="J376" s="21">
        <v>366</v>
      </c>
      <c r="K376" s="21">
        <v>-7.3455800000000002E-2</v>
      </c>
      <c r="L376">
        <f t="shared" si="60"/>
        <v>18.555432098765429</v>
      </c>
      <c r="M376">
        <f t="shared" si="61"/>
        <v>-1.3533775509876542</v>
      </c>
      <c r="N376" s="9"/>
      <c r="O376" s="21">
        <v>1.7430099999999999</v>
      </c>
      <c r="P376" s="21">
        <v>12.6441</v>
      </c>
      <c r="Q376" s="21">
        <v>-6.6101099999999998E-4</v>
      </c>
      <c r="R376" s="21">
        <v>366</v>
      </c>
      <c r="S376" s="21">
        <v>1.74194</v>
      </c>
      <c r="T376">
        <f t="shared" si="62"/>
        <v>0.81606296296296288</v>
      </c>
      <c r="U376">
        <f t="shared" si="63"/>
        <v>1.4224059050740738</v>
      </c>
      <c r="X376" s="9"/>
      <c r="Y376" s="21">
        <v>-7.2937000000000002E-2</v>
      </c>
      <c r="Z376" s="21">
        <v>18.111499999999999</v>
      </c>
      <c r="AA376" s="21">
        <v>-1.50513E-2</v>
      </c>
      <c r="AB376" s="21">
        <v>366</v>
      </c>
      <c r="AC376" s="21">
        <v>-7.3516799999999993E-2</v>
      </c>
      <c r="AD376">
        <f t="shared" si="64"/>
        <v>18.581851851851848</v>
      </c>
      <c r="AE376">
        <f t="shared" si="65"/>
        <v>-1.3553045285185183</v>
      </c>
      <c r="AF376" s="9"/>
      <c r="AG376" s="21">
        <v>1.7430099999999999</v>
      </c>
      <c r="AH376" s="21">
        <v>21.8703</v>
      </c>
      <c r="AI376" s="21">
        <v>-1.1123699999999999E-3</v>
      </c>
      <c r="AJ376" s="21">
        <v>366</v>
      </c>
      <c r="AK376" s="21">
        <v>1.7422500000000001</v>
      </c>
      <c r="AL376">
        <f t="shared" si="66"/>
        <v>1.373296296296296</v>
      </c>
      <c r="AM376">
        <f t="shared" si="67"/>
        <v>2.393669177407407</v>
      </c>
      <c r="AP376" s="9"/>
      <c r="AQ376" s="21">
        <v>-7.2937000000000002E-2</v>
      </c>
      <c r="AR376" s="21">
        <v>27.312799999999999</v>
      </c>
      <c r="AS376" s="21">
        <v>-1.51611E-2</v>
      </c>
      <c r="AT376" s="21">
        <v>366</v>
      </c>
      <c r="AU376" s="21">
        <v>-7.3516799999999993E-2</v>
      </c>
      <c r="AV376">
        <f t="shared" si="68"/>
        <v>18.717407407407403</v>
      </c>
      <c r="AW376">
        <f t="shared" si="69"/>
        <v>-1.3651915440740738</v>
      </c>
      <c r="AX376" s="9"/>
      <c r="AY376" s="21">
        <v>1.7430099999999999</v>
      </c>
      <c r="AZ376" s="21">
        <v>31.0715</v>
      </c>
      <c r="BA376" s="21">
        <v>-1.0247800000000001E-3</v>
      </c>
      <c r="BB376" s="21">
        <v>366</v>
      </c>
      <c r="BC376" s="21">
        <v>1.74194</v>
      </c>
      <c r="BD376">
        <f t="shared" si="70"/>
        <v>1.2651604938271606</v>
      </c>
      <c r="BE376">
        <f t="shared" si="71"/>
        <v>2.2051873923456791</v>
      </c>
    </row>
    <row r="377" spans="6:57" x14ac:dyDescent="0.25">
      <c r="F377" s="9"/>
      <c r="G377" s="21">
        <v>-7.7972399999999997E-2</v>
      </c>
      <c r="H377" s="21">
        <v>8.8953799999999994</v>
      </c>
      <c r="I377" s="21">
        <v>-1.5032999999999999E-2</v>
      </c>
      <c r="J377" s="21">
        <v>367</v>
      </c>
      <c r="K377" s="21">
        <v>-7.8491199999999997E-2</v>
      </c>
      <c r="L377">
        <f t="shared" si="60"/>
        <v>18.559259259259257</v>
      </c>
      <c r="M377">
        <f t="shared" si="61"/>
        <v>-1.4471099866666663</v>
      </c>
      <c r="N377" s="9"/>
      <c r="O377" s="21">
        <v>1.7480500000000001</v>
      </c>
      <c r="P377" s="21">
        <v>12.6541</v>
      </c>
      <c r="Q377" s="21">
        <v>7.1807900000000005E-4</v>
      </c>
      <c r="R377" s="21">
        <v>367</v>
      </c>
      <c r="S377" s="21">
        <v>1.7477400000000001</v>
      </c>
      <c r="T377">
        <f t="shared" si="62"/>
        <v>-0.88651728395061735</v>
      </c>
      <c r="U377">
        <f t="shared" si="63"/>
        <v>-1.5496765382098767</v>
      </c>
      <c r="X377" s="9"/>
      <c r="Y377" s="21">
        <v>-7.7972399999999997E-2</v>
      </c>
      <c r="Z377" s="21">
        <v>18.121600000000001</v>
      </c>
      <c r="AA377" s="21">
        <v>-1.50543E-2</v>
      </c>
      <c r="AB377" s="21">
        <v>367</v>
      </c>
      <c r="AC377" s="21">
        <v>-7.85217E-2</v>
      </c>
      <c r="AD377">
        <f t="shared" si="64"/>
        <v>18.585555555555555</v>
      </c>
      <c r="AE377">
        <f t="shared" si="65"/>
        <v>-1.4491603719999999</v>
      </c>
      <c r="AF377" s="9"/>
      <c r="AG377" s="21">
        <v>1.7480500000000001</v>
      </c>
      <c r="AH377" s="21">
        <v>21.880400000000002</v>
      </c>
      <c r="AI377" s="21">
        <v>2.49542E-4</v>
      </c>
      <c r="AJ377" s="21">
        <v>367</v>
      </c>
      <c r="AK377" s="21">
        <v>1.7480500000000001</v>
      </c>
      <c r="AL377">
        <f t="shared" si="66"/>
        <v>-0.30807654320987649</v>
      </c>
      <c r="AM377">
        <f t="shared" si="67"/>
        <v>-0.53853320135802463</v>
      </c>
      <c r="AP377" s="9"/>
      <c r="AQ377" s="21">
        <v>-7.7972399999999997E-2</v>
      </c>
      <c r="AR377" s="21">
        <v>27.322800000000001</v>
      </c>
      <c r="AS377" s="21">
        <v>-1.5158100000000001E-2</v>
      </c>
      <c r="AT377" s="21">
        <v>367</v>
      </c>
      <c r="AU377" s="21">
        <v>-7.8430200000000005E-2</v>
      </c>
      <c r="AV377">
        <f t="shared" si="68"/>
        <v>18.713703703703704</v>
      </c>
      <c r="AW377">
        <f t="shared" si="69"/>
        <v>-1.4591523906666666</v>
      </c>
      <c r="AX377" s="9"/>
      <c r="AY377" s="21">
        <v>1.7480500000000001</v>
      </c>
      <c r="AZ377" s="21">
        <v>31.081600000000002</v>
      </c>
      <c r="BA377" s="21">
        <v>3.7899800000000002E-4</v>
      </c>
      <c r="BB377" s="21">
        <v>367</v>
      </c>
      <c r="BC377" s="21">
        <v>1.7474400000000001</v>
      </c>
      <c r="BD377">
        <f t="shared" si="70"/>
        <v>-0.46789876543209874</v>
      </c>
      <c r="BE377">
        <f t="shared" si="71"/>
        <v>-0.81791043691358023</v>
      </c>
    </row>
    <row r="378" spans="6:57" x14ac:dyDescent="0.25">
      <c r="F378" s="9"/>
      <c r="G378" s="21">
        <v>-8.3007800000000007E-2</v>
      </c>
      <c r="H378" s="21">
        <v>8.9054500000000001</v>
      </c>
      <c r="I378" s="21">
        <v>-1.5032999999999999E-2</v>
      </c>
      <c r="J378" s="21">
        <v>368</v>
      </c>
      <c r="K378" s="21">
        <v>-8.3648700000000006E-2</v>
      </c>
      <c r="L378">
        <f t="shared" si="60"/>
        <v>18.559259259259257</v>
      </c>
      <c r="M378">
        <f t="shared" si="61"/>
        <v>-1.5405632807407406</v>
      </c>
      <c r="N378" s="9"/>
      <c r="O378" s="21">
        <v>1.75308</v>
      </c>
      <c r="P378" s="21">
        <v>12.664199999999999</v>
      </c>
      <c r="Q378" s="21">
        <v>2.46277E-3</v>
      </c>
      <c r="R378" s="21">
        <v>368</v>
      </c>
      <c r="S378" s="21">
        <v>1.7523200000000001</v>
      </c>
      <c r="T378">
        <f t="shared" si="62"/>
        <v>-3.0404567901234567</v>
      </c>
      <c r="U378">
        <f t="shared" si="63"/>
        <v>-5.3301639896296296</v>
      </c>
      <c r="X378" s="9"/>
      <c r="Y378" s="21">
        <v>-8.3007800000000007E-2</v>
      </c>
      <c r="Z378" s="21">
        <v>18.131699999999999</v>
      </c>
      <c r="AA378" s="21">
        <v>-1.5069600000000001E-2</v>
      </c>
      <c r="AB378" s="21">
        <v>368</v>
      </c>
      <c r="AC378" s="21">
        <v>-8.3587599999999998E-2</v>
      </c>
      <c r="AD378">
        <f t="shared" si="64"/>
        <v>18.604444444444443</v>
      </c>
      <c r="AE378">
        <f t="shared" si="65"/>
        <v>-1.5443140035555556</v>
      </c>
      <c r="AF378" s="9"/>
      <c r="AG378" s="21">
        <v>1.75308</v>
      </c>
      <c r="AH378" s="21">
        <v>21.8904</v>
      </c>
      <c r="AI378" s="21">
        <v>1.90552E-3</v>
      </c>
      <c r="AJ378" s="21">
        <v>368</v>
      </c>
      <c r="AK378" s="21">
        <v>1.7523200000000001</v>
      </c>
      <c r="AL378">
        <f t="shared" si="66"/>
        <v>-2.3524938271604934</v>
      </c>
      <c r="AM378">
        <f t="shared" si="67"/>
        <v>-4.1241098785185173</v>
      </c>
      <c r="AP378" s="9"/>
      <c r="AQ378" s="21">
        <v>-8.3007800000000007E-2</v>
      </c>
      <c r="AR378" s="21">
        <v>27.332899999999999</v>
      </c>
      <c r="AS378" s="21">
        <v>-1.51459E-2</v>
      </c>
      <c r="AT378" s="21">
        <v>368</v>
      </c>
      <c r="AU378" s="21">
        <v>-8.3557099999999995E-2</v>
      </c>
      <c r="AV378">
        <f t="shared" si="68"/>
        <v>18.698641975308643</v>
      </c>
      <c r="AW378">
        <f t="shared" si="69"/>
        <v>-1.5521331333580248</v>
      </c>
      <c r="AX378" s="9"/>
      <c r="AY378" s="21">
        <v>1.75308</v>
      </c>
      <c r="AZ378" s="21">
        <v>31.091699999999999</v>
      </c>
      <c r="BA378" s="21">
        <v>2.0681800000000002E-3</v>
      </c>
      <c r="BB378" s="21">
        <v>368</v>
      </c>
      <c r="BC378" s="21">
        <v>1.7526200000000001</v>
      </c>
      <c r="BD378">
        <f t="shared" si="70"/>
        <v>-2.5533086419753088</v>
      </c>
      <c r="BE378">
        <f t="shared" si="71"/>
        <v>-4.4761543140740745</v>
      </c>
    </row>
    <row r="379" spans="6:57" x14ac:dyDescent="0.25">
      <c r="F379" s="9"/>
      <c r="G379" s="21">
        <v>-8.8043200000000002E-2</v>
      </c>
      <c r="H379" s="21">
        <v>8.9155200000000008</v>
      </c>
      <c r="I379" s="21">
        <v>-1.5042099999999999E-2</v>
      </c>
      <c r="J379" s="21">
        <v>369</v>
      </c>
      <c r="K379" s="21">
        <v>-8.8592500000000005E-2</v>
      </c>
      <c r="L379">
        <f t="shared" si="60"/>
        <v>18.570493827160494</v>
      </c>
      <c r="M379">
        <f t="shared" si="61"/>
        <v>-1.6350057021234568</v>
      </c>
      <c r="N379" s="9"/>
      <c r="O379" s="21">
        <v>1.7581199999999999</v>
      </c>
      <c r="P379" s="21">
        <v>12.674300000000001</v>
      </c>
      <c r="Q379" s="21">
        <v>4.5138499999999998E-3</v>
      </c>
      <c r="R379" s="21">
        <v>369</v>
      </c>
      <c r="S379" s="21">
        <v>1.7572000000000001</v>
      </c>
      <c r="T379">
        <f t="shared" si="62"/>
        <v>-5.5726543209876542</v>
      </c>
      <c r="U379">
        <f t="shared" si="63"/>
        <v>-9.7973950148148141</v>
      </c>
      <c r="X379" s="9"/>
      <c r="Y379" s="21">
        <v>-8.8043200000000002E-2</v>
      </c>
      <c r="Z379" s="21">
        <v>18.1417</v>
      </c>
      <c r="AA379" s="21">
        <v>-1.5084800000000001E-2</v>
      </c>
      <c r="AB379" s="21">
        <v>369</v>
      </c>
      <c r="AC379" s="21">
        <v>-8.8592500000000005E-2</v>
      </c>
      <c r="AD379">
        <f t="shared" si="64"/>
        <v>18.623209876543207</v>
      </c>
      <c r="AE379">
        <f t="shared" si="65"/>
        <v>-1.639646991802469</v>
      </c>
      <c r="AF379" s="9"/>
      <c r="AG379" s="21">
        <v>1.7581199999999999</v>
      </c>
      <c r="AH379" s="21">
        <v>21.900500000000001</v>
      </c>
      <c r="AI379" s="21">
        <v>3.8793899999999999E-3</v>
      </c>
      <c r="AJ379" s="21">
        <v>369</v>
      </c>
      <c r="AK379" s="21">
        <v>1.7572000000000001</v>
      </c>
      <c r="AL379">
        <f t="shared" si="66"/>
        <v>-4.7893703703703698</v>
      </c>
      <c r="AM379">
        <f t="shared" si="67"/>
        <v>-8.4202878355555537</v>
      </c>
      <c r="AP379" s="9"/>
      <c r="AQ379" s="21">
        <v>-8.8043200000000002E-2</v>
      </c>
      <c r="AR379" s="21">
        <v>27.343</v>
      </c>
      <c r="AS379" s="21">
        <v>-1.51428E-2</v>
      </c>
      <c r="AT379" s="21">
        <v>369</v>
      </c>
      <c r="AU379" s="21">
        <v>-8.8562000000000002E-2</v>
      </c>
      <c r="AV379">
        <f t="shared" si="68"/>
        <v>18.694814814814812</v>
      </c>
      <c r="AW379">
        <f t="shared" si="69"/>
        <v>-1.6459513197037035</v>
      </c>
      <c r="AX379" s="9"/>
      <c r="AY379" s="21">
        <v>1.7581199999999999</v>
      </c>
      <c r="AZ379" s="21">
        <v>31.101700000000001</v>
      </c>
      <c r="BA379" s="21">
        <v>4.2086800000000002E-3</v>
      </c>
      <c r="BB379" s="21">
        <v>369</v>
      </c>
      <c r="BC379" s="21">
        <v>1.7575099999999999</v>
      </c>
      <c r="BD379">
        <f t="shared" si="70"/>
        <v>-5.1959012345679012</v>
      </c>
      <c r="BE379">
        <f t="shared" si="71"/>
        <v>-9.1350178785185179</v>
      </c>
    </row>
    <row r="380" spans="6:57" x14ac:dyDescent="0.25">
      <c r="F380" s="9"/>
      <c r="G380" s="21">
        <v>-9.3078599999999997E-2</v>
      </c>
      <c r="H380" s="21">
        <v>8.9255899999999997</v>
      </c>
      <c r="I380" s="21">
        <v>-1.50604E-2</v>
      </c>
      <c r="J380" s="21">
        <v>370</v>
      </c>
      <c r="K380" s="21">
        <v>-9.36279E-2</v>
      </c>
      <c r="L380">
        <f t="shared" si="60"/>
        <v>18.593086419753085</v>
      </c>
      <c r="M380">
        <f t="shared" si="61"/>
        <v>-1.7306184536296294</v>
      </c>
      <c r="N380" s="9"/>
      <c r="O380" s="21">
        <v>1.76315</v>
      </c>
      <c r="P380" s="21">
        <v>12.6844</v>
      </c>
      <c r="Q380" s="21">
        <v>6.9915799999999998E-3</v>
      </c>
      <c r="R380" s="21">
        <v>370</v>
      </c>
      <c r="S380" s="21">
        <v>1.7626999999999999</v>
      </c>
      <c r="T380">
        <f t="shared" si="62"/>
        <v>-8.6315802469135789</v>
      </c>
      <c r="U380">
        <f t="shared" si="63"/>
        <v>-15.218770712345677</v>
      </c>
      <c r="X380" s="9"/>
      <c r="Y380" s="21">
        <v>-9.3078599999999997E-2</v>
      </c>
      <c r="Z380" s="21">
        <v>18.151800000000001</v>
      </c>
      <c r="AA380" s="21">
        <v>-1.5094E-2</v>
      </c>
      <c r="AB380" s="21">
        <v>370</v>
      </c>
      <c r="AC380" s="21">
        <v>-9.3658400000000003E-2</v>
      </c>
      <c r="AD380">
        <f t="shared" si="64"/>
        <v>18.634567901234568</v>
      </c>
      <c r="AE380">
        <f t="shared" si="65"/>
        <v>-1.7344794918518518</v>
      </c>
      <c r="AF380" s="9"/>
      <c r="AG380" s="21">
        <v>1.76315</v>
      </c>
      <c r="AH380" s="21">
        <v>21.910599999999999</v>
      </c>
      <c r="AI380" s="21">
        <v>6.2530499999999996E-3</v>
      </c>
      <c r="AJ380" s="21">
        <v>370</v>
      </c>
      <c r="AK380" s="21">
        <v>1.7623899999999999</v>
      </c>
      <c r="AL380">
        <f t="shared" si="66"/>
        <v>-7.7198148148148142</v>
      </c>
      <c r="AM380">
        <f t="shared" si="67"/>
        <v>-13.61119149074074</v>
      </c>
      <c r="AP380" s="9"/>
      <c r="AQ380" s="21">
        <v>-9.3078599999999997E-2</v>
      </c>
      <c r="AR380" s="21">
        <v>27.353000000000002</v>
      </c>
      <c r="AS380" s="21">
        <v>-1.5130599999999999E-2</v>
      </c>
      <c r="AT380" s="21">
        <v>370</v>
      </c>
      <c r="AU380" s="21">
        <v>-9.3566899999999995E-2</v>
      </c>
      <c r="AV380">
        <f t="shared" si="68"/>
        <v>18.679753086419751</v>
      </c>
      <c r="AW380">
        <f t="shared" si="69"/>
        <v>-1.7386852656296294</v>
      </c>
      <c r="AX380" s="9"/>
      <c r="AY380" s="21">
        <v>1.76315</v>
      </c>
      <c r="AZ380" s="21">
        <v>31.111799999999999</v>
      </c>
      <c r="BA380" s="21">
        <v>6.67725E-3</v>
      </c>
      <c r="BB380" s="21">
        <v>370</v>
      </c>
      <c r="BC380" s="21">
        <v>1.7629999999999999</v>
      </c>
      <c r="BD380">
        <f t="shared" si="70"/>
        <v>-8.2435185185185187</v>
      </c>
      <c r="BE380">
        <f t="shared" si="71"/>
        <v>-14.534559675925927</v>
      </c>
    </row>
    <row r="381" spans="6:57" x14ac:dyDescent="0.25">
      <c r="F381" s="9"/>
      <c r="G381" s="21">
        <v>-9.8114000000000007E-2</v>
      </c>
      <c r="H381" s="21">
        <v>8.9356600000000004</v>
      </c>
      <c r="I381" s="21">
        <v>-1.50604E-2</v>
      </c>
      <c r="J381" s="21">
        <v>371</v>
      </c>
      <c r="K381" s="21">
        <v>-9.8632800000000007E-2</v>
      </c>
      <c r="L381">
        <f t="shared" si="60"/>
        <v>18.593086419753085</v>
      </c>
      <c r="M381">
        <f t="shared" si="61"/>
        <v>-1.8242420809876543</v>
      </c>
      <c r="N381" s="9"/>
      <c r="O381" s="21">
        <v>1.7681899999999999</v>
      </c>
      <c r="P381" s="21">
        <v>12.6944</v>
      </c>
      <c r="Q381" s="21">
        <v>9.8602299999999993E-3</v>
      </c>
      <c r="R381" s="21">
        <v>371</v>
      </c>
      <c r="S381" s="21">
        <v>1.7681899999999999</v>
      </c>
      <c r="T381">
        <f t="shared" si="62"/>
        <v>-12.173123456790123</v>
      </c>
      <c r="U381">
        <f t="shared" si="63"/>
        <v>-21.524395165061726</v>
      </c>
      <c r="X381" s="9"/>
      <c r="Y381" s="21">
        <v>-9.8114000000000007E-2</v>
      </c>
      <c r="Z381" s="21">
        <v>18.161899999999999</v>
      </c>
      <c r="AA381" s="21">
        <v>-1.51001E-2</v>
      </c>
      <c r="AB381" s="21">
        <v>371</v>
      </c>
      <c r="AC381" s="21">
        <v>-9.8663299999999995E-2</v>
      </c>
      <c r="AD381">
        <f t="shared" si="64"/>
        <v>18.642098765432099</v>
      </c>
      <c r="AE381">
        <f t="shared" si="65"/>
        <v>-1.8290508782716051</v>
      </c>
      <c r="AF381" s="9"/>
      <c r="AG381" s="21">
        <v>1.7681899999999999</v>
      </c>
      <c r="AH381" s="21">
        <v>21.9206</v>
      </c>
      <c r="AI381" s="21">
        <v>9.0637200000000008E-3</v>
      </c>
      <c r="AJ381" s="21">
        <v>371</v>
      </c>
      <c r="AK381" s="21">
        <v>1.7666599999999999</v>
      </c>
      <c r="AL381">
        <f t="shared" si="66"/>
        <v>-11.189777777777778</v>
      </c>
      <c r="AM381">
        <f t="shared" si="67"/>
        <v>-19.785653168888889</v>
      </c>
      <c r="AP381" s="9"/>
      <c r="AQ381" s="21">
        <v>-9.8114000000000007E-2</v>
      </c>
      <c r="AR381" s="21">
        <v>27.363099999999999</v>
      </c>
      <c r="AS381" s="21">
        <v>-1.51276E-2</v>
      </c>
      <c r="AT381" s="21">
        <v>371</v>
      </c>
      <c r="AU381" s="21">
        <v>-9.8663299999999995E-2</v>
      </c>
      <c r="AV381">
        <f t="shared" si="68"/>
        <v>18.676049382716048</v>
      </c>
      <c r="AW381">
        <f t="shared" si="69"/>
        <v>-1.8323819091358025</v>
      </c>
      <c r="AX381" s="9"/>
      <c r="AY381" s="21">
        <v>1.7681899999999999</v>
      </c>
      <c r="AZ381" s="21">
        <v>31.1219</v>
      </c>
      <c r="BA381" s="21">
        <v>9.5916700000000001E-3</v>
      </c>
      <c r="BB381" s="21">
        <v>371</v>
      </c>
      <c r="BC381" s="21">
        <v>1.7675799999999999</v>
      </c>
      <c r="BD381">
        <f t="shared" si="70"/>
        <v>-11.841567901234567</v>
      </c>
      <c r="BE381">
        <f t="shared" si="71"/>
        <v>-20.938141947283949</v>
      </c>
    </row>
    <row r="382" spans="6:57" x14ac:dyDescent="0.25">
      <c r="F382" s="9"/>
      <c r="G382" s="21">
        <v>-0.103149</v>
      </c>
      <c r="H382" s="21">
        <v>8.9457299999999993</v>
      </c>
      <c r="I382" s="21">
        <v>-1.50543E-2</v>
      </c>
      <c r="J382" s="21">
        <v>372</v>
      </c>
      <c r="K382" s="21">
        <v>-0.103668</v>
      </c>
      <c r="L382">
        <f t="shared" si="60"/>
        <v>18.585555555555555</v>
      </c>
      <c r="M382">
        <f t="shared" si="61"/>
        <v>-1.9170814700000001</v>
      </c>
      <c r="N382" s="9"/>
      <c r="O382" s="21">
        <v>1.77322</v>
      </c>
      <c r="P382" s="21">
        <v>12.704499999999999</v>
      </c>
      <c r="Q382" s="21">
        <v>1.32782E-2</v>
      </c>
      <c r="R382" s="21">
        <v>372</v>
      </c>
      <c r="S382" s="21">
        <v>1.7724599999999999</v>
      </c>
      <c r="T382">
        <f t="shared" si="62"/>
        <v>-16.392839506172837</v>
      </c>
      <c r="U382">
        <f t="shared" si="63"/>
        <v>-29.068110869135801</v>
      </c>
      <c r="X382" s="9"/>
      <c r="Y382" s="21">
        <v>-0.103149</v>
      </c>
      <c r="Z382" s="21">
        <v>18.171900000000001</v>
      </c>
      <c r="AA382" s="21">
        <v>-1.51031E-2</v>
      </c>
      <c r="AB382" s="21">
        <v>372</v>
      </c>
      <c r="AC382" s="21">
        <v>-0.103607</v>
      </c>
      <c r="AD382">
        <f t="shared" si="64"/>
        <v>18.645802469135798</v>
      </c>
      <c r="AE382">
        <f t="shared" si="65"/>
        <v>-1.9232958788888885</v>
      </c>
      <c r="AF382" s="9"/>
      <c r="AG382" s="21">
        <v>1.77322</v>
      </c>
      <c r="AH382" s="21">
        <v>21.930700000000002</v>
      </c>
      <c r="AI382" s="21">
        <v>1.2301599999999999E-2</v>
      </c>
      <c r="AJ382" s="21">
        <v>372</v>
      </c>
      <c r="AK382" s="21">
        <v>1.7718499999999999</v>
      </c>
      <c r="AL382">
        <f t="shared" si="66"/>
        <v>-15.187160493827157</v>
      </c>
      <c r="AM382">
        <f t="shared" si="67"/>
        <v>-26.930176730864194</v>
      </c>
      <c r="AP382" s="9"/>
      <c r="AQ382" s="21">
        <v>-0.103149</v>
      </c>
      <c r="AR382" s="21">
        <v>27.373200000000001</v>
      </c>
      <c r="AS382" s="21">
        <v>-1.51337E-2</v>
      </c>
      <c r="AT382" s="21">
        <v>372</v>
      </c>
      <c r="AU382" s="21">
        <v>-0.103729</v>
      </c>
      <c r="AV382">
        <f t="shared" si="68"/>
        <v>18.683580246913579</v>
      </c>
      <c r="AW382">
        <f t="shared" si="69"/>
        <v>-1.9271926188888888</v>
      </c>
      <c r="AX382" s="9"/>
      <c r="AY382" s="21">
        <v>1.77322</v>
      </c>
      <c r="AZ382" s="21">
        <v>31.131900000000002</v>
      </c>
      <c r="BA382" s="21">
        <v>1.30066E-2</v>
      </c>
      <c r="BB382" s="21">
        <v>372</v>
      </c>
      <c r="BC382" s="21">
        <v>1.77277</v>
      </c>
      <c r="BD382">
        <f t="shared" si="70"/>
        <v>-16.057530864197531</v>
      </c>
      <c r="BE382">
        <f t="shared" si="71"/>
        <v>-28.473534879012348</v>
      </c>
    </row>
    <row r="383" spans="6:57" x14ac:dyDescent="0.25">
      <c r="F383" s="9"/>
      <c r="G383" s="21"/>
      <c r="H383" s="21"/>
      <c r="I383" s="21"/>
      <c r="J383" s="21"/>
      <c r="K383" s="21"/>
      <c r="N383" s="9"/>
      <c r="O383" s="21"/>
      <c r="P383" s="21"/>
      <c r="Q383" s="21"/>
      <c r="R383" s="21"/>
      <c r="S383" s="21"/>
      <c r="X383" s="9"/>
      <c r="Y383" s="21"/>
      <c r="Z383" s="21"/>
      <c r="AA383" s="21"/>
      <c r="AB383" s="21"/>
      <c r="AC383" s="21"/>
      <c r="AF383" s="9"/>
      <c r="AG383" s="21"/>
      <c r="AH383" s="21"/>
      <c r="AI383" s="21"/>
      <c r="AJ383" s="21"/>
      <c r="AK383" s="21"/>
      <c r="AP383" s="9"/>
      <c r="AQ383" s="21"/>
      <c r="AR383" s="21"/>
      <c r="AS383" s="21"/>
      <c r="AT383" s="21"/>
      <c r="AU383" s="21"/>
      <c r="AX383" s="9"/>
      <c r="AY383" s="21"/>
      <c r="AZ383" s="21"/>
      <c r="BA383" s="21"/>
      <c r="BB383" s="21"/>
      <c r="BC383" s="21"/>
    </row>
    <row r="384" spans="6:57" x14ac:dyDescent="0.25">
      <c r="F384" s="9"/>
      <c r="G384" s="21"/>
      <c r="H384" s="21"/>
      <c r="I384" s="21"/>
      <c r="J384" s="21"/>
      <c r="K384" s="21"/>
      <c r="N384" s="9"/>
      <c r="O384" s="21"/>
      <c r="P384" s="21"/>
      <c r="Q384" s="21"/>
      <c r="R384" s="21"/>
      <c r="S384" s="21"/>
      <c r="X384" s="9"/>
      <c r="Y384" s="21"/>
      <c r="Z384" s="21"/>
      <c r="AA384" s="21"/>
      <c r="AB384" s="21"/>
      <c r="AC384" s="21"/>
      <c r="AF384" s="9"/>
      <c r="AG384" s="21"/>
      <c r="AH384" s="21"/>
      <c r="AI384" s="21"/>
      <c r="AJ384" s="21"/>
      <c r="AK384" s="21"/>
      <c r="AP384" s="9"/>
      <c r="AQ384" s="21"/>
      <c r="AR384" s="21"/>
      <c r="AS384" s="21"/>
      <c r="AT384" s="21"/>
      <c r="AU384" s="21"/>
      <c r="AX384" s="9"/>
      <c r="AY384" s="21"/>
      <c r="AZ384" s="21"/>
      <c r="BA384" s="21"/>
      <c r="BB384" s="21"/>
      <c r="BC384" s="21"/>
    </row>
    <row r="385" spans="6:55" x14ac:dyDescent="0.25">
      <c r="F385" s="9"/>
      <c r="G385" s="21"/>
      <c r="H385" s="21"/>
      <c r="I385" s="21"/>
      <c r="J385" s="21"/>
      <c r="K385" s="21"/>
      <c r="N385" s="9"/>
      <c r="O385" s="21"/>
      <c r="P385" s="21"/>
      <c r="Q385" s="21"/>
      <c r="R385" s="21"/>
      <c r="S385" s="21"/>
      <c r="X385" s="9"/>
      <c r="Y385" s="21"/>
      <c r="Z385" s="21"/>
      <c r="AA385" s="21"/>
      <c r="AB385" s="21"/>
      <c r="AC385" s="21"/>
      <c r="AF385" s="9"/>
      <c r="AG385" s="21"/>
      <c r="AH385" s="21"/>
      <c r="AI385" s="21"/>
      <c r="AJ385" s="21"/>
      <c r="AK385" s="21"/>
      <c r="AP385" s="9"/>
      <c r="AQ385" s="21"/>
      <c r="AR385" s="21"/>
      <c r="AS385" s="21"/>
      <c r="AT385" s="21"/>
      <c r="AU385" s="21"/>
      <c r="AX385" s="9"/>
      <c r="AY385" s="21"/>
      <c r="AZ385" s="21"/>
      <c r="BA385" s="21"/>
      <c r="BB385" s="21"/>
      <c r="BC385" s="21"/>
    </row>
    <row r="386" spans="6:55" x14ac:dyDescent="0.25">
      <c r="F386" s="9"/>
      <c r="G386" s="21"/>
      <c r="H386" s="21"/>
      <c r="I386" s="21"/>
      <c r="J386" s="21"/>
      <c r="K386" s="21"/>
      <c r="N386" s="9"/>
      <c r="O386" s="21"/>
      <c r="P386" s="21"/>
      <c r="Q386" s="21"/>
      <c r="R386" s="21"/>
      <c r="S386" s="21"/>
      <c r="X386" s="9"/>
      <c r="Y386" s="21"/>
      <c r="Z386" s="21"/>
      <c r="AA386" s="21"/>
      <c r="AB386" s="21"/>
      <c r="AC386" s="21"/>
      <c r="AF386" s="9"/>
      <c r="AG386" s="21"/>
      <c r="AH386" s="21"/>
      <c r="AI386" s="21"/>
      <c r="AJ386" s="21"/>
      <c r="AK386" s="21"/>
      <c r="AP386" s="9"/>
      <c r="AQ386" s="21"/>
      <c r="AR386" s="21"/>
      <c r="AS386" s="21"/>
      <c r="AT386" s="21"/>
      <c r="AU386" s="21"/>
      <c r="AX386" s="9"/>
      <c r="AY386" s="21"/>
      <c r="AZ386" s="21"/>
      <c r="BA386" s="21"/>
      <c r="BB386" s="21"/>
      <c r="BC386" s="21"/>
    </row>
    <row r="387" spans="6:55" x14ac:dyDescent="0.25">
      <c r="F387" s="9"/>
      <c r="G387" s="21"/>
      <c r="H387" s="21"/>
      <c r="I387" s="21"/>
      <c r="J387" s="21"/>
      <c r="K387" s="21"/>
      <c r="N387" s="9"/>
      <c r="O387" s="21"/>
      <c r="P387" s="21"/>
      <c r="Q387" s="21"/>
      <c r="R387" s="21"/>
      <c r="S387" s="21"/>
      <c r="X387" s="9"/>
      <c r="Y387" s="21"/>
      <c r="Z387" s="21"/>
      <c r="AA387" s="21"/>
      <c r="AB387" s="21"/>
      <c r="AC387" s="21"/>
      <c r="AF387" s="9"/>
      <c r="AG387" s="21"/>
      <c r="AH387" s="21"/>
      <c r="AI387" s="21"/>
      <c r="AJ387" s="21"/>
      <c r="AK387" s="21"/>
      <c r="AP387" s="9"/>
      <c r="AQ387" s="21"/>
      <c r="AR387" s="21"/>
      <c r="AS387" s="21"/>
      <c r="AT387" s="21"/>
      <c r="AU387" s="21"/>
      <c r="AX387" s="9"/>
      <c r="AY387" s="21"/>
      <c r="AZ387" s="21"/>
      <c r="BA387" s="21"/>
      <c r="BB387" s="21"/>
      <c r="BC387" s="21"/>
    </row>
    <row r="388" spans="6:55" x14ac:dyDescent="0.25">
      <c r="F388" s="9"/>
      <c r="G388" s="21"/>
      <c r="H388" s="21"/>
      <c r="I388" s="21"/>
      <c r="J388" s="21"/>
      <c r="K388" s="21"/>
      <c r="N388" s="9"/>
      <c r="O388" s="21"/>
      <c r="P388" s="21"/>
      <c r="Q388" s="21"/>
      <c r="R388" s="21"/>
      <c r="S388" s="21"/>
      <c r="X388" s="9"/>
      <c r="Y388" s="21"/>
      <c r="Z388" s="21"/>
      <c r="AA388" s="21"/>
      <c r="AB388" s="21"/>
      <c r="AC388" s="21"/>
      <c r="AF388" s="9"/>
      <c r="AG388" s="21"/>
      <c r="AH388" s="21"/>
      <c r="AI388" s="21"/>
      <c r="AJ388" s="21"/>
      <c r="AK388" s="21"/>
      <c r="AP388" s="9"/>
      <c r="AQ388" s="21"/>
      <c r="AR388" s="21"/>
      <c r="AS388" s="21"/>
      <c r="AT388" s="21"/>
      <c r="AU388" s="21"/>
      <c r="AX388" s="9"/>
      <c r="AY388" s="21"/>
      <c r="AZ388" s="21"/>
      <c r="BA388" s="21"/>
      <c r="BB388" s="21"/>
      <c r="BC388" s="21"/>
    </row>
    <row r="389" spans="6:55" x14ac:dyDescent="0.25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/>
      <c r="AZ389" s="21"/>
      <c r="BA389" s="24"/>
      <c r="BB389" s="21"/>
      <c r="BC389" s="21"/>
    </row>
    <row r="390" spans="6:55" x14ac:dyDescent="0.25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/>
      <c r="AZ390" s="21"/>
      <c r="BA390" s="21"/>
      <c r="BB390" s="21"/>
      <c r="BC390" s="21"/>
    </row>
    <row r="391" spans="6:55" x14ac:dyDescent="0.25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/>
      <c r="AZ391" s="21"/>
      <c r="BA391" s="21"/>
      <c r="BB391" s="21"/>
      <c r="BC391" s="21"/>
    </row>
    <row r="392" spans="6:55" x14ac:dyDescent="0.25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/>
      <c r="AZ392" s="21"/>
      <c r="BA392" s="21"/>
      <c r="BB392" s="21"/>
      <c r="BC392" s="21"/>
    </row>
    <row r="393" spans="6:55" x14ac:dyDescent="0.25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5" x14ac:dyDescent="0.25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5" x14ac:dyDescent="0.25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5" x14ac:dyDescent="0.25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5" x14ac:dyDescent="0.25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5" x14ac:dyDescent="0.25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H358"/>
  <sheetViews>
    <sheetView topLeftCell="AR1" workbookViewId="0">
      <selection activeCell="BD11" sqref="BD11:BE358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331.48121311477178</v>
      </c>
      <c r="H2" s="2"/>
      <c r="I2" s="6" t="s">
        <v>12</v>
      </c>
      <c r="J2" s="2"/>
      <c r="K2" s="7" t="s">
        <v>13</v>
      </c>
      <c r="L2" s="3">
        <f>L4*I6*L9/100*100</f>
        <v>20.963156044444446</v>
      </c>
      <c r="M2" s="8" t="s">
        <v>14</v>
      </c>
      <c r="N2" s="9"/>
      <c r="O2" s="2">
        <f>ABS(S7-S6)/ABS(T7-T6)*1000</f>
        <v>269.16480000000854</v>
      </c>
      <c r="P2" s="2"/>
      <c r="Q2" s="6" t="s">
        <v>15</v>
      </c>
      <c r="R2" s="2"/>
      <c r="S2" s="7" t="s">
        <v>13</v>
      </c>
      <c r="T2" s="3">
        <f>T4*Q6*T9/100*100</f>
        <v>20.834007829629634</v>
      </c>
      <c r="U2" s="8" t="s">
        <v>14</v>
      </c>
      <c r="X2" s="9"/>
      <c r="Y2" s="2">
        <f>ABS(AC7-AC6)/ABS(AD7-AD6)*1000</f>
        <v>687.68070491839387</v>
      </c>
      <c r="Z2" s="2"/>
      <c r="AA2" s="6" t="s">
        <v>12</v>
      </c>
      <c r="AB2" s="2"/>
      <c r="AC2" s="7" t="s">
        <v>13</v>
      </c>
      <c r="AD2" s="3">
        <f>AD4*AA6*AD9/100*100</f>
        <v>21.133446355555556</v>
      </c>
      <c r="AE2" s="8" t="s">
        <v>14</v>
      </c>
      <c r="AF2" s="9"/>
      <c r="AG2" s="2">
        <f>ABS(AK7-AK6)/ABS(AL7-AL6)*1000</f>
        <v>3019.796786065735</v>
      </c>
      <c r="AH2" s="2"/>
      <c r="AI2" s="6" t="s">
        <v>15</v>
      </c>
      <c r="AJ2" s="2"/>
      <c r="AK2" s="7" t="s">
        <v>13</v>
      </c>
      <c r="AL2" s="3">
        <f>AL4*AI6*AL9/100*100</f>
        <v>21.014412999999998</v>
      </c>
      <c r="AM2" s="8" t="s">
        <v>14</v>
      </c>
      <c r="AP2" s="9"/>
      <c r="AQ2" s="2">
        <f>ABS(AU7-AU6)/ABS(AV7-AV6)*1000</f>
        <v>444.67767391319035</v>
      </c>
      <c r="AR2" s="2"/>
      <c r="AS2" s="6" t="s">
        <v>12</v>
      </c>
      <c r="AT2" s="2"/>
      <c r="AU2" s="7" t="s">
        <v>13</v>
      </c>
      <c r="AV2" s="3">
        <f>AV4*AS6*AV9/100*100</f>
        <v>21.133446355555556</v>
      </c>
      <c r="AW2" s="8" t="s">
        <v>14</v>
      </c>
      <c r="AX2" s="9"/>
      <c r="AY2" s="2">
        <f>ABS(BC7-BC6)/ABS(BD7-BD6)*1000</f>
        <v>263.51025882353775</v>
      </c>
      <c r="AZ2" s="2"/>
      <c r="BA2" s="6" t="s">
        <v>15</v>
      </c>
      <c r="BB2" s="2"/>
      <c r="BC2" s="7" t="s">
        <v>13</v>
      </c>
      <c r="BD2" s="3">
        <f>BD4*BA6*BD9/100*100</f>
        <v>21.025872191358022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1.6287199999999999</v>
      </c>
      <c r="J3" s="2"/>
      <c r="K3" s="10">
        <f>INDEX(L11:L1056,MATCH(I3,K11:K1056,0))</f>
        <v>-5.2746419753086421E-3</v>
      </c>
      <c r="L3" s="26" t="s">
        <v>16</v>
      </c>
      <c r="M3" s="11">
        <f>M9</f>
        <v>20.963156044444446</v>
      </c>
      <c r="N3" s="9"/>
      <c r="O3" s="2" t="s">
        <v>44</v>
      </c>
      <c r="P3" s="2"/>
      <c r="Q3" s="2">
        <f>INDEX(S11:S1056,MATCH(0,T11:T1056,-1))</f>
        <v>1.63666</v>
      </c>
      <c r="R3" s="2"/>
      <c r="S3" s="10">
        <f>INDEX(T11:T1056,MATCH(Q3,S11:S1056,0))</f>
        <v>1.6042469135802468</v>
      </c>
      <c r="T3" s="26" t="s">
        <v>16</v>
      </c>
      <c r="U3" s="11">
        <f>U9</f>
        <v>20.83400782962963</v>
      </c>
      <c r="X3" s="9"/>
      <c r="Y3" s="2" t="s">
        <v>44</v>
      </c>
      <c r="Z3" s="2"/>
      <c r="AA3" s="2">
        <f>INDEX(AC11:AC856,MATCH(0,AD11:AD856,1))</f>
        <v>1.63452</v>
      </c>
      <c r="AB3" s="2"/>
      <c r="AC3" s="10">
        <f>INDEX(AD11:AD1056,MATCH(AA3,AC11:AC1056,0))</f>
        <v>-1.2470740740740738</v>
      </c>
      <c r="AD3" s="26" t="s">
        <v>16</v>
      </c>
      <c r="AE3" s="11">
        <f>AE9</f>
        <v>21.133446355555556</v>
      </c>
      <c r="AF3" s="9"/>
      <c r="AG3" s="2" t="s">
        <v>44</v>
      </c>
      <c r="AH3" s="2"/>
      <c r="AI3" s="2">
        <f>INDEX(AK11:AK1056,MATCH(0,AL11:AL1056,-1))</f>
        <v>1.64154</v>
      </c>
      <c r="AJ3" s="2"/>
      <c r="AK3" s="10">
        <f>INDEX(AL11:AL1056,MATCH(AI3,AK11:AK1056,0))</f>
        <v>0.68909506172839508</v>
      </c>
      <c r="AL3" s="26" t="s">
        <v>16</v>
      </c>
      <c r="AM3" s="11">
        <f>AM9</f>
        <v>21.014412999999998</v>
      </c>
      <c r="AP3" s="9"/>
      <c r="AQ3" s="2" t="s">
        <v>44</v>
      </c>
      <c r="AR3" s="2"/>
      <c r="AS3" s="2">
        <f>INDEX(AU11:AU856,MATCH(0,AV11:AV856,1))</f>
        <v>1.63422</v>
      </c>
      <c r="AT3" s="2"/>
      <c r="AU3" s="10">
        <f>INDEX(AV11:AV1056,MATCH(AS3,AU11:AU1056,0))</f>
        <v>-0.6747777777777777</v>
      </c>
      <c r="AV3" s="26" t="s">
        <v>16</v>
      </c>
      <c r="AW3" s="11">
        <f>AW9</f>
        <v>21.133446355555556</v>
      </c>
      <c r="AX3" s="9"/>
      <c r="AY3" s="2" t="s">
        <v>44</v>
      </c>
      <c r="AZ3" s="2"/>
      <c r="BA3" s="2">
        <f>INDEX(BC11:BC1056,MATCH(0,BD11:BD1056,-1))</f>
        <v>1.64154</v>
      </c>
      <c r="BB3" s="2"/>
      <c r="BC3" s="10">
        <f>INDEX(BD11:BD1056,MATCH(BA3,BC11:BC1056,0))</f>
        <v>0.72224938271604944</v>
      </c>
      <c r="BD3" s="26" t="s">
        <v>16</v>
      </c>
      <c r="BE3" s="11">
        <f>BE9</f>
        <v>21.025872191358022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2.4469965165351444</v>
      </c>
      <c r="H4" s="2"/>
      <c r="I4" s="2">
        <f>INDEX(K11:K1000,1+MATCH(0,L11:L856,1))</f>
        <v>1.62415</v>
      </c>
      <c r="J4" s="2"/>
      <c r="K4" s="10">
        <f>INDEX(L11:L1056,MATCH(I4,K11:K1056,0))</f>
        <v>1.8623209876543207</v>
      </c>
      <c r="L4" s="25">
        <f>M3/(I6*L9)</f>
        <v>0.74942049595991944</v>
      </c>
      <c r="M4" s="8" t="s">
        <v>17</v>
      </c>
      <c r="N4" s="9"/>
      <c r="O4" s="2">
        <f>ABS(Q3-Q4)/ABS(S3-S4)*1000</f>
        <v>2.4725439516715051</v>
      </c>
      <c r="P4" s="2"/>
      <c r="Q4" s="2">
        <f>INDEX(S11:S856,1+MATCH(0,T11:T856,-1))</f>
        <v>1.64124</v>
      </c>
      <c r="R4" s="2"/>
      <c r="S4" s="10">
        <f>INDEX(T11:T856,MATCH(Q4,S11:S856,0))</f>
        <v>-0.24809629629629626</v>
      </c>
      <c r="T4" s="25">
        <f>U3/(Q6*T9)</f>
        <v>0.7400210015021671</v>
      </c>
      <c r="U4" s="8" t="s">
        <v>17</v>
      </c>
      <c r="X4" s="9"/>
      <c r="Y4" s="2">
        <f>ABS(AA3-AA4)/ABS(AC3-AC4)*1000</f>
        <v>2.7193826341544867</v>
      </c>
      <c r="Z4" s="2"/>
      <c r="AA4" s="2">
        <f>INDEX(AC11:AC1000,1+MATCH(0,AD11:AD856,1))</f>
        <v>1.6287199999999999</v>
      </c>
      <c r="AB4" s="2"/>
      <c r="AC4" s="10">
        <f>INDEX(AD11:AD1056,MATCH(AA4,AC11:AC1056,0))</f>
        <v>0.88576296296296286</v>
      </c>
      <c r="AD4" s="25">
        <f>AE3/(AA6*AD9)</f>
        <v>0.75327226604145125</v>
      </c>
      <c r="AE4" s="8" t="s">
        <v>17</v>
      </c>
      <c r="AF4" s="9"/>
      <c r="AG4" s="2">
        <f>ABS(AI3-AI4)/ABS(AK3-AK4)*1000</f>
        <v>2.3632458188273904</v>
      </c>
      <c r="AH4" s="2"/>
      <c r="AI4" s="2">
        <f>INDEX(AK11:AK856,1+MATCH(0,AL11:AL856,-1))</f>
        <v>1.64673</v>
      </c>
      <c r="AJ4" s="2"/>
      <c r="AK4" s="10">
        <f>INDEX(AL11:AL856,MATCH(AI4,AK11:AK856,0))</f>
        <v>-1.5070370370370367</v>
      </c>
      <c r="AL4" s="25">
        <f>AM3/(AI6*AL9)</f>
        <v>0.73952229606015063</v>
      </c>
      <c r="AM4" s="8" t="s">
        <v>17</v>
      </c>
      <c r="AP4" s="9"/>
      <c r="AQ4" s="2">
        <f>ABS(AS3-AS4)/ABS(AU3-AU4)*1000</f>
        <v>2.6988550311989155</v>
      </c>
      <c r="AR4" s="2"/>
      <c r="AS4" s="2">
        <f>INDEX(AU11:AU1000,1+MATCH(0,AV11:AV856,1))</f>
        <v>1.6287199999999999</v>
      </c>
      <c r="AT4" s="2"/>
      <c r="AU4" s="10">
        <f>INDEX(AV11:AV1056,MATCH(AS4,AU11:AU1056,0))</f>
        <v>1.3631234567901234</v>
      </c>
      <c r="AV4" s="25">
        <f>AW3/(AS6*AV9)</f>
        <v>0.75489505377137645</v>
      </c>
      <c r="AW4" s="8" t="s">
        <v>17</v>
      </c>
      <c r="AX4" s="9"/>
      <c r="AY4" s="2">
        <f>ABS(BA3-BA4)/ABS(BC3-BC4)*1000</f>
        <v>2.2827811953531221</v>
      </c>
      <c r="AZ4" s="2"/>
      <c r="BA4" s="2">
        <f>INDEX(BC11:BC856,1+MATCH(0,BD11:BD856,-1))</f>
        <v>1.64642</v>
      </c>
      <c r="BB4" s="2"/>
      <c r="BC4" s="10">
        <f>INDEX(BD11:BD856,MATCH(BA4,BC11:BC856,0))</f>
        <v>-1.4154938271604938</v>
      </c>
      <c r="BD4" s="25">
        <f>BE3/(BA6*BD9)</f>
        <v>0.74405613683625271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14.833086419753087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14.716296296296298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14.95358024691358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14.738888888888887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14.95358024691358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14.799135802469134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1.6287070929694605</v>
      </c>
      <c r="J6" s="25"/>
      <c r="K6" s="2">
        <f>INDEX(K11:K1056,MATCH(L6,L11:L1056,0))</f>
        <v>3.1402600000000002E-3</v>
      </c>
      <c r="L6" s="10">
        <f>INDEX(L11:L1056,MATCH(0,K11:K1056,-1))</f>
        <v>17.165185185185184</v>
      </c>
      <c r="M6" s="8" t="s">
        <v>22</v>
      </c>
      <c r="N6" s="9"/>
      <c r="O6" s="2"/>
      <c r="P6" s="2"/>
      <c r="Q6" s="27">
        <f>(Q3-Q4)/(S3-S4)*(-S4)+Q4</f>
        <v>1.6406265710031604</v>
      </c>
      <c r="R6" s="27"/>
      <c r="S6" s="2">
        <f>INDEX(S11:S1056,MATCH(T6,T11:T1056,0))</f>
        <v>-4.4342000000000001E-3</v>
      </c>
      <c r="T6" s="10">
        <f>INDEX(T11:T1056,MATCH(0,S11:S1056,1))</f>
        <v>17.176543209876542</v>
      </c>
      <c r="U6" s="8" t="s">
        <v>22</v>
      </c>
      <c r="X6" s="9"/>
      <c r="Y6" s="2"/>
      <c r="Z6" s="2"/>
      <c r="AA6" s="25">
        <f>(AA3-AA4)/(AC3-AC4)*(-AC4)+AA4</f>
        <v>1.6311287284194587</v>
      </c>
      <c r="AB6" s="25"/>
      <c r="AC6" s="2">
        <f>INDEX(AC11:AC1056,MATCH(AD6,AD11:AD1056,0))</f>
        <v>3.2714799999999998E-3</v>
      </c>
      <c r="AD6" s="10">
        <f>INDEX(AD11:AD1056,MATCH(0,AC11:AC1056,-1))</f>
        <v>17.195308641975309</v>
      </c>
      <c r="AE6" s="8" t="s">
        <v>22</v>
      </c>
      <c r="AF6" s="9"/>
      <c r="AG6" s="2"/>
      <c r="AH6" s="2"/>
      <c r="AI6" s="27">
        <f>(AI3-AI4)/(AK3-AK4)*(-AK4)+AI4</f>
        <v>1.6431685010234043</v>
      </c>
      <c r="AJ6" s="27"/>
      <c r="AK6" s="2">
        <f>INDEX(AK11:AK1056,MATCH(AL6,AL11:AL1056,0))</f>
        <v>-4.4860799999999999E-2</v>
      </c>
      <c r="AL6" s="10">
        <f>INDEX(AL11:AL1056,MATCH(0,AK11:AK1056,1))</f>
        <v>17.308395061728394</v>
      </c>
      <c r="AM6" s="8" t="s">
        <v>22</v>
      </c>
      <c r="AP6" s="9"/>
      <c r="AQ6" s="2"/>
      <c r="AR6" s="2"/>
      <c r="AS6" s="25">
        <f>(AS3-AS4)/(AU3-AU4)*(-AU4)+AS4</f>
        <v>1.6323988725995033</v>
      </c>
      <c r="AT6" s="25"/>
      <c r="AU6" s="2">
        <f>INDEX(AU11:AU1056,MATCH(AV6,AV11:AV1056,0))</f>
        <v>3.17688E-3</v>
      </c>
      <c r="AV6" s="10">
        <f>INDEX(AV11:AV1056,MATCH(0,AU11:AU1056,-1))</f>
        <v>17.142592592592592</v>
      </c>
      <c r="AW6" s="8" t="s">
        <v>22</v>
      </c>
      <c r="AX6" s="9"/>
      <c r="AY6" s="2"/>
      <c r="AZ6" s="2"/>
      <c r="BA6" s="27">
        <f>(BA3-BA4)/(BC3-BC4)*(-BC4)+BA4</f>
        <v>1.6431887373092195</v>
      </c>
      <c r="BB6" s="27"/>
      <c r="BC6" s="2">
        <f>INDEX(BC11:BC1056,MATCH(BD6,BD11:BD1056,0))</f>
        <v>-4.4464099999999996E-3</v>
      </c>
      <c r="BD6" s="10">
        <f>INDEX(BD11:BD1056,MATCH(0,BC11:BC1056,1))</f>
        <v>17.214197530864197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-1.85242E-3</v>
      </c>
      <c r="L7" s="10">
        <f>INDEX(L11:L856,1+MATCH(0,K11:K856,-1))</f>
        <v>17.180246913580245</v>
      </c>
      <c r="M7" s="12">
        <f>INDEX(K11:K1056,MATCH(M9,M11:M1056,0))</f>
        <v>1.41266</v>
      </c>
      <c r="N7" s="9"/>
      <c r="O7" s="2"/>
      <c r="P7" s="2"/>
      <c r="Q7" s="2"/>
      <c r="R7" s="2"/>
      <c r="S7" s="2">
        <f>INDEX(S11:S1056,MATCH(T7,T11:T1056,0))</f>
        <v>6.5002400000000002E-4</v>
      </c>
      <c r="T7" s="10">
        <f>INDEX(T11:T1056,1+MATCH(0,S11:S1056,1))</f>
        <v>17.157654320987653</v>
      </c>
      <c r="U7" s="12">
        <f>INDEX(S11:S1056,MATCH(U9,U11:U1056,0))</f>
        <v>1.4154100000000001</v>
      </c>
      <c r="X7" s="9"/>
      <c r="Y7" s="2"/>
      <c r="Z7" s="2"/>
      <c r="AA7" s="2"/>
      <c r="AB7" s="2"/>
      <c r="AC7" s="2">
        <f>INDEX(AC11:AC856,MATCH(AD7,AD11:AD856,1))</f>
        <v>-1.9073499999999999E-3</v>
      </c>
      <c r="AD7" s="10">
        <f>INDEX(AD11:AD856,1+MATCH(0,AC11:AC856,-1))</f>
        <v>17.202839506172836</v>
      </c>
      <c r="AE7" s="12">
        <f>INDEX(AC11:AC1056,MATCH(AE9,AE11:AE1056,0))</f>
        <v>1.41296</v>
      </c>
      <c r="AF7" s="9"/>
      <c r="AG7" s="2"/>
      <c r="AH7" s="2"/>
      <c r="AI7" s="2"/>
      <c r="AJ7" s="2"/>
      <c r="AK7" s="2">
        <f>INDEX(AK11:AK1056,MATCH(AL7,AL11:AL1056,0))</f>
        <v>6.2255899999999996E-4</v>
      </c>
      <c r="AL7" s="10">
        <f>INDEX(AL11:AL1056,1+MATCH(0,AK11:AK1056,1))</f>
        <v>17.293333333333333</v>
      </c>
      <c r="AM7" s="12">
        <f>INDEX(AK11:AK1056,MATCH(AM9,AM11:AM1056,0))</f>
        <v>1.4248700000000001</v>
      </c>
      <c r="AP7" s="9"/>
      <c r="AQ7" s="2"/>
      <c r="AR7" s="2"/>
      <c r="AS7" s="2"/>
      <c r="AT7" s="2"/>
      <c r="AU7" s="2">
        <f>INDEX(AU11:AU856,MATCH(AV7,AV11:AV856,1))</f>
        <v>-1.87378E-3</v>
      </c>
      <c r="AV7" s="10">
        <f>INDEX(AV11:AV856,1+MATCH(0,AU11:AU856,-1))</f>
        <v>17.153950617283947</v>
      </c>
      <c r="AW7" s="12">
        <f>INDEX(AU11:AU1056,MATCH(AW9,AW11:AW1056,0))</f>
        <v>1.41266</v>
      </c>
      <c r="AX7" s="9"/>
      <c r="AY7" s="2"/>
      <c r="AZ7" s="2"/>
      <c r="BA7" s="2"/>
      <c r="BB7" s="2"/>
      <c r="BC7" s="2">
        <f>INDEX(BC11:BC1056,MATCH(BD7,BD11:BD1056,0))</f>
        <v>5.3100599999999999E-4</v>
      </c>
      <c r="BD7" s="10">
        <f>INDEX(BD11:BD1056,1+MATCH(0,BC11:BC1056,1))</f>
        <v>17.195308641975309</v>
      </c>
      <c r="BE7" s="12">
        <f>INDEX(BC11:BC1056,MATCH(BE9,BE11:BE1056,0))</f>
        <v>1.42059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0.61607238214037063</v>
      </c>
      <c r="J9" s="2"/>
      <c r="K9" s="2"/>
      <c r="L9" s="3">
        <f>(L6-L7)/(K6-K7)*(-K7)+L7</f>
        <v>17.174658602910707</v>
      </c>
      <c r="M9" s="15">
        <f>MAX(M11:M1056)</f>
        <v>20.963156044444446</v>
      </c>
      <c r="N9" s="9"/>
      <c r="O9" s="2"/>
      <c r="P9" s="2"/>
      <c r="Q9" s="2"/>
      <c r="R9" s="2"/>
      <c r="S9" s="2"/>
      <c r="T9" s="3">
        <f>(T6-T7)/(S6-S7)*(-S7)+T7</f>
        <v>17.160069287580612</v>
      </c>
      <c r="U9" s="15">
        <f>MAX(U11:U1056)</f>
        <v>20.83400782962963</v>
      </c>
      <c r="X9" s="9"/>
      <c r="Y9" s="2"/>
      <c r="Z9" s="2"/>
      <c r="AA9" s="14">
        <f>(MAX(AD2,AL2)-MIN(AD2,AL2))/MAX(AD2,AL2)%</f>
        <v>0.56324630423691791</v>
      </c>
      <c r="AB9" s="2"/>
      <c r="AC9" s="2"/>
      <c r="AD9" s="3">
        <f>(AD6-AD7)/(AC6-AC7)*(-AC7)+AD7</f>
        <v>17.200065907922429</v>
      </c>
      <c r="AE9" s="15">
        <f>MAX(AE11:AE1056)</f>
        <v>21.133446355555556</v>
      </c>
      <c r="AF9" s="9"/>
      <c r="AG9" s="2"/>
      <c r="AH9" s="2"/>
      <c r="AI9" s="2"/>
      <c r="AJ9" s="2"/>
      <c r="AK9" s="2"/>
      <c r="AL9" s="3">
        <f>(AL6-AL7)/(AK6-AK7)*(-AK7)+AL7</f>
        <v>17.293539492569899</v>
      </c>
      <c r="AM9" s="15">
        <f>MAX(AM11:AM1056)</f>
        <v>21.014412999999998</v>
      </c>
      <c r="AP9" s="9"/>
      <c r="AQ9" s="2"/>
      <c r="AR9" s="2"/>
      <c r="AS9" s="14">
        <f>(MAX(AV2,BD2)-MIN(AV2,BD2))/MAX(AV2,BD2)%</f>
        <v>0.50902329126860246</v>
      </c>
      <c r="AT9" s="2"/>
      <c r="AU9" s="2"/>
      <c r="AV9" s="3">
        <f>(AV6-AV7)/(AU6-AU7)*(-AU7)+AV7</f>
        <v>17.149736823540916</v>
      </c>
      <c r="AW9" s="15">
        <f>MAX(AW11:AW1056)</f>
        <v>21.133446355555556</v>
      </c>
      <c r="AX9" s="9"/>
      <c r="AY9" s="2"/>
      <c r="AZ9" s="2"/>
      <c r="BA9" s="2"/>
      <c r="BB9" s="2"/>
      <c r="BC9" s="2"/>
      <c r="BD9" s="3">
        <f>(BD6-BD7)/(BC6-BC7)*(-BC7)+BD7</f>
        <v>17.197323766556686</v>
      </c>
      <c r="BE9" s="15">
        <f>MAX(BE11:BE1056)</f>
        <v>21.025872191358022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1.6287070929694605</v>
      </c>
      <c r="B11" s="18">
        <f>IFERROR(L9,0)</f>
        <v>17.174658602910707</v>
      </c>
      <c r="C11" s="19">
        <f>IFERROR(L4,0)</f>
        <v>0.74942049595991944</v>
      </c>
      <c r="D11" s="20">
        <f>IFERROR(L2,0)</f>
        <v>20.963156044444446</v>
      </c>
      <c r="E11" s="20">
        <f>IFERROR(I9,0)</f>
        <v>0.61607238214037063</v>
      </c>
      <c r="F11" s="9"/>
      <c r="G11" s="21">
        <v>1.6449</v>
      </c>
      <c r="H11" s="21">
        <v>5.2563899999999997</v>
      </c>
      <c r="I11" s="21">
        <v>6.7840599999999997E-3</v>
      </c>
      <c r="J11" s="21">
        <v>1</v>
      </c>
      <c r="K11" s="21">
        <v>1.64398</v>
      </c>
      <c r="L11">
        <f>-I11/$F$2*1000</f>
        <v>-8.3753827160493817</v>
      </c>
      <c r="M11">
        <f>L11*G11</f>
        <v>-13.776667029629628</v>
      </c>
      <c r="N11" s="9"/>
      <c r="O11" s="21">
        <v>-9.49097E-2</v>
      </c>
      <c r="P11" s="21">
        <v>8.7734500000000004</v>
      </c>
      <c r="Q11" s="21">
        <v>-1.40167E-2</v>
      </c>
      <c r="R11" s="21">
        <v>1</v>
      </c>
      <c r="S11" s="21">
        <v>-9.5367400000000005E-2</v>
      </c>
      <c r="T11">
        <f>-Q11/$F$2*1000</f>
        <v>17.304567901234567</v>
      </c>
      <c r="U11">
        <f>T11*O11</f>
        <v>-1.6423713481358024</v>
      </c>
      <c r="V11" s="22"/>
      <c r="W11" s="23"/>
      <c r="X11" s="9"/>
      <c r="Y11" s="21">
        <v>1.6449</v>
      </c>
      <c r="Z11" s="21">
        <v>14.015599999999999</v>
      </c>
      <c r="AA11" s="21">
        <v>5.4107699999999996E-3</v>
      </c>
      <c r="AB11" s="21">
        <v>1</v>
      </c>
      <c r="AC11" s="21">
        <v>1.64429</v>
      </c>
      <c r="AD11">
        <f>-AA11/$F$2*1000</f>
        <v>-6.6799629629629624</v>
      </c>
      <c r="AE11">
        <f>AD11*Y11</f>
        <v>-10.987871077777777</v>
      </c>
      <c r="AF11" s="9"/>
      <c r="AG11" s="21">
        <v>-9.49097E-2</v>
      </c>
      <c r="AH11" s="21">
        <v>17.532699999999998</v>
      </c>
      <c r="AI11" s="21">
        <v>-1.4080799999999999E-2</v>
      </c>
      <c r="AJ11" s="21">
        <v>1</v>
      </c>
      <c r="AK11" s="21">
        <v>-9.5367400000000005E-2</v>
      </c>
      <c r="AL11">
        <f>-AI11/$F$2*1000</f>
        <v>17.383703703703702</v>
      </c>
      <c r="AM11">
        <f>AL11*AG11</f>
        <v>-1.6498821034074072</v>
      </c>
      <c r="AP11" s="9"/>
      <c r="AQ11" s="21">
        <v>1.6449</v>
      </c>
      <c r="AR11" s="21">
        <v>22.773800000000001</v>
      </c>
      <c r="AS11" s="21">
        <v>4.9249300000000001E-3</v>
      </c>
      <c r="AT11" s="21">
        <v>1</v>
      </c>
      <c r="AU11" s="21">
        <v>1.64398</v>
      </c>
      <c r="AV11">
        <f>-AS11/$F$2*1000</f>
        <v>-6.0801604938271598</v>
      </c>
      <c r="AW11">
        <f>AV11*AQ11</f>
        <v>-10.001255996296296</v>
      </c>
      <c r="AX11" s="9"/>
      <c r="AY11" s="21">
        <v>-9.49097E-2</v>
      </c>
      <c r="AZ11" s="21">
        <v>26.291</v>
      </c>
      <c r="BA11" s="21">
        <v>-1.4031999999999999E-2</v>
      </c>
      <c r="BB11" s="21">
        <v>1</v>
      </c>
      <c r="BC11" s="21">
        <v>-9.5306399999999999E-2</v>
      </c>
      <c r="BD11">
        <f>-BA11/$F$2*1000</f>
        <v>17.323456790123455</v>
      </c>
      <c r="BE11">
        <f>BD11*AY11</f>
        <v>-1.6441640869135801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1.6406265710031604</v>
      </c>
      <c r="B12" s="18">
        <f>IFERROR(T9,0)</f>
        <v>17.160069287580612</v>
      </c>
      <c r="C12" s="19">
        <f>IFERROR(T4,0)</f>
        <v>0.7400210015021671</v>
      </c>
      <c r="D12" s="20">
        <f>IFERROR(T2,0)</f>
        <v>20.834007829629634</v>
      </c>
      <c r="E12" s="20"/>
      <c r="F12" s="9"/>
      <c r="G12" s="21">
        <v>1.6398600000000001</v>
      </c>
      <c r="H12" s="21">
        <v>5.26647</v>
      </c>
      <c r="I12" s="21">
        <v>4.1232300000000003E-3</v>
      </c>
      <c r="J12" s="21">
        <v>2</v>
      </c>
      <c r="K12" s="21">
        <v>1.63879</v>
      </c>
      <c r="L12">
        <f t="shared" ref="L12:L75" si="0">-I12/$F$2*1000</f>
        <v>-5.0904074074074073</v>
      </c>
      <c r="M12">
        <f t="shared" ref="M12:M75" si="1">L12*G12</f>
        <v>-8.3475554911111107</v>
      </c>
      <c r="N12" s="9"/>
      <c r="O12" s="21">
        <v>-8.9874300000000004E-2</v>
      </c>
      <c r="P12" s="21">
        <v>8.7835199999999993</v>
      </c>
      <c r="Q12" s="21">
        <v>-1.40015E-2</v>
      </c>
      <c r="R12" s="21">
        <v>2</v>
      </c>
      <c r="S12" s="21">
        <v>-9.0362499999999998E-2</v>
      </c>
      <c r="T12">
        <f t="shared" ref="T12:T75" si="2">-Q12/$F$2*1000</f>
        <v>17.285802469135803</v>
      </c>
      <c r="U12">
        <f t="shared" ref="U12:U75" si="3">T12*O12</f>
        <v>-1.5535493968518519</v>
      </c>
      <c r="V12" s="22"/>
      <c r="W12" s="23"/>
      <c r="X12" s="9"/>
      <c r="Y12" s="21">
        <v>1.6398600000000001</v>
      </c>
      <c r="Z12" s="21">
        <v>14.025700000000001</v>
      </c>
      <c r="AA12" s="21">
        <v>2.9885900000000002E-3</v>
      </c>
      <c r="AB12" s="21">
        <v>2</v>
      </c>
      <c r="AC12" s="21">
        <v>1.63879</v>
      </c>
      <c r="AD12">
        <f t="shared" ref="AD12:AD75" si="4">-AA12/$F$2*1000</f>
        <v>-3.6896172839506174</v>
      </c>
      <c r="AE12">
        <f t="shared" ref="AE12:AE75" si="5">AD12*Y12</f>
        <v>-6.05045579925926</v>
      </c>
      <c r="AF12" s="9"/>
      <c r="AG12" s="21">
        <v>-8.9874300000000004E-2</v>
      </c>
      <c r="AH12" s="21">
        <v>17.5427</v>
      </c>
      <c r="AI12" s="21">
        <v>-1.4071699999999999E-2</v>
      </c>
      <c r="AJ12" s="21">
        <v>2</v>
      </c>
      <c r="AK12" s="21">
        <v>-9.0393100000000004E-2</v>
      </c>
      <c r="AL12">
        <f t="shared" ref="AL12:AL75" si="6">-AI12/$F$2*1000</f>
        <v>17.372469135802469</v>
      </c>
      <c r="AM12">
        <f t="shared" ref="AM12:AM75" si="7">AL12*AG12</f>
        <v>-1.5613385028518518</v>
      </c>
      <c r="AP12" s="9"/>
      <c r="AQ12" s="21">
        <v>1.6398600000000001</v>
      </c>
      <c r="AR12" s="21">
        <v>22.783899999999999</v>
      </c>
      <c r="AS12" s="21">
        <v>2.5167800000000001E-3</v>
      </c>
      <c r="AT12" s="21">
        <v>2</v>
      </c>
      <c r="AU12" s="21">
        <v>1.63879</v>
      </c>
      <c r="AV12">
        <f t="shared" ref="AV12:AV75" si="8">-AS12/$F$2*1000</f>
        <v>-3.107135802469136</v>
      </c>
      <c r="AW12">
        <f t="shared" ref="AW12:AW75" si="9">AV12*AQ12</f>
        <v>-5.0952677170370375</v>
      </c>
      <c r="AX12" s="9"/>
      <c r="AY12" s="21">
        <v>-8.9874300000000004E-2</v>
      </c>
      <c r="AZ12" s="21">
        <v>26.300999999999998</v>
      </c>
      <c r="BA12" s="21">
        <v>-1.4035000000000001E-2</v>
      </c>
      <c r="BB12" s="21">
        <v>2</v>
      </c>
      <c r="BC12" s="21">
        <v>-9.0240500000000001E-2</v>
      </c>
      <c r="BD12">
        <f t="shared" ref="BD12:BD75" si="10">-BA12/$F$2*1000</f>
        <v>17.327160493827162</v>
      </c>
      <c r="BE12">
        <f t="shared" ref="BE12:BE75" si="11">BD12*AY12</f>
        <v>-1.5572664203703706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1.6311287284194587</v>
      </c>
      <c r="B13" s="18">
        <f>IFERROR(AD9,0)</f>
        <v>17.200065907922429</v>
      </c>
      <c r="C13" s="19">
        <f>IFERROR(AD4,0)</f>
        <v>0.75327226604145125</v>
      </c>
      <c r="D13" s="20">
        <f>IFERROR(AD2,0)</f>
        <v>21.133446355555556</v>
      </c>
      <c r="E13" s="20">
        <f>IFERROR(AA9,0)</f>
        <v>0.56324630423691791</v>
      </c>
      <c r="F13" s="9"/>
      <c r="G13" s="21">
        <v>1.63483</v>
      </c>
      <c r="H13" s="21">
        <v>5.2765399999999998</v>
      </c>
      <c r="I13" s="21">
        <v>1.8691999999999999E-3</v>
      </c>
      <c r="J13" s="21">
        <v>3</v>
      </c>
      <c r="K13" s="21">
        <v>1.63422</v>
      </c>
      <c r="L13">
        <f t="shared" si="0"/>
        <v>-2.3076543209876541</v>
      </c>
      <c r="M13">
        <f t="shared" si="1"/>
        <v>-3.7726225135802465</v>
      </c>
      <c r="N13" s="9"/>
      <c r="O13" s="21">
        <v>-8.4838899999999995E-2</v>
      </c>
      <c r="P13" s="21">
        <v>8.79359</v>
      </c>
      <c r="Q13" s="21">
        <v>-1.3998399999999999E-2</v>
      </c>
      <c r="R13" s="21">
        <v>3</v>
      </c>
      <c r="S13" s="21">
        <v>-8.5266099999999997E-2</v>
      </c>
      <c r="T13">
        <f t="shared" si="2"/>
        <v>17.281975308641975</v>
      </c>
      <c r="U13">
        <f t="shared" si="3"/>
        <v>-1.4661837750123456</v>
      </c>
      <c r="V13" s="22"/>
      <c r="W13" s="23"/>
      <c r="X13" s="9"/>
      <c r="Y13" s="21">
        <v>1.63483</v>
      </c>
      <c r="Z13" s="21">
        <v>14.0357</v>
      </c>
      <c r="AA13" s="21">
        <v>1.0101299999999999E-3</v>
      </c>
      <c r="AB13" s="21">
        <v>3</v>
      </c>
      <c r="AC13" s="21">
        <v>1.63452</v>
      </c>
      <c r="AD13">
        <f t="shared" si="4"/>
        <v>-1.2470740740740738</v>
      </c>
      <c r="AE13">
        <f t="shared" si="5"/>
        <v>-2.0387541085185181</v>
      </c>
      <c r="AF13" s="9"/>
      <c r="AG13" s="21">
        <v>-8.4838899999999995E-2</v>
      </c>
      <c r="AH13" s="21">
        <v>17.552800000000001</v>
      </c>
      <c r="AI13" s="21">
        <v>-1.40594E-2</v>
      </c>
      <c r="AJ13" s="21">
        <v>3</v>
      </c>
      <c r="AK13" s="21">
        <v>-8.5235599999999995E-2</v>
      </c>
      <c r="AL13">
        <f t="shared" si="6"/>
        <v>17.357283950617283</v>
      </c>
      <c r="AM13">
        <f t="shared" si="7"/>
        <v>-1.4725728773580244</v>
      </c>
      <c r="AP13" s="9"/>
      <c r="AQ13" s="21">
        <v>1.63483</v>
      </c>
      <c r="AR13" s="21">
        <v>22.794</v>
      </c>
      <c r="AS13" s="21">
        <v>5.4657000000000002E-4</v>
      </c>
      <c r="AT13" s="21">
        <v>3</v>
      </c>
      <c r="AU13" s="21">
        <v>1.63422</v>
      </c>
      <c r="AV13">
        <f t="shared" si="8"/>
        <v>-0.6747777777777777</v>
      </c>
      <c r="AW13">
        <f t="shared" si="9"/>
        <v>-1.1031469544444443</v>
      </c>
      <c r="AX13" s="9"/>
      <c r="AY13" s="21">
        <v>-8.4838899999999995E-2</v>
      </c>
      <c r="AZ13" s="21">
        <v>26.3111</v>
      </c>
      <c r="BA13" s="21">
        <v>-1.4031999999999999E-2</v>
      </c>
      <c r="BB13" s="21">
        <v>3</v>
      </c>
      <c r="BC13" s="21">
        <v>-8.5205100000000006E-2</v>
      </c>
      <c r="BD13">
        <f t="shared" si="10"/>
        <v>17.323456790123455</v>
      </c>
      <c r="BE13">
        <f t="shared" si="11"/>
        <v>-1.4697030182716047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1.6431685010234043</v>
      </c>
      <c r="B14" s="18">
        <f>IFERROR(AL9,0)</f>
        <v>17.293539492569899</v>
      </c>
      <c r="C14" s="19">
        <f>IFERROR(AL4,0)</f>
        <v>0.73952229606015063</v>
      </c>
      <c r="D14" s="20">
        <f>IFERROR(AL2,0)</f>
        <v>21.014412999999998</v>
      </c>
      <c r="E14" s="20"/>
      <c r="F14" s="9"/>
      <c r="G14" s="21">
        <v>1.6297900000000001</v>
      </c>
      <c r="H14" s="21">
        <v>5.2866099999999996</v>
      </c>
      <c r="I14" s="24">
        <v>4.2724599999999999E-6</v>
      </c>
      <c r="J14" s="21">
        <v>4</v>
      </c>
      <c r="K14" s="21">
        <v>1.6287199999999999</v>
      </c>
      <c r="L14">
        <f t="shared" si="0"/>
        <v>-5.2746419753086421E-3</v>
      </c>
      <c r="M14">
        <f t="shared" si="1"/>
        <v>-8.5965587449382715E-3</v>
      </c>
      <c r="N14" s="9"/>
      <c r="O14" s="21">
        <v>-7.9803499999999999E-2</v>
      </c>
      <c r="P14" s="21">
        <v>8.8036700000000003</v>
      </c>
      <c r="Q14" s="21">
        <v>-1.39954E-2</v>
      </c>
      <c r="R14" s="21">
        <v>4</v>
      </c>
      <c r="S14" s="21">
        <v>-8.0261200000000005E-2</v>
      </c>
      <c r="T14">
        <f t="shared" si="2"/>
        <v>17.278271604938272</v>
      </c>
      <c r="U14">
        <f t="shared" si="3"/>
        <v>-1.3788665480246913</v>
      </c>
      <c r="V14" s="22"/>
      <c r="W14" s="23"/>
      <c r="X14" s="9"/>
      <c r="Y14" s="21">
        <v>1.6297900000000001</v>
      </c>
      <c r="Z14" s="21">
        <v>14.0458</v>
      </c>
      <c r="AA14" s="21">
        <v>-7.1746799999999997E-4</v>
      </c>
      <c r="AB14" s="21">
        <v>4</v>
      </c>
      <c r="AC14" s="21">
        <v>1.6287199999999999</v>
      </c>
      <c r="AD14">
        <f t="shared" si="4"/>
        <v>0.88576296296296286</v>
      </c>
      <c r="AE14">
        <f t="shared" si="5"/>
        <v>1.4436076194074072</v>
      </c>
      <c r="AF14" s="9"/>
      <c r="AG14" s="21">
        <v>-7.9803499999999999E-2</v>
      </c>
      <c r="AH14" s="21">
        <v>17.562899999999999</v>
      </c>
      <c r="AI14" s="21">
        <v>-1.4053299999999999E-2</v>
      </c>
      <c r="AJ14" s="21">
        <v>4</v>
      </c>
      <c r="AK14" s="21">
        <v>-8.0322299999999999E-2</v>
      </c>
      <c r="AL14">
        <f t="shared" si="6"/>
        <v>17.349753086419753</v>
      </c>
      <c r="AM14">
        <f t="shared" si="7"/>
        <v>-1.3845710204320987</v>
      </c>
      <c r="AP14" s="9"/>
      <c r="AQ14" s="21">
        <v>1.6297900000000001</v>
      </c>
      <c r="AR14" s="21">
        <v>22.803999999999998</v>
      </c>
      <c r="AS14" s="21">
        <v>-1.10413E-3</v>
      </c>
      <c r="AT14" s="21">
        <v>4</v>
      </c>
      <c r="AU14" s="21">
        <v>1.6287199999999999</v>
      </c>
      <c r="AV14">
        <f t="shared" si="8"/>
        <v>1.3631234567901234</v>
      </c>
      <c r="AW14">
        <f t="shared" si="9"/>
        <v>2.2216049786419751</v>
      </c>
      <c r="AX14" s="9"/>
      <c r="AY14" s="21">
        <v>-7.9803499999999999E-2</v>
      </c>
      <c r="AZ14" s="21">
        <v>26.321200000000001</v>
      </c>
      <c r="BA14" s="21">
        <v>-1.4031999999999999E-2</v>
      </c>
      <c r="BB14" s="21">
        <v>4</v>
      </c>
      <c r="BC14" s="21">
        <v>-8.0230700000000002E-2</v>
      </c>
      <c r="BD14">
        <f t="shared" si="10"/>
        <v>17.323456790123455</v>
      </c>
      <c r="BE14">
        <f t="shared" si="11"/>
        <v>-1.3824724839506171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1.6323988725995033</v>
      </c>
      <c r="B15" s="18">
        <f>IFERROR(AV9,0)</f>
        <v>17.149736823540916</v>
      </c>
      <c r="C15" s="19">
        <f>IFERROR(AV4,0)</f>
        <v>0.75489505377137645</v>
      </c>
      <c r="D15" s="20">
        <f>IFERROR(AV2,0)</f>
        <v>21.133446355555556</v>
      </c>
      <c r="E15" s="20">
        <f>IFERROR(AS9,0)</f>
        <v>0.50902329126860246</v>
      </c>
      <c r="F15" s="9"/>
      <c r="G15" s="21">
        <v>1.62476</v>
      </c>
      <c r="H15" s="21">
        <v>5.2966800000000003</v>
      </c>
      <c r="I15" s="21">
        <v>-1.50848E-3</v>
      </c>
      <c r="J15" s="21">
        <v>5</v>
      </c>
      <c r="K15" s="21">
        <v>1.62415</v>
      </c>
      <c r="L15">
        <f t="shared" si="0"/>
        <v>1.8623209876543207</v>
      </c>
      <c r="M15">
        <f t="shared" si="1"/>
        <v>3.0258246479012341</v>
      </c>
      <c r="N15" s="9"/>
      <c r="O15" s="21">
        <v>-7.4768100000000004E-2</v>
      </c>
      <c r="P15" s="21">
        <v>8.8137399999999992</v>
      </c>
      <c r="Q15" s="21">
        <v>-1.3992299999999999E-2</v>
      </c>
      <c r="R15" s="21">
        <v>5</v>
      </c>
      <c r="S15" s="21">
        <v>-7.5225799999999995E-2</v>
      </c>
      <c r="T15">
        <f t="shared" si="2"/>
        <v>17.274444444444445</v>
      </c>
      <c r="U15">
        <f t="shared" si="3"/>
        <v>-1.2915773896666667</v>
      </c>
      <c r="V15" s="22"/>
      <c r="W15" s="23"/>
      <c r="X15" s="9"/>
      <c r="Y15" s="21">
        <v>1.62476</v>
      </c>
      <c r="Z15" s="21">
        <v>14.055899999999999</v>
      </c>
      <c r="AA15" s="21">
        <v>-2.09442E-3</v>
      </c>
      <c r="AB15" s="21">
        <v>5</v>
      </c>
      <c r="AC15" s="21">
        <v>1.62415</v>
      </c>
      <c r="AD15">
        <f t="shared" si="4"/>
        <v>2.5857037037037038</v>
      </c>
      <c r="AE15">
        <f t="shared" si="5"/>
        <v>4.2011479496296298</v>
      </c>
      <c r="AF15" s="9"/>
      <c r="AG15" s="21">
        <v>-7.4768100000000004E-2</v>
      </c>
      <c r="AH15" s="21">
        <v>17.572900000000001</v>
      </c>
      <c r="AI15" s="21">
        <v>-1.40503E-2</v>
      </c>
      <c r="AJ15" s="21">
        <v>5</v>
      </c>
      <c r="AK15" s="21">
        <v>-7.5164800000000004E-2</v>
      </c>
      <c r="AL15">
        <f t="shared" si="6"/>
        <v>17.34604938271605</v>
      </c>
      <c r="AM15">
        <f t="shared" si="7"/>
        <v>-1.2969311548518518</v>
      </c>
      <c r="AP15" s="9"/>
      <c r="AQ15" s="21">
        <v>1.62476</v>
      </c>
      <c r="AR15" s="21">
        <v>22.8141</v>
      </c>
      <c r="AS15" s="21">
        <v>-2.3870800000000002E-3</v>
      </c>
      <c r="AT15" s="21">
        <v>5</v>
      </c>
      <c r="AU15" s="21">
        <v>1.62354</v>
      </c>
      <c r="AV15">
        <f t="shared" si="8"/>
        <v>2.9470123456790125</v>
      </c>
      <c r="AW15">
        <f t="shared" si="9"/>
        <v>4.7881877787654323</v>
      </c>
      <c r="AX15" s="9"/>
      <c r="AY15" s="21">
        <v>-7.4768100000000004E-2</v>
      </c>
      <c r="AZ15" s="21">
        <v>26.331199999999999</v>
      </c>
      <c r="BA15" s="21">
        <v>-1.40289E-2</v>
      </c>
      <c r="BB15" s="21">
        <v>5</v>
      </c>
      <c r="BC15" s="21">
        <v>-7.5134300000000001E-2</v>
      </c>
      <c r="BD15">
        <f t="shared" si="10"/>
        <v>17.319629629629631</v>
      </c>
      <c r="BE15">
        <f t="shared" si="11"/>
        <v>-1.2949558001111112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1.6431887373092195</v>
      </c>
      <c r="B16" s="18">
        <f>IFERROR(BD9,0)</f>
        <v>17.197323766556686</v>
      </c>
      <c r="C16" s="19">
        <f>IFERROR(BD4,0)</f>
        <v>0.74405613683625271</v>
      </c>
      <c r="D16" s="20">
        <f>IFERROR(BD2,0)</f>
        <v>21.025872191358022</v>
      </c>
      <c r="E16" s="20"/>
      <c r="F16" s="9"/>
      <c r="G16" s="21">
        <v>1.61972</v>
      </c>
      <c r="H16" s="21">
        <v>5.3067500000000001</v>
      </c>
      <c r="I16" s="21">
        <v>-2.7645899999999999E-3</v>
      </c>
      <c r="J16" s="21">
        <v>6</v>
      </c>
      <c r="K16" s="21">
        <v>1.6186499999999999</v>
      </c>
      <c r="L16">
        <f t="shared" si="0"/>
        <v>3.4130740740740735</v>
      </c>
      <c r="M16">
        <f t="shared" si="1"/>
        <v>5.5282243392592587</v>
      </c>
      <c r="N16" s="9"/>
      <c r="O16" s="21">
        <v>-6.9732699999999995E-2</v>
      </c>
      <c r="P16" s="21">
        <v>8.8238099999999999</v>
      </c>
      <c r="Q16" s="21">
        <v>-1.3986200000000001E-2</v>
      </c>
      <c r="R16" s="21">
        <v>6</v>
      </c>
      <c r="S16" s="21">
        <v>-7.0159899999999997E-2</v>
      </c>
      <c r="T16">
        <f t="shared" si="2"/>
        <v>17.266913580246914</v>
      </c>
      <c r="U16">
        <f t="shared" si="3"/>
        <v>-1.2040685046172839</v>
      </c>
      <c r="V16" s="22"/>
      <c r="W16" s="23"/>
      <c r="X16" s="9"/>
      <c r="Y16" s="21">
        <v>1.61972</v>
      </c>
      <c r="Z16" s="21">
        <v>14.066000000000001</v>
      </c>
      <c r="AA16" s="21">
        <v>-3.2315099999999999E-3</v>
      </c>
      <c r="AB16" s="21">
        <v>6</v>
      </c>
      <c r="AC16" s="21">
        <v>1.61835</v>
      </c>
      <c r="AD16">
        <f t="shared" si="4"/>
        <v>3.9895185185185182</v>
      </c>
      <c r="AE16">
        <f t="shared" si="5"/>
        <v>6.4619029348148143</v>
      </c>
      <c r="AF16" s="9"/>
      <c r="AG16" s="21">
        <v>-6.9732699999999995E-2</v>
      </c>
      <c r="AH16" s="21">
        <v>17.582999999999998</v>
      </c>
      <c r="AI16" s="21">
        <v>-1.40503E-2</v>
      </c>
      <c r="AJ16" s="21">
        <v>6</v>
      </c>
      <c r="AK16" s="21">
        <v>-7.0220900000000003E-2</v>
      </c>
      <c r="AL16">
        <f t="shared" si="6"/>
        <v>17.34604938271605</v>
      </c>
      <c r="AM16">
        <f t="shared" si="7"/>
        <v>-1.2095868577901234</v>
      </c>
      <c r="AP16" s="9"/>
      <c r="AQ16" s="21">
        <v>1.61972</v>
      </c>
      <c r="AR16" s="21">
        <v>22.824200000000001</v>
      </c>
      <c r="AS16" s="21">
        <v>-3.47351E-3</v>
      </c>
      <c r="AT16" s="21">
        <v>6</v>
      </c>
      <c r="AU16" s="21">
        <v>1.6186499999999999</v>
      </c>
      <c r="AV16">
        <f t="shared" si="8"/>
        <v>4.2882839506172843</v>
      </c>
      <c r="AW16">
        <f t="shared" si="9"/>
        <v>6.9458192804938284</v>
      </c>
      <c r="AX16" s="9"/>
      <c r="AY16" s="21">
        <v>-6.9732699999999995E-2</v>
      </c>
      <c r="AZ16" s="21">
        <v>26.3413</v>
      </c>
      <c r="BA16" s="21">
        <v>-1.4019800000000001E-2</v>
      </c>
      <c r="BB16" s="21">
        <v>6</v>
      </c>
      <c r="BC16" s="21">
        <v>-7.0220900000000003E-2</v>
      </c>
      <c r="BD16">
        <f t="shared" si="10"/>
        <v>17.308395061728394</v>
      </c>
      <c r="BE16">
        <f t="shared" si="11"/>
        <v>-1.2069611203209876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1.61469</v>
      </c>
      <c r="H17" s="21">
        <v>5.3168199999999999</v>
      </c>
      <c r="I17" s="21">
        <v>-3.78174E-3</v>
      </c>
      <c r="J17" s="21">
        <v>7</v>
      </c>
      <c r="K17" s="21">
        <v>1.6140699999999999</v>
      </c>
      <c r="L17">
        <f t="shared" si="0"/>
        <v>4.668814814814815</v>
      </c>
      <c r="M17">
        <f t="shared" si="1"/>
        <v>7.5386885933333332</v>
      </c>
      <c r="N17" s="9"/>
      <c r="O17" s="21">
        <v>-6.4697299999999999E-2</v>
      </c>
      <c r="P17" s="21">
        <v>8.8338800000000006</v>
      </c>
      <c r="Q17" s="21">
        <v>-1.3986200000000001E-2</v>
      </c>
      <c r="R17" s="21">
        <v>7</v>
      </c>
      <c r="S17" s="21">
        <v>-6.5185499999999993E-2</v>
      </c>
      <c r="T17">
        <f t="shared" si="2"/>
        <v>17.266913580246914</v>
      </c>
      <c r="U17">
        <f t="shared" si="3"/>
        <v>-1.1171226879753087</v>
      </c>
      <c r="V17" s="22"/>
      <c r="W17" s="23"/>
      <c r="X17" s="9"/>
      <c r="Y17" s="21">
        <v>1.61469</v>
      </c>
      <c r="Z17" s="21">
        <v>14.076000000000001</v>
      </c>
      <c r="AA17" s="21">
        <v>-4.1308600000000001E-3</v>
      </c>
      <c r="AB17" s="21">
        <v>7</v>
      </c>
      <c r="AC17" s="21">
        <v>1.6137699999999999</v>
      </c>
      <c r="AD17">
        <f t="shared" si="4"/>
        <v>5.0998271604938266</v>
      </c>
      <c r="AE17">
        <f t="shared" si="5"/>
        <v>8.2346399177777769</v>
      </c>
      <c r="AF17" s="9"/>
      <c r="AG17" s="21">
        <v>-6.4697299999999999E-2</v>
      </c>
      <c r="AH17" s="21">
        <v>17.5931</v>
      </c>
      <c r="AI17" s="21">
        <v>-1.40503E-2</v>
      </c>
      <c r="AJ17" s="21">
        <v>7</v>
      </c>
      <c r="AK17" s="21">
        <v>-6.5093999999999999E-2</v>
      </c>
      <c r="AL17">
        <f t="shared" si="6"/>
        <v>17.34604938271605</v>
      </c>
      <c r="AM17">
        <f t="shared" si="7"/>
        <v>-1.122242560728395</v>
      </c>
      <c r="AP17" s="9"/>
      <c r="AQ17" s="21">
        <v>1.61469</v>
      </c>
      <c r="AR17" s="21">
        <v>22.834199999999999</v>
      </c>
      <c r="AS17" s="21">
        <v>-4.34937E-3</v>
      </c>
      <c r="AT17" s="21">
        <v>7</v>
      </c>
      <c r="AU17" s="21">
        <v>1.6131599999999999</v>
      </c>
      <c r="AV17">
        <f t="shared" si="8"/>
        <v>5.3695925925925927</v>
      </c>
      <c r="AW17">
        <f t="shared" si="9"/>
        <v>8.6702274633333332</v>
      </c>
      <c r="AX17" s="9"/>
      <c r="AY17" s="21">
        <v>-6.4697299999999999E-2</v>
      </c>
      <c r="AZ17" s="21">
        <v>26.351400000000002</v>
      </c>
      <c r="BA17" s="21">
        <v>-1.40137E-2</v>
      </c>
      <c r="BB17" s="21">
        <v>7</v>
      </c>
      <c r="BC17" s="21">
        <v>-6.5124500000000002E-2</v>
      </c>
      <c r="BD17">
        <f t="shared" si="10"/>
        <v>17.300864197530863</v>
      </c>
      <c r="BE17">
        <f t="shared" si="11"/>
        <v>-1.1193192012469135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1.60965</v>
      </c>
      <c r="H18" s="21">
        <v>5.3268899999999997</v>
      </c>
      <c r="I18" s="21">
        <v>-4.6478300000000004E-3</v>
      </c>
      <c r="J18" s="21">
        <v>8</v>
      </c>
      <c r="K18" s="21">
        <v>1.6091899999999999</v>
      </c>
      <c r="L18">
        <f t="shared" si="0"/>
        <v>5.7380617283950626</v>
      </c>
      <c r="M18">
        <f t="shared" si="1"/>
        <v>9.236271061111113</v>
      </c>
      <c r="N18" s="9"/>
      <c r="O18" s="21">
        <v>-5.9661899999999997E-2</v>
      </c>
      <c r="P18" s="21">
        <v>8.8439499999999995</v>
      </c>
      <c r="Q18" s="21">
        <v>-1.39893E-2</v>
      </c>
      <c r="R18" s="21">
        <v>8</v>
      </c>
      <c r="S18" s="21">
        <v>-6.0150099999999998E-2</v>
      </c>
      <c r="T18">
        <f t="shared" si="2"/>
        <v>17.270740740740738</v>
      </c>
      <c r="U18">
        <f t="shared" si="3"/>
        <v>-1.0304052069999998</v>
      </c>
      <c r="V18" s="22"/>
      <c r="W18" s="23"/>
      <c r="X18" s="9"/>
      <c r="Y18" s="21">
        <v>1.60965</v>
      </c>
      <c r="Z18" s="21">
        <v>14.0861</v>
      </c>
      <c r="AA18" s="21">
        <v>-4.9252300000000001E-3</v>
      </c>
      <c r="AB18" s="21">
        <v>8</v>
      </c>
      <c r="AC18" s="21">
        <v>1.6091899999999999</v>
      </c>
      <c r="AD18">
        <f t="shared" si="4"/>
        <v>6.08053086419753</v>
      </c>
      <c r="AE18">
        <f t="shared" si="5"/>
        <v>9.7875265055555545</v>
      </c>
      <c r="AF18" s="9"/>
      <c r="AG18" s="21">
        <v>-5.9661899999999997E-2</v>
      </c>
      <c r="AH18" s="21">
        <v>17.603200000000001</v>
      </c>
      <c r="AI18" s="21">
        <v>-1.40442E-2</v>
      </c>
      <c r="AJ18" s="21">
        <v>8</v>
      </c>
      <c r="AK18" s="21">
        <v>-6.0119600000000002E-2</v>
      </c>
      <c r="AL18">
        <f t="shared" si="6"/>
        <v>17.338518518518516</v>
      </c>
      <c r="AM18">
        <f t="shared" si="7"/>
        <v>-1.0344489579999998</v>
      </c>
      <c r="AP18" s="9"/>
      <c r="AQ18" s="21">
        <v>1.60965</v>
      </c>
      <c r="AR18" s="21">
        <v>22.8443</v>
      </c>
      <c r="AS18" s="21">
        <v>-5.1361100000000002E-3</v>
      </c>
      <c r="AT18" s="21">
        <v>8</v>
      </c>
      <c r="AU18" s="21">
        <v>1.6085799999999999</v>
      </c>
      <c r="AV18">
        <f t="shared" si="8"/>
        <v>6.3408765432098759</v>
      </c>
      <c r="AW18">
        <f t="shared" si="9"/>
        <v>10.206591927777778</v>
      </c>
      <c r="AX18" s="9"/>
      <c r="AY18" s="21">
        <v>-5.9661899999999997E-2</v>
      </c>
      <c r="AZ18" s="21">
        <v>26.361499999999999</v>
      </c>
      <c r="BA18" s="21">
        <v>-1.40106E-2</v>
      </c>
      <c r="BB18" s="21">
        <v>8</v>
      </c>
      <c r="BC18" s="21">
        <v>-6.0180699999999997E-2</v>
      </c>
      <c r="BD18">
        <f t="shared" si="10"/>
        <v>17.297037037037036</v>
      </c>
      <c r="BE18">
        <f t="shared" si="11"/>
        <v>-1.031974094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1.6046100000000001</v>
      </c>
      <c r="H19" s="21">
        <v>5.3369600000000004</v>
      </c>
      <c r="I19" s="21">
        <v>-5.3619399999999999E-3</v>
      </c>
      <c r="J19" s="21">
        <v>9</v>
      </c>
      <c r="K19" s="21">
        <v>1.6040000000000001</v>
      </c>
      <c r="L19">
        <f t="shared" si="0"/>
        <v>6.6196790123456779</v>
      </c>
      <c r="M19">
        <f t="shared" si="1"/>
        <v>10.622003139999999</v>
      </c>
      <c r="N19" s="9"/>
      <c r="O19" s="21">
        <v>-5.4626500000000001E-2</v>
      </c>
      <c r="P19" s="21">
        <v>8.8540200000000002</v>
      </c>
      <c r="Q19" s="21">
        <v>-1.3980100000000001E-2</v>
      </c>
      <c r="R19" s="21">
        <v>9</v>
      </c>
      <c r="S19" s="21">
        <v>-5.5023200000000001E-2</v>
      </c>
      <c r="T19">
        <f t="shared" si="2"/>
        <v>17.259382716049384</v>
      </c>
      <c r="U19">
        <f t="shared" si="3"/>
        <v>-0.94281966993827171</v>
      </c>
      <c r="V19" s="22"/>
      <c r="W19" s="23"/>
      <c r="X19" s="9"/>
      <c r="Y19" s="21">
        <v>1.6046100000000001</v>
      </c>
      <c r="Z19" s="21">
        <v>14.0962</v>
      </c>
      <c r="AA19" s="21">
        <v>-5.56946E-3</v>
      </c>
      <c r="AB19" s="21">
        <v>9</v>
      </c>
      <c r="AC19" s="21">
        <v>1.6036999999999999</v>
      </c>
      <c r="AD19">
        <f t="shared" si="4"/>
        <v>6.8758765432098761</v>
      </c>
      <c r="AE19">
        <f t="shared" si="5"/>
        <v>11.033100259999999</v>
      </c>
      <c r="AF19" s="9"/>
      <c r="AG19" s="21">
        <v>-5.4626500000000001E-2</v>
      </c>
      <c r="AH19" s="21">
        <v>17.613199999999999</v>
      </c>
      <c r="AI19" s="21">
        <v>-1.4035000000000001E-2</v>
      </c>
      <c r="AJ19" s="21">
        <v>9</v>
      </c>
      <c r="AK19" s="21">
        <v>-5.5114700000000003E-2</v>
      </c>
      <c r="AL19">
        <f t="shared" si="6"/>
        <v>17.327160493827162</v>
      </c>
      <c r="AM19">
        <f t="shared" si="7"/>
        <v>-0.94652213271604946</v>
      </c>
      <c r="AP19" s="9"/>
      <c r="AQ19" s="21">
        <v>1.6046100000000001</v>
      </c>
      <c r="AR19" s="21">
        <v>22.854399999999998</v>
      </c>
      <c r="AS19" s="21">
        <v>-5.7922399999999997E-3</v>
      </c>
      <c r="AT19" s="21">
        <v>9</v>
      </c>
      <c r="AU19" s="21">
        <v>1.6033900000000001</v>
      </c>
      <c r="AV19">
        <f t="shared" si="8"/>
        <v>7.1509135802469128</v>
      </c>
      <c r="AW19">
        <f t="shared" si="9"/>
        <v>11.474427439999999</v>
      </c>
      <c r="AX19" s="9"/>
      <c r="AY19" s="21">
        <v>-5.4626500000000001E-2</v>
      </c>
      <c r="AZ19" s="21">
        <v>26.371500000000001</v>
      </c>
      <c r="BA19" s="21">
        <v>-1.40167E-2</v>
      </c>
      <c r="BB19" s="21">
        <v>9</v>
      </c>
      <c r="BC19" s="21">
        <v>-5.5145300000000001E-2</v>
      </c>
      <c r="BD19">
        <f t="shared" si="10"/>
        <v>17.304567901234567</v>
      </c>
      <c r="BE19">
        <f t="shared" si="11"/>
        <v>-0.94528797845679002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1.59958</v>
      </c>
      <c r="H20" s="21">
        <v>5.3470300000000002</v>
      </c>
      <c r="I20" s="21">
        <v>-5.9783900000000001E-3</v>
      </c>
      <c r="J20" s="21">
        <v>10</v>
      </c>
      <c r="K20" s="21">
        <v>1.5991200000000001</v>
      </c>
      <c r="L20">
        <f t="shared" si="0"/>
        <v>7.3807283950617277</v>
      </c>
      <c r="M20">
        <f t="shared" si="1"/>
        <v>11.806065526172839</v>
      </c>
      <c r="N20" s="9"/>
      <c r="O20" s="21">
        <v>-4.9591099999999999E-2</v>
      </c>
      <c r="P20" s="21">
        <v>8.8640899999999991</v>
      </c>
      <c r="Q20" s="21">
        <v>-1.39618E-2</v>
      </c>
      <c r="R20" s="21">
        <v>10</v>
      </c>
      <c r="S20" s="21">
        <v>-5.0170899999999997E-2</v>
      </c>
      <c r="T20">
        <f t="shared" si="2"/>
        <v>17.236790123456789</v>
      </c>
      <c r="U20">
        <f t="shared" si="3"/>
        <v>-0.8547913826913579</v>
      </c>
      <c r="V20" s="22"/>
      <c r="W20" s="23"/>
      <c r="X20" s="9"/>
      <c r="Y20" s="21">
        <v>1.59958</v>
      </c>
      <c r="Z20" s="21">
        <v>14.106199999999999</v>
      </c>
      <c r="AA20" s="21">
        <v>-6.1675999999999996E-3</v>
      </c>
      <c r="AB20" s="21">
        <v>10</v>
      </c>
      <c r="AC20" s="21">
        <v>1.5988199999999999</v>
      </c>
      <c r="AD20">
        <f t="shared" si="4"/>
        <v>7.6143209876543203</v>
      </c>
      <c r="AE20">
        <f t="shared" si="5"/>
        <v>12.179715565432097</v>
      </c>
      <c r="AF20" s="9"/>
      <c r="AG20" s="21">
        <v>-4.9591099999999999E-2</v>
      </c>
      <c r="AH20" s="21">
        <v>17.6233</v>
      </c>
      <c r="AI20" s="21">
        <v>-1.4025900000000001E-2</v>
      </c>
      <c r="AJ20" s="21">
        <v>10</v>
      </c>
      <c r="AK20" s="21">
        <v>-5.0018300000000002E-2</v>
      </c>
      <c r="AL20">
        <f t="shared" si="6"/>
        <v>17.315925925925924</v>
      </c>
      <c r="AM20">
        <f t="shared" si="7"/>
        <v>-0.85871581418518506</v>
      </c>
      <c r="AP20" s="9"/>
      <c r="AQ20" s="21">
        <v>1.59958</v>
      </c>
      <c r="AR20" s="21">
        <v>22.8645</v>
      </c>
      <c r="AS20" s="21">
        <v>-6.3629200000000002E-3</v>
      </c>
      <c r="AT20" s="21">
        <v>10</v>
      </c>
      <c r="AU20" s="21">
        <v>1.5991200000000001</v>
      </c>
      <c r="AV20">
        <f t="shared" si="8"/>
        <v>7.8554567901234567</v>
      </c>
      <c r="AW20">
        <f t="shared" si="9"/>
        <v>12.565431572345679</v>
      </c>
      <c r="AX20" s="9"/>
      <c r="AY20" s="21">
        <v>-4.9591099999999999E-2</v>
      </c>
      <c r="AZ20" s="21">
        <v>26.381599999999999</v>
      </c>
      <c r="BA20" s="21">
        <v>-1.4019800000000001E-2</v>
      </c>
      <c r="BB20" s="21">
        <v>10</v>
      </c>
      <c r="BC20" s="21">
        <v>-5.00793E-2</v>
      </c>
      <c r="BD20">
        <f t="shared" si="10"/>
        <v>17.308395061728394</v>
      </c>
      <c r="BE20">
        <f t="shared" si="11"/>
        <v>-0.85834235034567896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1.5945400000000001</v>
      </c>
      <c r="H21" s="21">
        <v>5.3571</v>
      </c>
      <c r="I21" s="21">
        <v>-6.5154999999999996E-3</v>
      </c>
      <c r="J21" s="21">
        <v>11</v>
      </c>
      <c r="K21" s="21">
        <v>1.5933200000000001</v>
      </c>
      <c r="L21">
        <f t="shared" si="0"/>
        <v>8.0438271604938265</v>
      </c>
      <c r="M21">
        <f t="shared" si="1"/>
        <v>12.826204160493827</v>
      </c>
      <c r="N21" s="9"/>
      <c r="O21" s="21">
        <v>-4.4555699999999997E-2</v>
      </c>
      <c r="P21" s="21">
        <v>8.8741599999999998</v>
      </c>
      <c r="Q21" s="21">
        <v>-1.3952600000000001E-2</v>
      </c>
      <c r="R21" s="21">
        <v>11</v>
      </c>
      <c r="S21" s="21">
        <v>-4.4873000000000003E-2</v>
      </c>
      <c r="T21">
        <f t="shared" si="2"/>
        <v>17.225432098765431</v>
      </c>
      <c r="U21">
        <f t="shared" si="3"/>
        <v>-0.76749118496296287</v>
      </c>
      <c r="V21" s="22"/>
      <c r="W21" s="23"/>
      <c r="X21" s="9"/>
      <c r="Y21" s="21">
        <v>1.5945400000000001</v>
      </c>
      <c r="Z21" s="21">
        <v>14.116300000000001</v>
      </c>
      <c r="AA21" s="21">
        <v>-6.6803000000000001E-3</v>
      </c>
      <c r="AB21" s="21">
        <v>11</v>
      </c>
      <c r="AC21" s="21">
        <v>1.5933200000000001</v>
      </c>
      <c r="AD21">
        <f t="shared" si="4"/>
        <v>8.2472839506172839</v>
      </c>
      <c r="AE21">
        <f t="shared" si="5"/>
        <v>13.150624150617285</v>
      </c>
      <c r="AF21" s="9"/>
      <c r="AG21" s="21">
        <v>-4.4555699999999997E-2</v>
      </c>
      <c r="AH21" s="21">
        <v>17.633400000000002</v>
      </c>
      <c r="AI21" s="21">
        <v>-1.4019800000000001E-2</v>
      </c>
      <c r="AJ21" s="21">
        <v>11</v>
      </c>
      <c r="AK21" s="21">
        <v>-4.4860799999999999E-2</v>
      </c>
      <c r="AL21">
        <f t="shared" si="6"/>
        <v>17.308395061728394</v>
      </c>
      <c r="AM21">
        <f t="shared" si="7"/>
        <v>-0.77118765785185173</v>
      </c>
      <c r="AP21" s="9"/>
      <c r="AQ21" s="21">
        <v>1.5945400000000001</v>
      </c>
      <c r="AR21" s="21">
        <v>22.874500000000001</v>
      </c>
      <c r="AS21" s="21">
        <v>-6.84814E-3</v>
      </c>
      <c r="AT21" s="21">
        <v>11</v>
      </c>
      <c r="AU21" s="21">
        <v>1.5936300000000001</v>
      </c>
      <c r="AV21">
        <f t="shared" si="8"/>
        <v>8.4544938271604941</v>
      </c>
      <c r="AW21">
        <f t="shared" si="9"/>
        <v>13.481028587160495</v>
      </c>
      <c r="AX21" s="9"/>
      <c r="AY21" s="21">
        <v>-4.4555699999999997E-2</v>
      </c>
      <c r="AZ21" s="21">
        <v>26.3917</v>
      </c>
      <c r="BA21" s="21">
        <v>-1.40167E-2</v>
      </c>
      <c r="BB21" s="21">
        <v>11</v>
      </c>
      <c r="BC21" s="21">
        <v>-4.4866900000000001E-2</v>
      </c>
      <c r="BD21">
        <f t="shared" si="10"/>
        <v>17.304567901234567</v>
      </c>
      <c r="BE21">
        <f t="shared" si="11"/>
        <v>-0.77101713603703692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1.58951</v>
      </c>
      <c r="H22" s="21">
        <v>5.3671800000000003</v>
      </c>
      <c r="I22" s="21">
        <v>-6.9641099999999999E-3</v>
      </c>
      <c r="J22" s="21">
        <v>12</v>
      </c>
      <c r="K22" s="21">
        <v>1.5884400000000001</v>
      </c>
      <c r="L22">
        <f t="shared" si="0"/>
        <v>8.597666666666667</v>
      </c>
      <c r="M22">
        <f t="shared" si="1"/>
        <v>13.666077143333334</v>
      </c>
      <c r="N22" s="9"/>
      <c r="O22" s="21">
        <v>-3.9520300000000001E-2</v>
      </c>
      <c r="P22" s="21">
        <v>8.8842300000000005</v>
      </c>
      <c r="Q22" s="21">
        <v>-1.3943499999999999E-2</v>
      </c>
      <c r="R22" s="21">
        <v>12</v>
      </c>
      <c r="S22" s="21">
        <v>-3.95813E-2</v>
      </c>
      <c r="T22">
        <f t="shared" si="2"/>
        <v>17.214197530864197</v>
      </c>
      <c r="U22">
        <f t="shared" si="3"/>
        <v>-0.68031025067901241</v>
      </c>
      <c r="V22" s="22"/>
      <c r="W22" s="23"/>
      <c r="X22" s="9"/>
      <c r="Y22" s="21">
        <v>1.58951</v>
      </c>
      <c r="Z22" s="21">
        <v>14.1264</v>
      </c>
      <c r="AA22" s="21">
        <v>-7.1289099999999996E-3</v>
      </c>
      <c r="AB22" s="21">
        <v>12</v>
      </c>
      <c r="AC22" s="21">
        <v>1.5890500000000001</v>
      </c>
      <c r="AD22">
        <f t="shared" si="4"/>
        <v>8.8011234567901226</v>
      </c>
      <c r="AE22">
        <f t="shared" si="5"/>
        <v>13.989473745802467</v>
      </c>
      <c r="AF22" s="9"/>
      <c r="AG22" s="21">
        <v>-3.9520300000000001E-2</v>
      </c>
      <c r="AH22" s="21">
        <v>17.6434</v>
      </c>
      <c r="AI22" s="21">
        <v>-1.40167E-2</v>
      </c>
      <c r="AJ22" s="21">
        <v>12</v>
      </c>
      <c r="AK22" s="21">
        <v>-3.9837600000000001E-2</v>
      </c>
      <c r="AL22">
        <f t="shared" si="6"/>
        <v>17.304567901234567</v>
      </c>
      <c r="AM22">
        <f t="shared" si="7"/>
        <v>-0.68388171482716043</v>
      </c>
      <c r="AP22" s="9"/>
      <c r="AQ22" s="21">
        <v>1.58951</v>
      </c>
      <c r="AR22" s="21">
        <v>22.884599999999999</v>
      </c>
      <c r="AS22" s="21">
        <v>-7.2814899999999998E-3</v>
      </c>
      <c r="AT22" s="21">
        <v>12</v>
      </c>
      <c r="AU22" s="21">
        <v>1.5887500000000001</v>
      </c>
      <c r="AV22">
        <f t="shared" si="8"/>
        <v>8.9894938271604925</v>
      </c>
      <c r="AW22">
        <f t="shared" si="9"/>
        <v>14.288890333209874</v>
      </c>
      <c r="AX22" s="9"/>
      <c r="AY22" s="21">
        <v>-3.9520300000000001E-2</v>
      </c>
      <c r="AZ22" s="21">
        <v>26.401700000000002</v>
      </c>
      <c r="BA22" s="21">
        <v>-1.40045E-2</v>
      </c>
      <c r="BB22" s="21">
        <v>12</v>
      </c>
      <c r="BC22" s="21">
        <v>-3.9752200000000001E-2</v>
      </c>
      <c r="BD22">
        <f t="shared" si="10"/>
        <v>17.289506172839506</v>
      </c>
      <c r="BE22">
        <f t="shared" si="11"/>
        <v>-0.68328647080246918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1.58447</v>
      </c>
      <c r="H23" s="21">
        <v>5.3772500000000001</v>
      </c>
      <c r="I23" s="21">
        <v>-7.3791500000000001E-3</v>
      </c>
      <c r="J23" s="21">
        <v>13</v>
      </c>
      <c r="K23" s="21">
        <v>1.5841700000000001</v>
      </c>
      <c r="L23">
        <f t="shared" si="0"/>
        <v>9.1100617283950598</v>
      </c>
      <c r="M23">
        <f t="shared" si="1"/>
        <v>14.434619506790121</v>
      </c>
      <c r="N23" s="9"/>
      <c r="O23" s="21">
        <v>-3.4484899999999999E-2</v>
      </c>
      <c r="P23" s="21">
        <v>8.8942999999999994</v>
      </c>
      <c r="Q23" s="21">
        <v>-1.39343E-2</v>
      </c>
      <c r="R23" s="21">
        <v>13</v>
      </c>
      <c r="S23" s="21">
        <v>-3.4701500000000003E-2</v>
      </c>
      <c r="T23">
        <f t="shared" si="2"/>
        <v>17.202839506172836</v>
      </c>
      <c r="U23">
        <f t="shared" si="3"/>
        <v>-0.59323820008641959</v>
      </c>
      <c r="V23" s="22"/>
      <c r="W23" s="23"/>
      <c r="X23" s="9"/>
      <c r="Y23" s="21">
        <v>1.58447</v>
      </c>
      <c r="Z23" s="21">
        <v>14.1365</v>
      </c>
      <c r="AA23" s="21">
        <v>-7.5256300000000002E-3</v>
      </c>
      <c r="AB23" s="21">
        <v>13</v>
      </c>
      <c r="AC23" s="21">
        <v>1.58386</v>
      </c>
      <c r="AD23">
        <f t="shared" si="4"/>
        <v>9.290901234567901</v>
      </c>
      <c r="AE23">
        <f t="shared" si="5"/>
        <v>14.721154279135803</v>
      </c>
      <c r="AF23" s="9"/>
      <c r="AG23" s="21">
        <v>-3.4484899999999999E-2</v>
      </c>
      <c r="AH23" s="21">
        <v>17.653500000000001</v>
      </c>
      <c r="AI23" s="21">
        <v>-1.40228E-2</v>
      </c>
      <c r="AJ23" s="21">
        <v>13</v>
      </c>
      <c r="AK23" s="21">
        <v>-3.46985E-2</v>
      </c>
      <c r="AL23">
        <f t="shared" si="6"/>
        <v>17.312098765432097</v>
      </c>
      <c r="AM23">
        <f t="shared" si="7"/>
        <v>-0.59700599471604932</v>
      </c>
      <c r="AP23" s="9"/>
      <c r="AQ23" s="21">
        <v>1.58447</v>
      </c>
      <c r="AR23" s="21">
        <v>22.8947</v>
      </c>
      <c r="AS23" s="21">
        <v>-7.66602E-3</v>
      </c>
      <c r="AT23" s="21">
        <v>13</v>
      </c>
      <c r="AU23" s="21">
        <v>1.58386</v>
      </c>
      <c r="AV23">
        <f t="shared" si="8"/>
        <v>9.4642222222222205</v>
      </c>
      <c r="AW23">
        <f t="shared" si="9"/>
        <v>14.995776184444443</v>
      </c>
      <c r="AX23" s="9"/>
      <c r="AY23" s="21">
        <v>-3.4484899999999999E-2</v>
      </c>
      <c r="AZ23" s="21">
        <v>26.411799999999999</v>
      </c>
      <c r="BA23" s="21">
        <v>-1.39893E-2</v>
      </c>
      <c r="BB23" s="21">
        <v>13</v>
      </c>
      <c r="BC23" s="21">
        <v>-3.4805299999999997E-2</v>
      </c>
      <c r="BD23">
        <f t="shared" si="10"/>
        <v>17.270740740740738</v>
      </c>
      <c r="BE23">
        <f t="shared" si="11"/>
        <v>-0.59557976737037022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1.57944</v>
      </c>
      <c r="H24" s="21">
        <v>5.3873199999999999</v>
      </c>
      <c r="I24" s="21">
        <v>-7.7453599999999997E-3</v>
      </c>
      <c r="J24" s="21">
        <v>14</v>
      </c>
      <c r="K24" s="21">
        <v>1.5783700000000001</v>
      </c>
      <c r="L24">
        <f t="shared" si="0"/>
        <v>9.5621728395061716</v>
      </c>
      <c r="M24">
        <f t="shared" si="1"/>
        <v>15.102878269629628</v>
      </c>
      <c r="N24" s="9"/>
      <c r="O24" s="21">
        <v>-2.94495E-2</v>
      </c>
      <c r="P24" s="21">
        <v>8.9043799999999997</v>
      </c>
      <c r="Q24" s="21">
        <v>-1.39343E-2</v>
      </c>
      <c r="R24" s="21">
        <v>14</v>
      </c>
      <c r="S24" s="21">
        <v>-2.96844E-2</v>
      </c>
      <c r="T24">
        <f t="shared" si="2"/>
        <v>17.202839506172836</v>
      </c>
      <c r="U24">
        <f t="shared" si="3"/>
        <v>-0.5066150220370369</v>
      </c>
      <c r="V24" s="22"/>
      <c r="W24" s="23"/>
      <c r="X24" s="9"/>
      <c r="Y24" s="21">
        <v>1.57944</v>
      </c>
      <c r="Z24" s="21">
        <v>14.1465</v>
      </c>
      <c r="AA24" s="21">
        <v>-7.8826899999999995E-3</v>
      </c>
      <c r="AB24" s="21">
        <v>14</v>
      </c>
      <c r="AC24" s="21">
        <v>1.57867</v>
      </c>
      <c r="AD24">
        <f t="shared" si="4"/>
        <v>9.7317160493827153</v>
      </c>
      <c r="AE24">
        <f t="shared" si="5"/>
        <v>15.370661597037035</v>
      </c>
      <c r="AF24" s="9"/>
      <c r="AG24" s="21">
        <v>-2.94495E-2</v>
      </c>
      <c r="AH24" s="21">
        <v>17.663599999999999</v>
      </c>
      <c r="AI24" s="21">
        <v>-1.40289E-2</v>
      </c>
      <c r="AJ24" s="21">
        <v>14</v>
      </c>
      <c r="AK24" s="21">
        <v>-2.96814E-2</v>
      </c>
      <c r="AL24">
        <f t="shared" si="6"/>
        <v>17.319629629629631</v>
      </c>
      <c r="AM24">
        <f t="shared" si="7"/>
        <v>-0.51005443277777784</v>
      </c>
      <c r="AP24" s="9"/>
      <c r="AQ24" s="21">
        <v>1.57944</v>
      </c>
      <c r="AR24" s="21">
        <v>22.904699999999998</v>
      </c>
      <c r="AS24" s="21">
        <v>-8.0230700000000002E-3</v>
      </c>
      <c r="AT24" s="21">
        <v>14</v>
      </c>
      <c r="AU24" s="21">
        <v>1.5783700000000001</v>
      </c>
      <c r="AV24">
        <f t="shared" si="8"/>
        <v>9.9050246913580242</v>
      </c>
      <c r="AW24">
        <f t="shared" si="9"/>
        <v>15.644392198518517</v>
      </c>
      <c r="AX24" s="9"/>
      <c r="AY24" s="21">
        <v>-2.94495E-2</v>
      </c>
      <c r="AZ24" s="21">
        <v>26.421900000000001</v>
      </c>
      <c r="BA24" s="21">
        <v>-1.3983199999999999E-2</v>
      </c>
      <c r="BB24" s="21">
        <v>14</v>
      </c>
      <c r="BC24" s="21">
        <v>-2.98035E-2</v>
      </c>
      <c r="BD24">
        <f t="shared" si="10"/>
        <v>17.263209876543208</v>
      </c>
      <c r="BE24">
        <f t="shared" si="11"/>
        <v>-0.50839289925925923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1.5744</v>
      </c>
      <c r="H25" s="21">
        <v>5.3973899999999997</v>
      </c>
      <c r="I25" s="21">
        <v>-8.0871599999999995E-3</v>
      </c>
      <c r="J25" s="21">
        <v>15</v>
      </c>
      <c r="K25" s="21">
        <v>1.57379</v>
      </c>
      <c r="L25">
        <f t="shared" si="0"/>
        <v>9.9841481481481473</v>
      </c>
      <c r="M25">
        <f t="shared" si="1"/>
        <v>15.719042844444443</v>
      </c>
      <c r="N25" s="9"/>
      <c r="O25" s="21">
        <v>-2.4414100000000001E-2</v>
      </c>
      <c r="P25" s="21">
        <v>8.9144500000000004</v>
      </c>
      <c r="Q25" s="21">
        <v>-1.3931300000000001E-2</v>
      </c>
      <c r="R25" s="21">
        <v>15</v>
      </c>
      <c r="S25" s="21">
        <v>-2.46216E-2</v>
      </c>
      <c r="T25">
        <f t="shared" si="2"/>
        <v>17.199135802469137</v>
      </c>
      <c r="U25">
        <f t="shared" si="3"/>
        <v>-0.41990142139506176</v>
      </c>
      <c r="V25" s="22"/>
      <c r="W25" s="23"/>
      <c r="X25" s="9"/>
      <c r="Y25" s="21">
        <v>1.5744</v>
      </c>
      <c r="Z25" s="21">
        <v>14.156599999999999</v>
      </c>
      <c r="AA25" s="21">
        <v>-8.2061800000000004E-3</v>
      </c>
      <c r="AB25" s="21">
        <v>15</v>
      </c>
      <c r="AC25" s="21">
        <v>1.57379</v>
      </c>
      <c r="AD25">
        <f t="shared" si="4"/>
        <v>10.131086419753085</v>
      </c>
      <c r="AE25">
        <f t="shared" si="5"/>
        <v>15.950382459259258</v>
      </c>
      <c r="AF25" s="9"/>
      <c r="AG25" s="21">
        <v>-2.4414100000000001E-2</v>
      </c>
      <c r="AH25" s="21">
        <v>17.6737</v>
      </c>
      <c r="AI25" s="21">
        <v>-1.4031999999999999E-2</v>
      </c>
      <c r="AJ25" s="21">
        <v>15</v>
      </c>
      <c r="AK25" s="21">
        <v>-2.4615499999999998E-2</v>
      </c>
      <c r="AL25">
        <f t="shared" si="6"/>
        <v>17.323456790123455</v>
      </c>
      <c r="AM25">
        <f t="shared" si="7"/>
        <v>-0.42293660641975306</v>
      </c>
      <c r="AP25" s="9"/>
      <c r="AQ25" s="21">
        <v>1.5744</v>
      </c>
      <c r="AR25" s="21">
        <v>22.9148</v>
      </c>
      <c r="AS25" s="21">
        <v>-8.3374E-3</v>
      </c>
      <c r="AT25" s="21">
        <v>15</v>
      </c>
      <c r="AU25" s="21">
        <v>1.5741000000000001</v>
      </c>
      <c r="AV25">
        <f t="shared" si="8"/>
        <v>10.293086419753086</v>
      </c>
      <c r="AW25">
        <f t="shared" si="9"/>
        <v>16.205435259259261</v>
      </c>
      <c r="AX25" s="9"/>
      <c r="AY25" s="21">
        <v>-2.4414100000000001E-2</v>
      </c>
      <c r="AZ25" s="21">
        <v>26.431999999999999</v>
      </c>
      <c r="BA25" s="21">
        <v>-1.3980100000000001E-2</v>
      </c>
      <c r="BB25" s="21">
        <v>15</v>
      </c>
      <c r="BC25" s="21">
        <v>-2.4700900000000001E-2</v>
      </c>
      <c r="BD25">
        <f t="shared" si="10"/>
        <v>17.259382716049384</v>
      </c>
      <c r="BE25">
        <f t="shared" si="11"/>
        <v>-0.42137229556790129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1.5693699999999999</v>
      </c>
      <c r="H26" s="21">
        <v>5.4074600000000004</v>
      </c>
      <c r="I26" s="21">
        <v>-8.3862299999999997E-3</v>
      </c>
      <c r="J26" s="21">
        <v>16</v>
      </c>
      <c r="K26" s="21">
        <v>1.5683</v>
      </c>
      <c r="L26">
        <f t="shared" si="0"/>
        <v>10.353370370370369</v>
      </c>
      <c r="M26">
        <f t="shared" si="1"/>
        <v>16.248268858148144</v>
      </c>
      <c r="N26" s="9"/>
      <c r="O26" s="21">
        <v>-1.9378699999999999E-2</v>
      </c>
      <c r="P26" s="21">
        <v>8.9245199999999993</v>
      </c>
      <c r="Q26" s="21">
        <v>-1.39282E-2</v>
      </c>
      <c r="R26" s="21">
        <v>16</v>
      </c>
      <c r="S26" s="21">
        <v>-1.9519000000000002E-2</v>
      </c>
      <c r="T26">
        <f t="shared" si="2"/>
        <v>17.195308641975309</v>
      </c>
      <c r="U26">
        <f t="shared" si="3"/>
        <v>-0.3332227275802469</v>
      </c>
      <c r="V26" s="22"/>
      <c r="W26" s="23"/>
      <c r="X26" s="9"/>
      <c r="Y26" s="21">
        <v>1.5693699999999999</v>
      </c>
      <c r="Z26" s="21">
        <v>14.166700000000001</v>
      </c>
      <c r="AA26" s="21">
        <v>-8.5021999999999997E-3</v>
      </c>
      <c r="AB26" s="21">
        <v>16</v>
      </c>
      <c r="AC26" s="21">
        <v>1.56891</v>
      </c>
      <c r="AD26">
        <f t="shared" si="4"/>
        <v>10.496543209876542</v>
      </c>
      <c r="AE26">
        <f t="shared" si="5"/>
        <v>16.472960017283949</v>
      </c>
      <c r="AF26" s="9"/>
      <c r="AG26" s="21">
        <v>-1.9378699999999999E-2</v>
      </c>
      <c r="AH26" s="21">
        <v>17.683700000000002</v>
      </c>
      <c r="AI26" s="21">
        <v>-1.40228E-2</v>
      </c>
      <c r="AJ26" s="21">
        <v>16</v>
      </c>
      <c r="AK26" s="21">
        <v>-1.9601400000000001E-2</v>
      </c>
      <c r="AL26">
        <f t="shared" si="6"/>
        <v>17.312098765432097</v>
      </c>
      <c r="AM26">
        <f t="shared" si="7"/>
        <v>-0.33548596834567895</v>
      </c>
      <c r="AP26" s="9"/>
      <c r="AQ26" s="21">
        <v>1.5693699999999999</v>
      </c>
      <c r="AR26" s="21">
        <v>22.924900000000001</v>
      </c>
      <c r="AS26" s="21">
        <v>-8.6364700000000003E-3</v>
      </c>
      <c r="AT26" s="21">
        <v>16</v>
      </c>
      <c r="AU26" s="21">
        <v>1.5683</v>
      </c>
      <c r="AV26">
        <f t="shared" si="8"/>
        <v>10.662308641975308</v>
      </c>
      <c r="AW26">
        <f t="shared" si="9"/>
        <v>16.733107313456788</v>
      </c>
      <c r="AX26" s="9"/>
      <c r="AY26" s="21">
        <v>-1.9378699999999999E-2</v>
      </c>
      <c r="AZ26" s="21">
        <v>26.442</v>
      </c>
      <c r="BA26" s="21">
        <v>-1.3980100000000001E-2</v>
      </c>
      <c r="BB26" s="21">
        <v>16</v>
      </c>
      <c r="BC26" s="21">
        <v>-1.9625900000000002E-2</v>
      </c>
      <c r="BD26">
        <f t="shared" si="10"/>
        <v>17.259382716049384</v>
      </c>
      <c r="BE26">
        <f t="shared" si="11"/>
        <v>-0.33446439983950615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1.56433</v>
      </c>
      <c r="H27" s="21">
        <v>5.4175300000000002</v>
      </c>
      <c r="I27" s="21">
        <v>-8.6791999999999998E-3</v>
      </c>
      <c r="J27" s="21">
        <v>17</v>
      </c>
      <c r="K27" s="21">
        <v>1.56372</v>
      </c>
      <c r="L27">
        <f t="shared" si="0"/>
        <v>10.71506172839506</v>
      </c>
      <c r="M27">
        <f t="shared" si="1"/>
        <v>16.761892513580243</v>
      </c>
      <c r="N27" s="9"/>
      <c r="O27" s="21">
        <v>-1.43433E-2</v>
      </c>
      <c r="P27" s="21">
        <v>8.93459</v>
      </c>
      <c r="Q27" s="21">
        <v>-1.39252E-2</v>
      </c>
      <c r="R27" s="21">
        <v>17</v>
      </c>
      <c r="S27" s="21">
        <v>-1.4633200000000001E-2</v>
      </c>
      <c r="T27">
        <f t="shared" si="2"/>
        <v>17.191604938271606</v>
      </c>
      <c r="U27">
        <f t="shared" si="3"/>
        <v>-0.24658434711111113</v>
      </c>
      <c r="X27" s="9"/>
      <c r="Y27" s="21">
        <v>1.56433</v>
      </c>
      <c r="Z27" s="21">
        <v>14.1767</v>
      </c>
      <c r="AA27" s="21">
        <v>-8.7707500000000008E-3</v>
      </c>
      <c r="AB27" s="21">
        <v>17</v>
      </c>
      <c r="AC27" s="21">
        <v>1.56372</v>
      </c>
      <c r="AD27">
        <f t="shared" si="4"/>
        <v>10.828086419753086</v>
      </c>
      <c r="AE27">
        <f t="shared" si="5"/>
        <v>16.938700429012346</v>
      </c>
      <c r="AF27" s="9"/>
      <c r="AG27" s="21">
        <v>-1.43433E-2</v>
      </c>
      <c r="AH27" s="21">
        <v>17.6938</v>
      </c>
      <c r="AI27" s="21">
        <v>-1.4019800000000001E-2</v>
      </c>
      <c r="AJ27" s="21">
        <v>17</v>
      </c>
      <c r="AK27" s="21">
        <v>-1.4559900000000001E-2</v>
      </c>
      <c r="AL27">
        <f t="shared" si="6"/>
        <v>17.308395061728394</v>
      </c>
      <c r="AM27">
        <f t="shared" si="7"/>
        <v>-0.24825950288888887</v>
      </c>
      <c r="AP27" s="9"/>
      <c r="AQ27" s="21">
        <v>1.56433</v>
      </c>
      <c r="AR27" s="21">
        <v>22.934999999999999</v>
      </c>
      <c r="AS27" s="21">
        <v>-8.8958700000000002E-3</v>
      </c>
      <c r="AT27" s="21">
        <v>17</v>
      </c>
      <c r="AU27" s="21">
        <v>1.56342</v>
      </c>
      <c r="AV27">
        <f t="shared" si="8"/>
        <v>10.982555555555555</v>
      </c>
      <c r="AW27">
        <f t="shared" si="9"/>
        <v>17.180341132222221</v>
      </c>
      <c r="AX27" s="9"/>
      <c r="AY27" s="21">
        <v>-1.43433E-2</v>
      </c>
      <c r="AZ27" s="21">
        <v>26.452100000000002</v>
      </c>
      <c r="BA27" s="21">
        <v>-1.3974E-2</v>
      </c>
      <c r="BB27" s="21">
        <v>17</v>
      </c>
      <c r="BC27" s="21">
        <v>-1.4590499999999999E-2</v>
      </c>
      <c r="BD27">
        <f t="shared" si="10"/>
        <v>17.251851851851853</v>
      </c>
      <c r="BE27">
        <f t="shared" si="11"/>
        <v>-0.24744848666666669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1.5592999999999999</v>
      </c>
      <c r="H28" s="21">
        <v>5.4276</v>
      </c>
      <c r="I28" s="21">
        <v>-8.9355500000000004E-3</v>
      </c>
      <c r="J28" s="21">
        <v>18</v>
      </c>
      <c r="K28" s="21">
        <v>1.55853</v>
      </c>
      <c r="L28">
        <f t="shared" si="0"/>
        <v>11.031543209876542</v>
      </c>
      <c r="M28">
        <f t="shared" si="1"/>
        <v>17.201485327160491</v>
      </c>
      <c r="N28" s="9"/>
      <c r="O28" s="21">
        <v>-9.3078599999999994E-3</v>
      </c>
      <c r="P28" s="21">
        <v>8.9446600000000007</v>
      </c>
      <c r="Q28" s="21">
        <v>-1.39191E-2</v>
      </c>
      <c r="R28" s="21">
        <v>18</v>
      </c>
      <c r="S28" s="21">
        <v>-9.47571E-3</v>
      </c>
      <c r="T28">
        <f t="shared" si="2"/>
        <v>17.184074074074076</v>
      </c>
      <c r="U28">
        <f t="shared" si="3"/>
        <v>-0.15994695571111112</v>
      </c>
      <c r="X28" s="9"/>
      <c r="Y28" s="21">
        <v>1.5592999999999999</v>
      </c>
      <c r="Z28" s="21">
        <v>14.1868</v>
      </c>
      <c r="AA28" s="21">
        <v>-9.0240500000000005E-3</v>
      </c>
      <c r="AB28" s="21">
        <v>18</v>
      </c>
      <c r="AC28" s="21">
        <v>1.55853</v>
      </c>
      <c r="AD28">
        <f t="shared" si="4"/>
        <v>11.140802469135803</v>
      </c>
      <c r="AE28">
        <f t="shared" si="5"/>
        <v>17.371853290123457</v>
      </c>
      <c r="AF28" s="9"/>
      <c r="AG28" s="21">
        <v>-9.3078599999999994E-3</v>
      </c>
      <c r="AH28" s="21">
        <v>17.703900000000001</v>
      </c>
      <c r="AI28" s="21">
        <v>-1.40228E-2</v>
      </c>
      <c r="AJ28" s="21">
        <v>18</v>
      </c>
      <c r="AK28" s="21">
        <v>-9.4970699999999998E-3</v>
      </c>
      <c r="AL28">
        <f t="shared" si="6"/>
        <v>17.312098765432097</v>
      </c>
      <c r="AM28">
        <f t="shared" si="7"/>
        <v>-0.16113859161481478</v>
      </c>
      <c r="AP28" s="9"/>
      <c r="AQ28" s="21">
        <v>1.5592999999999999</v>
      </c>
      <c r="AR28" s="21">
        <v>22.945</v>
      </c>
      <c r="AS28" s="21">
        <v>-9.1461200000000006E-3</v>
      </c>
      <c r="AT28" s="21">
        <v>18</v>
      </c>
      <c r="AU28" s="21">
        <v>1.55884</v>
      </c>
      <c r="AV28">
        <f t="shared" si="8"/>
        <v>11.291506172839506</v>
      </c>
      <c r="AW28">
        <f t="shared" si="9"/>
        <v>17.60684557530864</v>
      </c>
      <c r="AX28" s="9"/>
      <c r="AY28" s="21">
        <v>-9.3078599999999994E-3</v>
      </c>
      <c r="AZ28" s="21">
        <v>26.462199999999999</v>
      </c>
      <c r="BA28" s="21">
        <v>-1.3958699999999999E-2</v>
      </c>
      <c r="BB28" s="21">
        <v>18</v>
      </c>
      <c r="BC28" s="21">
        <v>-9.5092800000000002E-3</v>
      </c>
      <c r="BD28">
        <f t="shared" si="10"/>
        <v>17.232962962962961</v>
      </c>
      <c r="BE28">
        <f t="shared" si="11"/>
        <v>-0.16040200664444443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1.55426</v>
      </c>
      <c r="H29" s="21">
        <v>5.4376699999999998</v>
      </c>
      <c r="I29" s="21">
        <v>-9.1796900000000008E-3</v>
      </c>
      <c r="J29" s="21">
        <v>19</v>
      </c>
      <c r="K29" s="21">
        <v>1.5533399999999999</v>
      </c>
      <c r="L29">
        <f t="shared" si="0"/>
        <v>11.33295061728395</v>
      </c>
      <c r="M29">
        <f t="shared" si="1"/>
        <v>17.614351826419753</v>
      </c>
      <c r="N29" s="9"/>
      <c r="O29" s="21">
        <v>-4.2724599999999996E-3</v>
      </c>
      <c r="P29" s="21">
        <v>8.9547299999999996</v>
      </c>
      <c r="Q29" s="21">
        <v>-1.3913E-2</v>
      </c>
      <c r="R29" s="21">
        <v>19</v>
      </c>
      <c r="S29" s="21">
        <v>-4.4342000000000001E-3</v>
      </c>
      <c r="T29">
        <f t="shared" si="2"/>
        <v>17.176543209876542</v>
      </c>
      <c r="U29">
        <f t="shared" si="3"/>
        <v>-7.3386093802469118E-2</v>
      </c>
      <c r="X29" s="9"/>
      <c r="Y29" s="21">
        <v>1.55426</v>
      </c>
      <c r="Z29" s="21">
        <v>14.196899999999999</v>
      </c>
      <c r="AA29" s="21">
        <v>-9.2590299999999997E-3</v>
      </c>
      <c r="AB29" s="21">
        <v>19</v>
      </c>
      <c r="AC29" s="21">
        <v>1.55365</v>
      </c>
      <c r="AD29">
        <f t="shared" si="4"/>
        <v>11.4309012345679</v>
      </c>
      <c r="AE29">
        <f t="shared" si="5"/>
        <v>17.766592552839505</v>
      </c>
      <c r="AF29" s="9"/>
      <c r="AG29" s="21">
        <v>-4.2724599999999996E-3</v>
      </c>
      <c r="AH29" s="21">
        <v>17.713899999999999</v>
      </c>
      <c r="AI29" s="21">
        <v>-1.4019800000000001E-2</v>
      </c>
      <c r="AJ29" s="21">
        <v>19</v>
      </c>
      <c r="AK29" s="21">
        <v>-4.4525099999999998E-3</v>
      </c>
      <c r="AL29">
        <f t="shared" si="6"/>
        <v>17.308395061728394</v>
      </c>
      <c r="AM29">
        <f t="shared" si="7"/>
        <v>-7.3949425565432089E-2</v>
      </c>
      <c r="AP29" s="9"/>
      <c r="AQ29" s="21">
        <v>1.55426</v>
      </c>
      <c r="AR29" s="21">
        <v>22.955100000000002</v>
      </c>
      <c r="AS29" s="21">
        <v>-9.3566900000000008E-3</v>
      </c>
      <c r="AT29" s="21">
        <v>19</v>
      </c>
      <c r="AU29" s="21">
        <v>1.5533399999999999</v>
      </c>
      <c r="AV29">
        <f t="shared" si="8"/>
        <v>11.551469135802471</v>
      </c>
      <c r="AW29">
        <f t="shared" si="9"/>
        <v>17.953986419012349</v>
      </c>
      <c r="AX29" s="9"/>
      <c r="AY29" s="21">
        <v>-4.2724599999999996E-3</v>
      </c>
      <c r="AZ29" s="21">
        <v>26.472200000000001</v>
      </c>
      <c r="BA29" s="21">
        <v>-1.3943499999999999E-2</v>
      </c>
      <c r="BB29" s="21">
        <v>19</v>
      </c>
      <c r="BC29" s="21">
        <v>-4.4464099999999996E-3</v>
      </c>
      <c r="BD29">
        <f t="shared" si="10"/>
        <v>17.214197530864197</v>
      </c>
      <c r="BE29">
        <f t="shared" si="11"/>
        <v>-7.3546970382716043E-2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1.54922</v>
      </c>
      <c r="H30" s="21">
        <v>5.4477399999999996</v>
      </c>
      <c r="I30" s="21">
        <v>-9.38721E-3</v>
      </c>
      <c r="J30" s="21">
        <v>20</v>
      </c>
      <c r="K30" s="21">
        <v>1.54877</v>
      </c>
      <c r="L30">
        <f t="shared" si="0"/>
        <v>11.589148148148148</v>
      </c>
      <c r="M30">
        <f t="shared" si="1"/>
        <v>17.954140094074074</v>
      </c>
      <c r="N30" s="9"/>
      <c r="O30" s="21">
        <v>7.6293900000000002E-4</v>
      </c>
      <c r="P30" s="21">
        <v>8.9648000000000003</v>
      </c>
      <c r="Q30" s="21">
        <v>-1.3897700000000001E-2</v>
      </c>
      <c r="R30" s="21">
        <v>20</v>
      </c>
      <c r="S30" s="21">
        <v>6.5002400000000002E-4</v>
      </c>
      <c r="T30">
        <f t="shared" si="2"/>
        <v>17.157654320987653</v>
      </c>
      <c r="U30">
        <f t="shared" si="3"/>
        <v>1.309024363E-2</v>
      </c>
      <c r="X30" s="9"/>
      <c r="Y30" s="21">
        <v>1.54922</v>
      </c>
      <c r="Z30" s="21">
        <v>14.207000000000001</v>
      </c>
      <c r="AA30" s="21">
        <v>-9.4695999999999999E-3</v>
      </c>
      <c r="AB30" s="21">
        <v>20</v>
      </c>
      <c r="AC30" s="21">
        <v>1.54877</v>
      </c>
      <c r="AD30">
        <f t="shared" si="4"/>
        <v>11.690864197530864</v>
      </c>
      <c r="AE30">
        <f t="shared" si="5"/>
        <v>18.111720632098766</v>
      </c>
      <c r="AF30" s="9"/>
      <c r="AG30" s="21">
        <v>7.6293900000000002E-4</v>
      </c>
      <c r="AH30" s="21">
        <v>17.724</v>
      </c>
      <c r="AI30" s="21">
        <v>-1.40076E-2</v>
      </c>
      <c r="AJ30" s="21">
        <v>20</v>
      </c>
      <c r="AK30" s="21">
        <v>6.2255899999999996E-4</v>
      </c>
      <c r="AL30">
        <f t="shared" si="6"/>
        <v>17.293333333333333</v>
      </c>
      <c r="AM30">
        <f t="shared" si="7"/>
        <v>1.319375844E-2</v>
      </c>
      <c r="AP30" s="9"/>
      <c r="AQ30" s="21">
        <v>1.54922</v>
      </c>
      <c r="AR30" s="21">
        <v>22.965199999999999</v>
      </c>
      <c r="AS30" s="21">
        <v>-9.5581099999999999E-3</v>
      </c>
      <c r="AT30" s="21">
        <v>20</v>
      </c>
      <c r="AU30" s="21">
        <v>1.54816</v>
      </c>
      <c r="AV30">
        <f t="shared" si="8"/>
        <v>11.800135802469134</v>
      </c>
      <c r="AW30">
        <f t="shared" si="9"/>
        <v>18.281006387901233</v>
      </c>
      <c r="AX30" s="9"/>
      <c r="AY30" s="21">
        <v>7.6293900000000002E-4</v>
      </c>
      <c r="AZ30" s="21">
        <v>26.482299999999999</v>
      </c>
      <c r="BA30" s="21">
        <v>-1.39282E-2</v>
      </c>
      <c r="BB30" s="21">
        <v>20</v>
      </c>
      <c r="BC30" s="21">
        <v>5.3100599999999999E-4</v>
      </c>
      <c r="BD30">
        <f t="shared" si="10"/>
        <v>17.195308641975309</v>
      </c>
      <c r="BE30">
        <f t="shared" si="11"/>
        <v>1.3118971580000001E-2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1.54419</v>
      </c>
      <c r="H31" s="21">
        <v>5.4578100000000003</v>
      </c>
      <c r="I31" s="21">
        <v>-9.5886200000000008E-3</v>
      </c>
      <c r="J31" s="21">
        <v>21</v>
      </c>
      <c r="K31" s="21">
        <v>1.5432699999999999</v>
      </c>
      <c r="L31">
        <f t="shared" si="0"/>
        <v>11.837802469135802</v>
      </c>
      <c r="M31">
        <f t="shared" si="1"/>
        <v>18.279816194814813</v>
      </c>
      <c r="N31" s="9"/>
      <c r="O31" s="21">
        <v>5.7983399999999999E-3</v>
      </c>
      <c r="P31" s="21">
        <v>8.9748699999999992</v>
      </c>
      <c r="Q31" s="21">
        <v>-1.38855E-2</v>
      </c>
      <c r="R31" s="21">
        <v>21</v>
      </c>
      <c r="S31" s="21">
        <v>5.5938699999999999E-3</v>
      </c>
      <c r="T31">
        <f t="shared" si="2"/>
        <v>17.142592592592592</v>
      </c>
      <c r="U31">
        <f t="shared" si="3"/>
        <v>9.9398580333333333E-2</v>
      </c>
      <c r="X31" s="9"/>
      <c r="Y31" s="21">
        <v>1.54419</v>
      </c>
      <c r="Z31" s="21">
        <v>14.217000000000001</v>
      </c>
      <c r="AA31" s="21">
        <v>-9.68018E-3</v>
      </c>
      <c r="AB31" s="21">
        <v>21</v>
      </c>
      <c r="AC31" s="21">
        <v>1.5432699999999999</v>
      </c>
      <c r="AD31">
        <f t="shared" si="4"/>
        <v>11.950839506172839</v>
      </c>
      <c r="AE31">
        <f t="shared" si="5"/>
        <v>18.454366857037037</v>
      </c>
      <c r="AF31" s="9"/>
      <c r="AG31" s="21">
        <v>5.7983399999999999E-3</v>
      </c>
      <c r="AH31" s="21">
        <v>17.734100000000002</v>
      </c>
      <c r="AI31" s="21">
        <v>-1.3992299999999999E-2</v>
      </c>
      <c r="AJ31" s="21">
        <v>21</v>
      </c>
      <c r="AK31" s="21">
        <v>5.6457499999999997E-3</v>
      </c>
      <c r="AL31">
        <f t="shared" si="6"/>
        <v>17.274444444444445</v>
      </c>
      <c r="AM31">
        <f t="shared" si="7"/>
        <v>0.10016310220000001</v>
      </c>
      <c r="AP31" s="9"/>
      <c r="AQ31" s="21">
        <v>1.54419</v>
      </c>
      <c r="AR31" s="21">
        <v>22.975200000000001</v>
      </c>
      <c r="AS31" s="21">
        <v>-9.7412100000000001E-3</v>
      </c>
      <c r="AT31" s="21">
        <v>21</v>
      </c>
      <c r="AU31" s="21">
        <v>1.54358</v>
      </c>
      <c r="AV31">
        <f t="shared" si="8"/>
        <v>12.026185185185184</v>
      </c>
      <c r="AW31">
        <f t="shared" si="9"/>
        <v>18.57071490111111</v>
      </c>
      <c r="AX31" s="9"/>
      <c r="AY31" s="21">
        <v>5.7983399999999999E-3</v>
      </c>
      <c r="AZ31" s="21">
        <v>26.4924</v>
      </c>
      <c r="BA31" s="21">
        <v>-1.39191E-2</v>
      </c>
      <c r="BB31" s="21">
        <v>21</v>
      </c>
      <c r="BC31" s="21">
        <v>5.6243899999999999E-3</v>
      </c>
      <c r="BD31">
        <f t="shared" si="10"/>
        <v>17.184074074074076</v>
      </c>
      <c r="BE31">
        <f t="shared" si="11"/>
        <v>9.9639104066666678E-2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1.53915</v>
      </c>
      <c r="H32" s="21">
        <v>5.4678899999999997</v>
      </c>
      <c r="I32" s="21">
        <v>-9.7778299999999995E-3</v>
      </c>
      <c r="J32" s="21">
        <v>22</v>
      </c>
      <c r="K32" s="21">
        <v>1.5383899999999999</v>
      </c>
      <c r="L32">
        <f t="shared" si="0"/>
        <v>12.071395061728394</v>
      </c>
      <c r="M32">
        <f t="shared" si="1"/>
        <v>18.579687709259257</v>
      </c>
      <c r="N32" s="9"/>
      <c r="O32" s="21">
        <v>1.08337E-2</v>
      </c>
      <c r="P32" s="21">
        <v>8.9849399999999999</v>
      </c>
      <c r="Q32" s="21">
        <v>-1.38794E-2</v>
      </c>
      <c r="R32" s="21">
        <v>22</v>
      </c>
      <c r="S32" s="21">
        <v>1.06537E-2</v>
      </c>
      <c r="T32">
        <f t="shared" si="2"/>
        <v>17.135061728395058</v>
      </c>
      <c r="U32">
        <f t="shared" si="3"/>
        <v>0.18563611824691353</v>
      </c>
      <c r="X32" s="9"/>
      <c r="Y32" s="21">
        <v>1.53915</v>
      </c>
      <c r="Z32" s="21">
        <v>14.2271</v>
      </c>
      <c r="AA32" s="21">
        <v>-9.8724399999999997E-3</v>
      </c>
      <c r="AB32" s="21">
        <v>22</v>
      </c>
      <c r="AC32" s="21">
        <v>1.53809</v>
      </c>
      <c r="AD32">
        <f t="shared" si="4"/>
        <v>12.188197530864196</v>
      </c>
      <c r="AE32">
        <f t="shared" si="5"/>
        <v>18.759464229629629</v>
      </c>
      <c r="AF32" s="9"/>
      <c r="AG32" s="21">
        <v>1.08337E-2</v>
      </c>
      <c r="AH32" s="21">
        <v>17.744199999999999</v>
      </c>
      <c r="AI32" s="21">
        <v>-1.39709E-2</v>
      </c>
      <c r="AJ32" s="21">
        <v>22</v>
      </c>
      <c r="AK32" s="21">
        <v>1.0614E-2</v>
      </c>
      <c r="AL32">
        <f t="shared" si="6"/>
        <v>17.248024691358022</v>
      </c>
      <c r="AM32">
        <f t="shared" si="7"/>
        <v>0.18685992509876539</v>
      </c>
      <c r="AP32" s="9"/>
      <c r="AQ32" s="21">
        <v>1.53915</v>
      </c>
      <c r="AR32" s="21">
        <v>22.985299999999999</v>
      </c>
      <c r="AS32" s="21">
        <v>-9.9243200000000004E-3</v>
      </c>
      <c r="AT32" s="21">
        <v>22</v>
      </c>
      <c r="AU32" s="21">
        <v>1.5383899999999999</v>
      </c>
      <c r="AV32">
        <f t="shared" si="8"/>
        <v>12.252246913580246</v>
      </c>
      <c r="AW32">
        <f t="shared" si="9"/>
        <v>18.858045837037036</v>
      </c>
      <c r="AX32" s="9"/>
      <c r="AY32" s="21">
        <v>1.08337E-2</v>
      </c>
      <c r="AZ32" s="21">
        <v>26.502400000000002</v>
      </c>
      <c r="BA32" s="21">
        <v>-1.39069E-2</v>
      </c>
      <c r="BB32" s="21">
        <v>22</v>
      </c>
      <c r="BC32" s="21">
        <v>1.0803200000000001E-2</v>
      </c>
      <c r="BD32">
        <f t="shared" si="10"/>
        <v>17.169012345679011</v>
      </c>
      <c r="BE32">
        <f t="shared" si="11"/>
        <v>0.1860039290493827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1.5341199999999999</v>
      </c>
      <c r="H33" s="21">
        <v>5.4779600000000004</v>
      </c>
      <c r="I33" s="21">
        <v>-9.9487299999999994E-3</v>
      </c>
      <c r="J33" s="21">
        <v>23</v>
      </c>
      <c r="K33" s="21">
        <v>1.5331999999999999</v>
      </c>
      <c r="L33">
        <f t="shared" si="0"/>
        <v>12.282382716049382</v>
      </c>
      <c r="M33">
        <f t="shared" si="1"/>
        <v>18.842648972345678</v>
      </c>
      <c r="N33" s="9"/>
      <c r="O33" s="21">
        <v>1.5869100000000001E-2</v>
      </c>
      <c r="P33" s="21">
        <v>8.9950100000000006</v>
      </c>
      <c r="Q33" s="21">
        <v>-1.38885E-2</v>
      </c>
      <c r="R33" s="21">
        <v>23</v>
      </c>
      <c r="S33" s="21">
        <v>1.5731800000000001E-2</v>
      </c>
      <c r="T33">
        <f t="shared" si="2"/>
        <v>17.146296296296295</v>
      </c>
      <c r="U33">
        <f t="shared" si="3"/>
        <v>0.27209629055555556</v>
      </c>
      <c r="X33" s="9"/>
      <c r="Y33" s="21">
        <v>1.5341199999999999</v>
      </c>
      <c r="Z33" s="21">
        <v>14.2372</v>
      </c>
      <c r="AA33" s="21">
        <v>-1.00464E-2</v>
      </c>
      <c r="AB33" s="21">
        <v>23</v>
      </c>
      <c r="AC33" s="21">
        <v>1.5328999999999999</v>
      </c>
      <c r="AD33">
        <f t="shared" si="4"/>
        <v>12.402962962962963</v>
      </c>
      <c r="AE33">
        <f t="shared" si="5"/>
        <v>19.027633540740741</v>
      </c>
      <c r="AF33" s="9"/>
      <c r="AG33" s="21">
        <v>1.5869100000000001E-2</v>
      </c>
      <c r="AH33" s="21">
        <v>17.754200000000001</v>
      </c>
      <c r="AI33" s="21">
        <v>-1.3958699999999999E-2</v>
      </c>
      <c r="AJ33" s="21">
        <v>23</v>
      </c>
      <c r="AK33" s="21">
        <v>1.5731800000000001E-2</v>
      </c>
      <c r="AL33">
        <f t="shared" si="6"/>
        <v>17.232962962962961</v>
      </c>
      <c r="AM33">
        <f t="shared" si="7"/>
        <v>0.27347161255555552</v>
      </c>
      <c r="AP33" s="9"/>
      <c r="AQ33" s="21">
        <v>1.5341199999999999</v>
      </c>
      <c r="AR33" s="21">
        <v>22.9954</v>
      </c>
      <c r="AS33" s="21">
        <v>-1.0092200000000001E-2</v>
      </c>
      <c r="AT33" s="21">
        <v>23</v>
      </c>
      <c r="AU33" s="21">
        <v>1.5335099999999999</v>
      </c>
      <c r="AV33">
        <f t="shared" si="8"/>
        <v>12.459506172839507</v>
      </c>
      <c r="AW33">
        <f t="shared" si="9"/>
        <v>19.114377609876545</v>
      </c>
      <c r="AX33" s="9"/>
      <c r="AY33" s="21">
        <v>1.5869100000000001E-2</v>
      </c>
      <c r="AZ33" s="21">
        <v>26.512499999999999</v>
      </c>
      <c r="BA33" s="21">
        <v>-1.3897700000000001E-2</v>
      </c>
      <c r="BB33" s="21">
        <v>23</v>
      </c>
      <c r="BC33" s="21">
        <v>1.5713499999999998E-2</v>
      </c>
      <c r="BD33">
        <f t="shared" si="10"/>
        <v>17.157654320987653</v>
      </c>
      <c r="BE33">
        <f t="shared" si="11"/>
        <v>0.27227653218518516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1.52908</v>
      </c>
      <c r="H34" s="21">
        <v>5.4880300000000002</v>
      </c>
      <c r="I34" s="21">
        <v>-1.01166E-2</v>
      </c>
      <c r="J34" s="21">
        <v>24</v>
      </c>
      <c r="K34" s="21">
        <v>1.5280199999999999</v>
      </c>
      <c r="L34">
        <f t="shared" si="0"/>
        <v>12.489629629629629</v>
      </c>
      <c r="M34">
        <f t="shared" si="1"/>
        <v>19.097642874074072</v>
      </c>
      <c r="N34" s="9"/>
      <c r="O34" s="21">
        <v>2.0904499999999999E-2</v>
      </c>
      <c r="P34" s="21">
        <v>9.0050899999999992</v>
      </c>
      <c r="Q34" s="21">
        <v>-1.38885E-2</v>
      </c>
      <c r="R34" s="21">
        <v>24</v>
      </c>
      <c r="S34" s="21">
        <v>2.0752E-2</v>
      </c>
      <c r="T34">
        <f t="shared" si="2"/>
        <v>17.146296296296295</v>
      </c>
      <c r="U34">
        <f t="shared" si="3"/>
        <v>0.35843475092592592</v>
      </c>
      <c r="X34" s="9"/>
      <c r="Y34" s="21">
        <v>1.52908</v>
      </c>
      <c r="Z34" s="21">
        <v>14.247199999999999</v>
      </c>
      <c r="AA34" s="21">
        <v>-1.0199E-2</v>
      </c>
      <c r="AB34" s="21">
        <v>24</v>
      </c>
      <c r="AC34" s="21">
        <v>1.5280199999999999</v>
      </c>
      <c r="AD34">
        <f t="shared" si="4"/>
        <v>12.591358024691356</v>
      </c>
      <c r="AE34">
        <f t="shared" si="5"/>
        <v>19.253193728395058</v>
      </c>
      <c r="AF34" s="9"/>
      <c r="AG34" s="21">
        <v>2.0904499999999999E-2</v>
      </c>
      <c r="AH34" s="21">
        <v>17.764299999999999</v>
      </c>
      <c r="AI34" s="21">
        <v>-1.3946500000000001E-2</v>
      </c>
      <c r="AJ34" s="21">
        <v>24</v>
      </c>
      <c r="AK34" s="21">
        <v>2.07245E-2</v>
      </c>
      <c r="AL34">
        <f t="shared" si="6"/>
        <v>17.217901234567901</v>
      </c>
      <c r="AM34">
        <f t="shared" si="7"/>
        <v>0.35993161635802468</v>
      </c>
      <c r="AP34" s="9"/>
      <c r="AQ34" s="21">
        <v>1.52908</v>
      </c>
      <c r="AR34" s="21">
        <v>23.005500000000001</v>
      </c>
      <c r="AS34" s="21">
        <v>-1.02448E-2</v>
      </c>
      <c r="AT34" s="21">
        <v>24</v>
      </c>
      <c r="AU34" s="21">
        <v>1.5283199999999999</v>
      </c>
      <c r="AV34">
        <f t="shared" si="8"/>
        <v>12.6479012345679</v>
      </c>
      <c r="AW34">
        <f t="shared" si="9"/>
        <v>19.339652819753084</v>
      </c>
      <c r="AX34" s="9"/>
      <c r="AY34" s="21">
        <v>2.0904499999999999E-2</v>
      </c>
      <c r="AZ34" s="21">
        <v>26.522600000000001</v>
      </c>
      <c r="BA34" s="21">
        <v>-1.3894699999999999E-2</v>
      </c>
      <c r="BB34" s="21">
        <v>24</v>
      </c>
      <c r="BC34" s="21">
        <v>2.0816000000000001E-2</v>
      </c>
      <c r="BD34">
        <f t="shared" si="10"/>
        <v>17.153950617283947</v>
      </c>
      <c r="BE34">
        <f t="shared" si="11"/>
        <v>0.35859476067901225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1.5240499999999999</v>
      </c>
      <c r="H35" s="21">
        <v>5.4981</v>
      </c>
      <c r="I35" s="21">
        <v>-1.0263100000000001E-2</v>
      </c>
      <c r="J35" s="21">
        <v>25</v>
      </c>
      <c r="K35" s="21">
        <v>1.5231300000000001</v>
      </c>
      <c r="L35">
        <f t="shared" si="0"/>
        <v>12.670493827160493</v>
      </c>
      <c r="M35">
        <f t="shared" si="1"/>
        <v>19.310466117283948</v>
      </c>
      <c r="N35" s="9"/>
      <c r="O35" s="21">
        <v>2.5939899999999998E-2</v>
      </c>
      <c r="P35" s="21">
        <v>9.0151599999999998</v>
      </c>
      <c r="Q35" s="21">
        <v>-1.3876299999999999E-2</v>
      </c>
      <c r="R35" s="21">
        <v>25</v>
      </c>
      <c r="S35" s="21">
        <v>2.5845300000000002E-2</v>
      </c>
      <c r="T35">
        <f t="shared" si="2"/>
        <v>17.131234567901231</v>
      </c>
      <c r="U35">
        <f t="shared" si="3"/>
        <v>0.4443825115679011</v>
      </c>
      <c r="X35" s="9"/>
      <c r="Y35" s="21">
        <v>1.5240499999999999</v>
      </c>
      <c r="Z35" s="21">
        <v>14.257300000000001</v>
      </c>
      <c r="AA35" s="21">
        <v>-1.03424E-2</v>
      </c>
      <c r="AB35" s="21">
        <v>25</v>
      </c>
      <c r="AC35" s="21">
        <v>1.5231300000000001</v>
      </c>
      <c r="AD35">
        <f t="shared" si="4"/>
        <v>12.768395061728393</v>
      </c>
      <c r="AE35">
        <f t="shared" si="5"/>
        <v>19.459672493827156</v>
      </c>
      <c r="AF35" s="9"/>
      <c r="AG35" s="21">
        <v>2.5939899999999998E-2</v>
      </c>
      <c r="AH35" s="21">
        <v>17.7744</v>
      </c>
      <c r="AI35" s="21">
        <v>-1.39404E-2</v>
      </c>
      <c r="AJ35" s="21">
        <v>25</v>
      </c>
      <c r="AK35" s="21">
        <v>2.5817900000000001E-2</v>
      </c>
      <c r="AL35">
        <f t="shared" si="6"/>
        <v>17.21037037037037</v>
      </c>
      <c r="AM35">
        <f t="shared" si="7"/>
        <v>0.44643528637037033</v>
      </c>
      <c r="AP35" s="9"/>
      <c r="AQ35" s="21">
        <v>1.5240499999999999</v>
      </c>
      <c r="AR35" s="21">
        <v>23.015499999999999</v>
      </c>
      <c r="AS35" s="21">
        <v>-1.03851E-2</v>
      </c>
      <c r="AT35" s="21">
        <v>25</v>
      </c>
      <c r="AU35" s="21">
        <v>1.5240499999999999</v>
      </c>
      <c r="AV35">
        <f t="shared" si="8"/>
        <v>12.82111111111111</v>
      </c>
      <c r="AW35">
        <f t="shared" si="9"/>
        <v>19.540014388888885</v>
      </c>
      <c r="AX35" s="9"/>
      <c r="AY35" s="21">
        <v>2.5939899999999998E-2</v>
      </c>
      <c r="AZ35" s="21">
        <v>26.532699999999998</v>
      </c>
      <c r="BA35" s="21">
        <v>-1.38916E-2</v>
      </c>
      <c r="BB35" s="21">
        <v>25</v>
      </c>
      <c r="BC35" s="21">
        <v>2.5826999999999999E-2</v>
      </c>
      <c r="BD35">
        <f t="shared" si="10"/>
        <v>17.150123456790123</v>
      </c>
      <c r="BE35">
        <f t="shared" si="11"/>
        <v>0.44487248745679009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1.51901</v>
      </c>
      <c r="H36" s="21">
        <v>5.5081699999999998</v>
      </c>
      <c r="I36" s="21">
        <v>-1.03943E-2</v>
      </c>
      <c r="J36" s="21">
        <v>26</v>
      </c>
      <c r="K36" s="21">
        <v>1.5179400000000001</v>
      </c>
      <c r="L36">
        <f t="shared" si="0"/>
        <v>12.832469135802469</v>
      </c>
      <c r="M36">
        <f t="shared" si="1"/>
        <v>19.492648941975308</v>
      </c>
      <c r="N36" s="9"/>
      <c r="O36" s="21">
        <v>3.0975300000000001E-2</v>
      </c>
      <c r="P36" s="21">
        <v>9.0252300000000005</v>
      </c>
      <c r="Q36" s="21">
        <v>-1.38733E-2</v>
      </c>
      <c r="R36" s="21">
        <v>26</v>
      </c>
      <c r="S36" s="21">
        <v>3.0960100000000001E-2</v>
      </c>
      <c r="T36">
        <f t="shared" si="2"/>
        <v>17.127530864197528</v>
      </c>
      <c r="U36">
        <f t="shared" si="3"/>
        <v>0.53053040677777774</v>
      </c>
      <c r="X36" s="9"/>
      <c r="Y36" s="21">
        <v>1.51901</v>
      </c>
      <c r="Z36" s="21">
        <v>14.2674</v>
      </c>
      <c r="AA36" s="21">
        <v>-1.04797E-2</v>
      </c>
      <c r="AB36" s="21">
        <v>26</v>
      </c>
      <c r="AC36" s="21">
        <v>1.5185500000000001</v>
      </c>
      <c r="AD36">
        <f t="shared" si="4"/>
        <v>12.937901234567899</v>
      </c>
      <c r="AE36">
        <f t="shared" si="5"/>
        <v>19.652801354320985</v>
      </c>
      <c r="AF36" s="9"/>
      <c r="AG36" s="21">
        <v>3.0975300000000001E-2</v>
      </c>
      <c r="AH36" s="21">
        <v>17.784400000000002</v>
      </c>
      <c r="AI36" s="21">
        <v>-1.3943499999999999E-2</v>
      </c>
      <c r="AJ36" s="21">
        <v>26</v>
      </c>
      <c r="AK36" s="21">
        <v>3.09082E-2</v>
      </c>
      <c r="AL36">
        <f t="shared" si="6"/>
        <v>17.214197530864197</v>
      </c>
      <c r="AM36">
        <f t="shared" si="7"/>
        <v>0.53321493277777776</v>
      </c>
      <c r="AP36" s="9"/>
      <c r="AQ36" s="21">
        <v>1.51901</v>
      </c>
      <c r="AR36" s="21">
        <v>23.025600000000001</v>
      </c>
      <c r="AS36" s="21">
        <v>-1.05164E-2</v>
      </c>
      <c r="AT36" s="21">
        <v>26</v>
      </c>
      <c r="AU36" s="21">
        <v>1.5173300000000001</v>
      </c>
      <c r="AV36">
        <f t="shared" si="8"/>
        <v>12.98320987654321</v>
      </c>
      <c r="AW36">
        <f t="shared" si="9"/>
        <v>19.7216256345679</v>
      </c>
      <c r="AX36" s="9"/>
      <c r="AY36" s="21">
        <v>3.0975300000000001E-2</v>
      </c>
      <c r="AZ36" s="21">
        <v>26.5427</v>
      </c>
      <c r="BA36" s="21">
        <v>-1.38794E-2</v>
      </c>
      <c r="BB36" s="21">
        <v>26</v>
      </c>
      <c r="BC36" s="21">
        <v>3.0877700000000001E-2</v>
      </c>
      <c r="BD36">
        <f t="shared" si="10"/>
        <v>17.135061728395058</v>
      </c>
      <c r="BE36">
        <f t="shared" si="11"/>
        <v>0.53076367755555542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1.5139800000000001</v>
      </c>
      <c r="H37" s="21">
        <v>5.5182399999999996</v>
      </c>
      <c r="I37" s="21">
        <v>-1.0528600000000001E-2</v>
      </c>
      <c r="J37" s="21">
        <v>27</v>
      </c>
      <c r="K37" s="21">
        <v>1.5127600000000001</v>
      </c>
      <c r="L37">
        <f t="shared" si="0"/>
        <v>12.998271604938271</v>
      </c>
      <c r="M37">
        <f t="shared" si="1"/>
        <v>19.679123244444444</v>
      </c>
      <c r="N37" s="9"/>
      <c r="O37" s="21">
        <v>3.60107E-2</v>
      </c>
      <c r="P37" s="21">
        <v>9.0352999999999994</v>
      </c>
      <c r="Q37" s="21">
        <v>-1.38824E-2</v>
      </c>
      <c r="R37" s="21">
        <v>27</v>
      </c>
      <c r="S37" s="21">
        <v>3.5818500000000003E-2</v>
      </c>
      <c r="T37">
        <f t="shared" si="2"/>
        <v>17.138765432098765</v>
      </c>
      <c r="U37">
        <f t="shared" si="3"/>
        <v>0.61717894034567899</v>
      </c>
      <c r="X37" s="9"/>
      <c r="Y37" s="21">
        <v>1.5139800000000001</v>
      </c>
      <c r="Z37" s="21">
        <v>14.2774</v>
      </c>
      <c r="AA37" s="21">
        <v>-1.0614E-2</v>
      </c>
      <c r="AB37" s="21">
        <v>27</v>
      </c>
      <c r="AC37" s="21">
        <v>1.5130600000000001</v>
      </c>
      <c r="AD37">
        <f t="shared" si="4"/>
        <v>13.103703703703703</v>
      </c>
      <c r="AE37">
        <f t="shared" si="5"/>
        <v>19.838745333333332</v>
      </c>
      <c r="AF37" s="9"/>
      <c r="AG37" s="21">
        <v>3.60107E-2</v>
      </c>
      <c r="AH37" s="21">
        <v>17.794499999999999</v>
      </c>
      <c r="AI37" s="21">
        <v>-1.3952600000000001E-2</v>
      </c>
      <c r="AJ37" s="21">
        <v>27</v>
      </c>
      <c r="AK37" s="21">
        <v>3.59528E-2</v>
      </c>
      <c r="AL37">
        <f t="shared" si="6"/>
        <v>17.225432098765431</v>
      </c>
      <c r="AM37">
        <f t="shared" si="7"/>
        <v>0.62029986767901235</v>
      </c>
      <c r="AP37" s="9"/>
      <c r="AQ37" s="21">
        <v>1.5139800000000001</v>
      </c>
      <c r="AR37" s="21">
        <v>23.035699999999999</v>
      </c>
      <c r="AS37" s="21">
        <v>-1.0638399999999999E-2</v>
      </c>
      <c r="AT37" s="21">
        <v>27</v>
      </c>
      <c r="AU37" s="21">
        <v>1.5127600000000001</v>
      </c>
      <c r="AV37">
        <f t="shared" si="8"/>
        <v>13.133827160493826</v>
      </c>
      <c r="AW37">
        <f t="shared" si="9"/>
        <v>19.884351644444443</v>
      </c>
      <c r="AX37" s="9"/>
      <c r="AY37" s="21">
        <v>3.60107E-2</v>
      </c>
      <c r="AZ37" s="21">
        <v>26.552800000000001</v>
      </c>
      <c r="BA37" s="21">
        <v>-1.38672E-2</v>
      </c>
      <c r="BB37" s="21">
        <v>27</v>
      </c>
      <c r="BC37" s="21">
        <v>3.5922200000000001E-2</v>
      </c>
      <c r="BD37">
        <f t="shared" si="10"/>
        <v>17.12</v>
      </c>
      <c r="BE37">
        <f t="shared" si="11"/>
        <v>0.61650318400000004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1.5089399999999999</v>
      </c>
      <c r="H38" s="21">
        <v>5.5283100000000003</v>
      </c>
      <c r="I38" s="21">
        <v>-1.06415E-2</v>
      </c>
      <c r="J38" s="21">
        <v>28</v>
      </c>
      <c r="K38" s="21">
        <v>1.50848</v>
      </c>
      <c r="L38">
        <f t="shared" si="0"/>
        <v>13.137654320987654</v>
      </c>
      <c r="M38">
        <f t="shared" si="1"/>
        <v>19.823932111111109</v>
      </c>
      <c r="N38" s="9"/>
      <c r="O38" s="21">
        <v>4.1046100000000002E-2</v>
      </c>
      <c r="P38" s="21">
        <v>9.0453700000000001</v>
      </c>
      <c r="Q38" s="21">
        <v>-1.3897700000000001E-2</v>
      </c>
      <c r="R38" s="21">
        <v>28</v>
      </c>
      <c r="S38" s="21">
        <v>4.0948499999999999E-2</v>
      </c>
      <c r="T38">
        <f t="shared" si="2"/>
        <v>17.157654320987653</v>
      </c>
      <c r="U38">
        <f t="shared" si="3"/>
        <v>0.70425479502469135</v>
      </c>
      <c r="X38" s="9"/>
      <c r="Y38" s="21">
        <v>1.5089399999999999</v>
      </c>
      <c r="Z38" s="21">
        <v>14.2875</v>
      </c>
      <c r="AA38" s="21">
        <v>-1.07239E-2</v>
      </c>
      <c r="AB38" s="21">
        <v>28</v>
      </c>
      <c r="AC38" s="21">
        <v>1.50787</v>
      </c>
      <c r="AD38">
        <f t="shared" si="4"/>
        <v>13.239382716049382</v>
      </c>
      <c r="AE38">
        <f t="shared" si="5"/>
        <v>19.977434155555553</v>
      </c>
      <c r="AF38" s="9"/>
      <c r="AG38" s="21">
        <v>4.1046100000000002E-2</v>
      </c>
      <c r="AH38" s="21">
        <v>17.804600000000001</v>
      </c>
      <c r="AI38" s="21">
        <v>-1.39496E-2</v>
      </c>
      <c r="AJ38" s="21">
        <v>28</v>
      </c>
      <c r="AK38" s="21">
        <v>4.0979000000000002E-2</v>
      </c>
      <c r="AL38">
        <f t="shared" si="6"/>
        <v>17.221728395061724</v>
      </c>
      <c r="AM38">
        <f t="shared" si="7"/>
        <v>0.70688478587654313</v>
      </c>
      <c r="AP38" s="9"/>
      <c r="AQ38" s="21">
        <v>1.5089399999999999</v>
      </c>
      <c r="AR38" s="21">
        <v>23.0457</v>
      </c>
      <c r="AS38" s="21">
        <v>-1.0760499999999999E-2</v>
      </c>
      <c r="AT38" s="21">
        <v>28</v>
      </c>
      <c r="AU38" s="21">
        <v>1.50909</v>
      </c>
      <c r="AV38">
        <f t="shared" si="8"/>
        <v>13.284567901234567</v>
      </c>
      <c r="AW38">
        <f t="shared" si="9"/>
        <v>20.045615888888886</v>
      </c>
      <c r="AX38" s="9"/>
      <c r="AY38" s="21">
        <v>4.1046100000000002E-2</v>
      </c>
      <c r="AZ38" s="21">
        <v>26.562899999999999</v>
      </c>
      <c r="BA38" s="21">
        <v>-1.3858000000000001E-2</v>
      </c>
      <c r="BB38" s="21">
        <v>28</v>
      </c>
      <c r="BC38" s="21">
        <v>4.0988200000000002E-2</v>
      </c>
      <c r="BD38">
        <f t="shared" si="10"/>
        <v>17.10864197530864</v>
      </c>
      <c r="BE38">
        <f t="shared" si="11"/>
        <v>0.70224302938271599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1.5039100000000001</v>
      </c>
      <c r="H39" s="21">
        <v>5.5383800000000001</v>
      </c>
      <c r="I39" s="21">
        <v>-1.07574E-2</v>
      </c>
      <c r="J39" s="21">
        <v>29</v>
      </c>
      <c r="K39" s="21">
        <v>1.50299</v>
      </c>
      <c r="L39">
        <f t="shared" si="0"/>
        <v>13.280740740740741</v>
      </c>
      <c r="M39">
        <f t="shared" si="1"/>
        <v>19.973038807407409</v>
      </c>
      <c r="N39" s="9"/>
      <c r="O39" s="21">
        <v>4.6081499999999997E-2</v>
      </c>
      <c r="P39" s="21">
        <v>9.0554400000000008</v>
      </c>
      <c r="Q39" s="21">
        <v>-1.3894699999999999E-2</v>
      </c>
      <c r="R39" s="21">
        <v>29</v>
      </c>
      <c r="S39" s="21">
        <v>4.6102900000000002E-2</v>
      </c>
      <c r="T39">
        <f t="shared" si="2"/>
        <v>17.153950617283947</v>
      </c>
      <c r="U39">
        <f t="shared" si="3"/>
        <v>0.79047977537037017</v>
      </c>
      <c r="X39" s="9"/>
      <c r="Y39" s="21">
        <v>1.5039100000000001</v>
      </c>
      <c r="Z39" s="21">
        <v>14.297599999999999</v>
      </c>
      <c r="AA39" s="21">
        <v>-1.0836800000000001E-2</v>
      </c>
      <c r="AB39" s="21">
        <v>29</v>
      </c>
      <c r="AC39" s="21">
        <v>1.5026900000000001</v>
      </c>
      <c r="AD39">
        <f t="shared" si="4"/>
        <v>13.378765432098765</v>
      </c>
      <c r="AE39">
        <f t="shared" si="5"/>
        <v>20.120459120987654</v>
      </c>
      <c r="AF39" s="9"/>
      <c r="AG39" s="21">
        <v>4.6081499999999997E-2</v>
      </c>
      <c r="AH39" s="21">
        <v>17.814599999999999</v>
      </c>
      <c r="AI39" s="21">
        <v>-1.3943499999999999E-2</v>
      </c>
      <c r="AJ39" s="21">
        <v>29</v>
      </c>
      <c r="AK39" s="21">
        <v>4.5968599999999998E-2</v>
      </c>
      <c r="AL39">
        <f t="shared" si="6"/>
        <v>17.214197530864197</v>
      </c>
      <c r="AM39">
        <f t="shared" si="7"/>
        <v>0.79325604351851842</v>
      </c>
      <c r="AP39" s="9"/>
      <c r="AQ39" s="21">
        <v>1.5039100000000001</v>
      </c>
      <c r="AR39" s="21">
        <v>23.055800000000001</v>
      </c>
      <c r="AS39" s="21">
        <v>-1.08582E-2</v>
      </c>
      <c r="AT39" s="21">
        <v>29</v>
      </c>
      <c r="AU39" s="21">
        <v>1.5036</v>
      </c>
      <c r="AV39">
        <f t="shared" si="8"/>
        <v>13.405185185185186</v>
      </c>
      <c r="AW39">
        <f t="shared" si="9"/>
        <v>20.160192051851855</v>
      </c>
      <c r="AX39" s="9"/>
      <c r="AY39" s="21">
        <v>4.6081499999999997E-2</v>
      </c>
      <c r="AZ39" s="21">
        <v>26.572900000000001</v>
      </c>
      <c r="BA39" s="21">
        <v>-1.3854999999999999E-2</v>
      </c>
      <c r="BB39" s="21">
        <v>29</v>
      </c>
      <c r="BC39" s="21">
        <v>4.6020499999999999E-2</v>
      </c>
      <c r="BD39">
        <f t="shared" si="10"/>
        <v>17.104938271604937</v>
      </c>
      <c r="BE39">
        <f t="shared" si="11"/>
        <v>0.78822121296296288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1.4988699999999999</v>
      </c>
      <c r="H40" s="21">
        <v>5.5484499999999999</v>
      </c>
      <c r="I40" s="21">
        <v>-1.08582E-2</v>
      </c>
      <c r="J40" s="21">
        <v>30</v>
      </c>
      <c r="K40" s="21">
        <v>1.4978</v>
      </c>
      <c r="L40">
        <f t="shared" si="0"/>
        <v>13.405185185185186</v>
      </c>
      <c r="M40">
        <f t="shared" si="1"/>
        <v>20.092629918518519</v>
      </c>
      <c r="N40" s="9"/>
      <c r="O40" s="21">
        <v>5.11169E-2</v>
      </c>
      <c r="P40" s="21">
        <v>9.0655099999999997</v>
      </c>
      <c r="Q40" s="21">
        <v>-1.38916E-2</v>
      </c>
      <c r="R40" s="21">
        <v>30</v>
      </c>
      <c r="S40" s="21">
        <v>5.0567599999999997E-2</v>
      </c>
      <c r="T40">
        <f t="shared" si="2"/>
        <v>17.150123456790123</v>
      </c>
      <c r="U40">
        <f t="shared" si="3"/>
        <v>0.87666114572839504</v>
      </c>
      <c r="X40" s="9"/>
      <c r="Y40" s="21">
        <v>1.4988699999999999</v>
      </c>
      <c r="Z40" s="21">
        <v>14.307700000000001</v>
      </c>
      <c r="AA40" s="21">
        <v>-1.09406E-2</v>
      </c>
      <c r="AB40" s="21">
        <v>30</v>
      </c>
      <c r="AC40" s="21">
        <v>1.49841</v>
      </c>
      <c r="AD40">
        <f t="shared" si="4"/>
        <v>13.506913580246913</v>
      </c>
      <c r="AE40">
        <f t="shared" si="5"/>
        <v>20.245107558024689</v>
      </c>
      <c r="AF40" s="9"/>
      <c r="AG40" s="21">
        <v>5.11169E-2</v>
      </c>
      <c r="AH40" s="21">
        <v>17.8247</v>
      </c>
      <c r="AI40" s="21">
        <v>-1.39404E-2</v>
      </c>
      <c r="AJ40" s="21">
        <v>30</v>
      </c>
      <c r="AK40" s="21">
        <v>5.1126100000000001E-2</v>
      </c>
      <c r="AL40">
        <f t="shared" si="6"/>
        <v>17.21037037037037</v>
      </c>
      <c r="AM40">
        <f t="shared" si="7"/>
        <v>0.87974078118518517</v>
      </c>
      <c r="AP40" s="9"/>
      <c r="AQ40" s="21">
        <v>1.4988699999999999</v>
      </c>
      <c r="AR40" s="21">
        <v>23.065899999999999</v>
      </c>
      <c r="AS40" s="21">
        <v>-1.09619E-2</v>
      </c>
      <c r="AT40" s="21">
        <v>30</v>
      </c>
      <c r="AU40" s="21">
        <v>1.4981100000000001</v>
      </c>
      <c r="AV40">
        <f t="shared" si="8"/>
        <v>13.533209876543209</v>
      </c>
      <c r="AW40">
        <f t="shared" si="9"/>
        <v>20.284522287654319</v>
      </c>
      <c r="AX40" s="9"/>
      <c r="AY40" s="21">
        <v>5.11169E-2</v>
      </c>
      <c r="AZ40" s="21">
        <v>26.582999999999998</v>
      </c>
      <c r="BA40" s="21">
        <v>-1.3854999999999999E-2</v>
      </c>
      <c r="BB40" s="21">
        <v>30</v>
      </c>
      <c r="BC40" s="21">
        <v>5.1059E-2</v>
      </c>
      <c r="BD40">
        <f t="shared" si="10"/>
        <v>17.104938271604937</v>
      </c>
      <c r="BE40">
        <f t="shared" si="11"/>
        <v>0.87435141913580239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1.4938400000000001</v>
      </c>
      <c r="H41" s="21">
        <v>5.5585199999999997</v>
      </c>
      <c r="I41" s="21">
        <v>-1.09619E-2</v>
      </c>
      <c r="J41" s="21">
        <v>31</v>
      </c>
      <c r="K41" s="21">
        <v>1.4932300000000001</v>
      </c>
      <c r="L41">
        <f t="shared" si="0"/>
        <v>13.533209876543209</v>
      </c>
      <c r="M41">
        <f t="shared" si="1"/>
        <v>20.216450241975309</v>
      </c>
      <c r="N41" s="9"/>
      <c r="O41" s="21">
        <v>5.6152300000000002E-2</v>
      </c>
      <c r="P41" s="21">
        <v>9.0755800000000004</v>
      </c>
      <c r="Q41" s="21">
        <v>-1.38855E-2</v>
      </c>
      <c r="R41" s="21">
        <v>31</v>
      </c>
      <c r="S41" s="21">
        <v>5.57251E-2</v>
      </c>
      <c r="T41">
        <f t="shared" si="2"/>
        <v>17.142592592592592</v>
      </c>
      <c r="U41">
        <f t="shared" si="3"/>
        <v>0.9625960020370371</v>
      </c>
      <c r="X41" s="9"/>
      <c r="Y41" s="21">
        <v>1.4938400000000001</v>
      </c>
      <c r="Z41" s="21">
        <v>14.3177</v>
      </c>
      <c r="AA41" s="21">
        <v>-1.10413E-2</v>
      </c>
      <c r="AB41" s="21">
        <v>31</v>
      </c>
      <c r="AC41" s="21">
        <v>1.49261</v>
      </c>
      <c r="AD41">
        <f t="shared" si="4"/>
        <v>13.631234567901235</v>
      </c>
      <c r="AE41">
        <f t="shared" si="5"/>
        <v>20.362883446913582</v>
      </c>
      <c r="AF41" s="9"/>
      <c r="AG41" s="21">
        <v>5.6152300000000002E-2</v>
      </c>
      <c r="AH41" s="21">
        <v>17.834800000000001</v>
      </c>
      <c r="AI41" s="21">
        <v>-1.39404E-2</v>
      </c>
      <c r="AJ41" s="21">
        <v>31</v>
      </c>
      <c r="AK41" s="21">
        <v>5.5664100000000001E-2</v>
      </c>
      <c r="AL41">
        <f t="shared" si="6"/>
        <v>17.21037037037037</v>
      </c>
      <c r="AM41">
        <f t="shared" si="7"/>
        <v>0.96640188014814821</v>
      </c>
      <c r="AP41" s="9"/>
      <c r="AQ41" s="21">
        <v>1.4938400000000001</v>
      </c>
      <c r="AR41" s="21">
        <v>23.076000000000001</v>
      </c>
      <c r="AS41" s="21">
        <v>-1.1059599999999999E-2</v>
      </c>
      <c r="AT41" s="21">
        <v>31</v>
      </c>
      <c r="AU41" s="21">
        <v>1.49292</v>
      </c>
      <c r="AV41">
        <f t="shared" si="8"/>
        <v>13.653827160493826</v>
      </c>
      <c r="AW41">
        <f t="shared" si="9"/>
        <v>20.396633165432096</v>
      </c>
      <c r="AX41" s="9"/>
      <c r="AY41" s="21">
        <v>5.6152300000000002E-2</v>
      </c>
      <c r="AZ41" s="21">
        <v>26.5931</v>
      </c>
      <c r="BA41" s="21">
        <v>-1.38519E-2</v>
      </c>
      <c r="BB41" s="21">
        <v>31</v>
      </c>
      <c r="BC41" s="21">
        <v>5.5572499999999997E-2</v>
      </c>
      <c r="BD41">
        <f t="shared" si="10"/>
        <v>17.101111111111113</v>
      </c>
      <c r="BE41">
        <f t="shared" si="11"/>
        <v>0.96026672144444458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1.4887999999999999</v>
      </c>
      <c r="H42" s="21">
        <v>5.5686</v>
      </c>
      <c r="I42" s="21">
        <v>-1.10504E-2</v>
      </c>
      <c r="J42" s="21">
        <v>32</v>
      </c>
      <c r="K42" s="21">
        <v>1.48743</v>
      </c>
      <c r="L42">
        <f t="shared" si="0"/>
        <v>13.64246913580247</v>
      </c>
      <c r="M42">
        <f t="shared" si="1"/>
        <v>20.310908049382714</v>
      </c>
      <c r="N42" s="9"/>
      <c r="O42" s="21">
        <v>6.1187699999999998E-2</v>
      </c>
      <c r="P42" s="21">
        <v>9.0856499999999993</v>
      </c>
      <c r="Q42" s="21">
        <v>-1.38672E-2</v>
      </c>
      <c r="R42" s="21">
        <v>32</v>
      </c>
      <c r="S42" s="21">
        <v>6.0729999999999999E-2</v>
      </c>
      <c r="T42">
        <f t="shared" si="2"/>
        <v>17.12</v>
      </c>
      <c r="U42">
        <f t="shared" si="3"/>
        <v>1.047533424</v>
      </c>
      <c r="X42" s="9"/>
      <c r="Y42" s="21">
        <v>1.4887999999999999</v>
      </c>
      <c r="Z42" s="21">
        <v>14.3278</v>
      </c>
      <c r="AA42" s="21">
        <v>-1.11237E-2</v>
      </c>
      <c r="AB42" s="21">
        <v>32</v>
      </c>
      <c r="AC42" s="21">
        <v>1.48773</v>
      </c>
      <c r="AD42">
        <f t="shared" si="4"/>
        <v>13.732962962962963</v>
      </c>
      <c r="AE42">
        <f t="shared" si="5"/>
        <v>20.445635259259259</v>
      </c>
      <c r="AF42" s="9"/>
      <c r="AG42" s="21">
        <v>6.1187699999999998E-2</v>
      </c>
      <c r="AH42" s="21">
        <v>17.844899999999999</v>
      </c>
      <c r="AI42" s="21">
        <v>-1.39343E-2</v>
      </c>
      <c r="AJ42" s="21">
        <v>32</v>
      </c>
      <c r="AK42" s="21">
        <v>6.0729999999999999E-2</v>
      </c>
      <c r="AL42">
        <f t="shared" si="6"/>
        <v>17.202839506172836</v>
      </c>
      <c r="AM42">
        <f t="shared" si="7"/>
        <v>1.0526021828518517</v>
      </c>
      <c r="AP42" s="9"/>
      <c r="AQ42" s="21">
        <v>1.4887999999999999</v>
      </c>
      <c r="AR42" s="21">
        <v>23.085999999999999</v>
      </c>
      <c r="AS42" s="21">
        <v>-1.1157200000000001E-2</v>
      </c>
      <c r="AT42" s="21">
        <v>32</v>
      </c>
      <c r="AU42" s="21">
        <v>1.48804</v>
      </c>
      <c r="AV42">
        <f t="shared" si="8"/>
        <v>13.77432098765432</v>
      </c>
      <c r="AW42">
        <f t="shared" si="9"/>
        <v>20.507209086419749</v>
      </c>
      <c r="AX42" s="9"/>
      <c r="AY42" s="21">
        <v>6.1187699999999998E-2</v>
      </c>
      <c r="AZ42" s="21">
        <v>26.603200000000001</v>
      </c>
      <c r="BA42" s="21">
        <v>-1.38458E-2</v>
      </c>
      <c r="BB42" s="21">
        <v>32</v>
      </c>
      <c r="BC42" s="21">
        <v>6.0668899999999998E-2</v>
      </c>
      <c r="BD42">
        <f t="shared" si="10"/>
        <v>17.093580246913579</v>
      </c>
      <c r="BE42">
        <f t="shared" si="11"/>
        <v>1.045916860074074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1.48376</v>
      </c>
      <c r="H43" s="21">
        <v>5.5786699999999998</v>
      </c>
      <c r="I43" s="21">
        <v>-1.1148099999999999E-2</v>
      </c>
      <c r="J43" s="21">
        <v>33</v>
      </c>
      <c r="K43" s="21">
        <v>1.48285</v>
      </c>
      <c r="L43">
        <f t="shared" si="0"/>
        <v>13.763086419753085</v>
      </c>
      <c r="M43">
        <f t="shared" si="1"/>
        <v>20.421117106172836</v>
      </c>
      <c r="N43" s="9"/>
      <c r="O43" s="21">
        <v>6.6223099999999993E-2</v>
      </c>
      <c r="P43" s="21">
        <v>9.09572</v>
      </c>
      <c r="Q43" s="21">
        <v>-1.3861099999999999E-2</v>
      </c>
      <c r="R43" s="21">
        <v>33</v>
      </c>
      <c r="S43" s="21">
        <v>6.5734899999999999E-2</v>
      </c>
      <c r="T43">
        <f t="shared" si="2"/>
        <v>17.112469135802467</v>
      </c>
      <c r="U43">
        <f t="shared" si="3"/>
        <v>1.1332407548271601</v>
      </c>
      <c r="X43" s="9"/>
      <c r="Y43" s="21">
        <v>1.48376</v>
      </c>
      <c r="Z43" s="21">
        <v>14.337899999999999</v>
      </c>
      <c r="AA43" s="21">
        <v>-1.12152E-2</v>
      </c>
      <c r="AB43" s="21">
        <v>33</v>
      </c>
      <c r="AC43" s="21">
        <v>1.48285</v>
      </c>
      <c r="AD43">
        <f t="shared" si="4"/>
        <v>13.845925925925926</v>
      </c>
      <c r="AE43">
        <f t="shared" si="5"/>
        <v>20.544031051851849</v>
      </c>
      <c r="AF43" s="9"/>
      <c r="AG43" s="21">
        <v>6.6223099999999993E-2</v>
      </c>
      <c r="AH43" s="21">
        <v>17.854900000000001</v>
      </c>
      <c r="AI43" s="21">
        <v>-1.39221E-2</v>
      </c>
      <c r="AJ43" s="21">
        <v>33</v>
      </c>
      <c r="AK43" s="21">
        <v>6.5673800000000004E-2</v>
      </c>
      <c r="AL43">
        <f t="shared" si="6"/>
        <v>17.187777777777779</v>
      </c>
      <c r="AM43">
        <f t="shared" si="7"/>
        <v>1.1382279265555555</v>
      </c>
      <c r="AP43" s="9"/>
      <c r="AQ43" s="21">
        <v>1.48376</v>
      </c>
      <c r="AR43" s="21">
        <v>23.0961</v>
      </c>
      <c r="AS43" s="21">
        <v>-1.1245700000000001E-2</v>
      </c>
      <c r="AT43" s="21">
        <v>33</v>
      </c>
      <c r="AU43" s="21">
        <v>1.48346</v>
      </c>
      <c r="AV43">
        <f t="shared" si="8"/>
        <v>13.883580246913581</v>
      </c>
      <c r="AW43">
        <f t="shared" si="9"/>
        <v>20.599901027160495</v>
      </c>
      <c r="AX43" s="9"/>
      <c r="AY43" s="21">
        <v>6.6223099999999993E-2</v>
      </c>
      <c r="AZ43" s="21">
        <v>26.613199999999999</v>
      </c>
      <c r="BA43" s="21">
        <v>-1.3848900000000001E-2</v>
      </c>
      <c r="BB43" s="21">
        <v>33</v>
      </c>
      <c r="BC43" s="21">
        <v>6.5795900000000004E-2</v>
      </c>
      <c r="BD43">
        <f t="shared" si="10"/>
        <v>17.09740740740741</v>
      </c>
      <c r="BE43">
        <f t="shared" si="11"/>
        <v>1.1322433204814815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1.4787300000000001</v>
      </c>
      <c r="H44" s="21">
        <v>5.5887399999999996</v>
      </c>
      <c r="I44" s="21">
        <v>-1.1239600000000001E-2</v>
      </c>
      <c r="J44" s="21">
        <v>34</v>
      </c>
      <c r="K44" s="21">
        <v>1.47797</v>
      </c>
      <c r="L44">
        <f t="shared" si="0"/>
        <v>13.876049382716049</v>
      </c>
      <c r="M44">
        <f t="shared" si="1"/>
        <v>20.518930503703704</v>
      </c>
      <c r="N44" s="9"/>
      <c r="O44" s="21">
        <v>7.1258500000000002E-2</v>
      </c>
      <c r="P44" s="21">
        <v>9.1058000000000003</v>
      </c>
      <c r="Q44" s="21">
        <v>-1.3854999999999999E-2</v>
      </c>
      <c r="R44" s="21">
        <v>34</v>
      </c>
      <c r="S44" s="21">
        <v>7.0617700000000005E-2</v>
      </c>
      <c r="T44">
        <f t="shared" si="2"/>
        <v>17.104938271604937</v>
      </c>
      <c r="U44">
        <f t="shared" si="3"/>
        <v>1.2188722438271604</v>
      </c>
      <c r="X44" s="9"/>
      <c r="Y44" s="21">
        <v>1.4787300000000001</v>
      </c>
      <c r="Z44" s="21">
        <v>14.347899999999999</v>
      </c>
      <c r="AA44" s="21">
        <v>-1.12976E-2</v>
      </c>
      <c r="AB44" s="21">
        <v>34</v>
      </c>
      <c r="AC44" s="21">
        <v>1.47797</v>
      </c>
      <c r="AD44">
        <f t="shared" si="4"/>
        <v>13.947654320987654</v>
      </c>
      <c r="AE44">
        <f t="shared" si="5"/>
        <v>20.624814874074076</v>
      </c>
      <c r="AF44" s="9"/>
      <c r="AG44" s="21">
        <v>7.1258500000000002E-2</v>
      </c>
      <c r="AH44" s="21">
        <v>17.864999999999998</v>
      </c>
      <c r="AI44" s="21">
        <v>-1.39252E-2</v>
      </c>
      <c r="AJ44" s="21">
        <v>34</v>
      </c>
      <c r="AK44" s="21">
        <v>7.0739700000000003E-2</v>
      </c>
      <c r="AL44">
        <f t="shared" si="6"/>
        <v>17.191604938271606</v>
      </c>
      <c r="AM44">
        <f t="shared" si="7"/>
        <v>1.2250479804938272</v>
      </c>
      <c r="AP44" s="9"/>
      <c r="AQ44" s="21">
        <v>1.4787300000000001</v>
      </c>
      <c r="AR44" s="21">
        <v>23.106200000000001</v>
      </c>
      <c r="AS44" s="21">
        <v>-1.13312E-2</v>
      </c>
      <c r="AT44" s="21">
        <v>34</v>
      </c>
      <c r="AU44" s="21">
        <v>1.47766</v>
      </c>
      <c r="AV44">
        <f t="shared" si="8"/>
        <v>13.989135802469134</v>
      </c>
      <c r="AW44">
        <f t="shared" si="9"/>
        <v>20.686154785185185</v>
      </c>
      <c r="AX44" s="9"/>
      <c r="AY44" s="21">
        <v>7.1258500000000002E-2</v>
      </c>
      <c r="AZ44" s="21">
        <v>26.6233</v>
      </c>
      <c r="BA44" s="21">
        <v>-1.38458E-2</v>
      </c>
      <c r="BB44" s="21">
        <v>34</v>
      </c>
      <c r="BC44" s="21">
        <v>7.0739700000000003E-2</v>
      </c>
      <c r="BD44">
        <f t="shared" si="10"/>
        <v>17.093580246913579</v>
      </c>
      <c r="BE44">
        <f t="shared" si="11"/>
        <v>1.2180628880246913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1.4736899999999999</v>
      </c>
      <c r="H45" s="21">
        <v>5.5988100000000003</v>
      </c>
      <c r="I45" s="21">
        <v>-1.13159E-2</v>
      </c>
      <c r="J45" s="21">
        <v>35</v>
      </c>
      <c r="K45" s="21">
        <v>1.4730799999999999</v>
      </c>
      <c r="L45">
        <f t="shared" si="0"/>
        <v>13.970246913580247</v>
      </c>
      <c r="M45">
        <f t="shared" si="1"/>
        <v>20.587813174074075</v>
      </c>
      <c r="N45" s="9"/>
      <c r="O45" s="21">
        <v>7.6293899999999998E-2</v>
      </c>
      <c r="P45" s="21">
        <v>9.1158699999999993</v>
      </c>
      <c r="Q45" s="21">
        <v>-1.3854999999999999E-2</v>
      </c>
      <c r="R45" s="21">
        <v>35</v>
      </c>
      <c r="S45" s="21">
        <v>7.5866699999999995E-2</v>
      </c>
      <c r="T45">
        <f t="shared" si="2"/>
        <v>17.104938271604937</v>
      </c>
      <c r="U45">
        <f t="shared" si="3"/>
        <v>1.3050024499999999</v>
      </c>
      <c r="X45" s="9"/>
      <c r="Y45" s="21">
        <v>1.4736899999999999</v>
      </c>
      <c r="Z45" s="21">
        <v>14.358000000000001</v>
      </c>
      <c r="AA45" s="21">
        <v>-1.1379999999999999E-2</v>
      </c>
      <c r="AB45" s="21">
        <v>35</v>
      </c>
      <c r="AC45" s="21">
        <v>1.47278</v>
      </c>
      <c r="AD45">
        <f t="shared" si="4"/>
        <v>14.049382716049381</v>
      </c>
      <c r="AE45">
        <f t="shared" si="5"/>
        <v>20.70443481481481</v>
      </c>
      <c r="AF45" s="9"/>
      <c r="AG45" s="21">
        <v>7.6293899999999998E-2</v>
      </c>
      <c r="AH45" s="21">
        <v>17.8751</v>
      </c>
      <c r="AI45" s="21">
        <v>-1.39191E-2</v>
      </c>
      <c r="AJ45" s="21">
        <v>35</v>
      </c>
      <c r="AK45" s="21">
        <v>7.5805700000000004E-2</v>
      </c>
      <c r="AL45">
        <f t="shared" si="6"/>
        <v>17.184074074074076</v>
      </c>
      <c r="AM45">
        <f t="shared" si="7"/>
        <v>1.3110400290000002</v>
      </c>
      <c r="AP45" s="9"/>
      <c r="AQ45" s="21">
        <v>1.4736899999999999</v>
      </c>
      <c r="AR45" s="21">
        <v>23.116199999999999</v>
      </c>
      <c r="AS45" s="21">
        <v>-1.1407499999999999E-2</v>
      </c>
      <c r="AT45" s="21">
        <v>35</v>
      </c>
      <c r="AU45" s="21">
        <v>1.47339</v>
      </c>
      <c r="AV45">
        <f t="shared" si="8"/>
        <v>14.083333333333332</v>
      </c>
      <c r="AW45">
        <f t="shared" si="9"/>
        <v>20.754467499999997</v>
      </c>
      <c r="AX45" s="9"/>
      <c r="AY45" s="21">
        <v>7.6293899999999998E-2</v>
      </c>
      <c r="AZ45" s="21">
        <v>26.633400000000002</v>
      </c>
      <c r="BA45" s="21">
        <v>-1.3842800000000001E-2</v>
      </c>
      <c r="BB45" s="21">
        <v>35</v>
      </c>
      <c r="BC45" s="21">
        <v>7.5714100000000006E-2</v>
      </c>
      <c r="BD45">
        <f t="shared" si="10"/>
        <v>17.089876543209876</v>
      </c>
      <c r="BE45">
        <f t="shared" si="11"/>
        <v>1.3038533319999999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1.4686600000000001</v>
      </c>
      <c r="H46" s="21">
        <v>5.6088800000000001</v>
      </c>
      <c r="I46" s="21">
        <v>-1.13861E-2</v>
      </c>
      <c r="J46" s="21">
        <v>36</v>
      </c>
      <c r="K46" s="21">
        <v>1.4679</v>
      </c>
      <c r="L46">
        <f t="shared" si="0"/>
        <v>14.056913580246912</v>
      </c>
      <c r="M46">
        <f t="shared" si="1"/>
        <v>20.644826698765431</v>
      </c>
      <c r="N46" s="9"/>
      <c r="O46" s="21">
        <v>8.1329299999999993E-2</v>
      </c>
      <c r="P46" s="21">
        <v>9.1259399999999999</v>
      </c>
      <c r="Q46" s="21">
        <v>-1.3854999999999999E-2</v>
      </c>
      <c r="R46" s="21">
        <v>36</v>
      </c>
      <c r="S46" s="21">
        <v>8.0841099999999999E-2</v>
      </c>
      <c r="T46">
        <f t="shared" si="2"/>
        <v>17.104938271604937</v>
      </c>
      <c r="U46">
        <f t="shared" si="3"/>
        <v>1.3911326561728392</v>
      </c>
      <c r="X46" s="9"/>
      <c r="Y46" s="21">
        <v>1.4686600000000001</v>
      </c>
      <c r="Z46" s="21">
        <v>14.3681</v>
      </c>
      <c r="AA46" s="21">
        <v>-1.1456300000000001E-2</v>
      </c>
      <c r="AB46" s="21">
        <v>36</v>
      </c>
      <c r="AC46" s="21">
        <v>1.4679</v>
      </c>
      <c r="AD46">
        <f t="shared" si="4"/>
        <v>14.143580246913581</v>
      </c>
      <c r="AE46">
        <f t="shared" si="5"/>
        <v>20.772110565432101</v>
      </c>
      <c r="AF46" s="9"/>
      <c r="AG46" s="21">
        <v>8.1329299999999993E-2</v>
      </c>
      <c r="AH46" s="21">
        <v>17.885100000000001</v>
      </c>
      <c r="AI46" s="21">
        <v>-1.3909899999999999E-2</v>
      </c>
      <c r="AJ46" s="21">
        <v>36</v>
      </c>
      <c r="AK46" s="21">
        <v>8.0902100000000005E-2</v>
      </c>
      <c r="AL46">
        <f t="shared" si="6"/>
        <v>17.172716049382714</v>
      </c>
      <c r="AM46">
        <f t="shared" si="7"/>
        <v>1.3966449753950614</v>
      </c>
      <c r="AP46" s="9"/>
      <c r="AQ46" s="21">
        <v>1.4686600000000001</v>
      </c>
      <c r="AR46" s="21">
        <v>23.126300000000001</v>
      </c>
      <c r="AS46" s="21">
        <v>-1.14777E-2</v>
      </c>
      <c r="AT46" s="21">
        <v>36</v>
      </c>
      <c r="AU46" s="21">
        <v>1.46759</v>
      </c>
      <c r="AV46">
        <f t="shared" si="8"/>
        <v>14.17</v>
      </c>
      <c r="AW46">
        <f t="shared" si="9"/>
        <v>20.810912200000001</v>
      </c>
      <c r="AX46" s="9"/>
      <c r="AY46" s="21">
        <v>8.1329299999999993E-2</v>
      </c>
      <c r="AZ46" s="21">
        <v>26.6434</v>
      </c>
      <c r="BA46" s="21">
        <v>-1.38367E-2</v>
      </c>
      <c r="BB46" s="21">
        <v>36</v>
      </c>
      <c r="BC46" s="21">
        <v>8.0810499999999993E-2</v>
      </c>
      <c r="BD46">
        <f t="shared" si="10"/>
        <v>17.082345679012345</v>
      </c>
      <c r="BE46">
        <f t="shared" si="11"/>
        <v>1.3892952164320986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1.4636199999999999</v>
      </c>
      <c r="H47" s="21">
        <v>5.6189499999999999</v>
      </c>
      <c r="I47" s="21">
        <v>-1.1456300000000001E-2</v>
      </c>
      <c r="J47" s="21">
        <v>37</v>
      </c>
      <c r="K47" s="21">
        <v>1.4623999999999999</v>
      </c>
      <c r="L47">
        <f t="shared" si="0"/>
        <v>14.143580246913581</v>
      </c>
      <c r="M47">
        <f t="shared" si="1"/>
        <v>20.700826920987655</v>
      </c>
      <c r="N47" s="9"/>
      <c r="O47" s="21">
        <v>8.6364700000000003E-2</v>
      </c>
      <c r="P47" s="21">
        <v>9.1360100000000006</v>
      </c>
      <c r="Q47" s="21">
        <v>-1.38458E-2</v>
      </c>
      <c r="R47" s="21">
        <v>37</v>
      </c>
      <c r="S47" s="21">
        <v>8.5845900000000003E-2</v>
      </c>
      <c r="T47">
        <f t="shared" si="2"/>
        <v>17.093580246913579</v>
      </c>
      <c r="U47">
        <f t="shared" si="3"/>
        <v>1.4762819299506171</v>
      </c>
      <c r="X47" s="9"/>
      <c r="Y47" s="21">
        <v>1.4636199999999999</v>
      </c>
      <c r="Z47" s="21">
        <v>14.3782</v>
      </c>
      <c r="AA47" s="21">
        <v>-1.15356E-2</v>
      </c>
      <c r="AB47" s="21">
        <v>37</v>
      </c>
      <c r="AC47" s="21">
        <v>1.46271</v>
      </c>
      <c r="AD47">
        <f t="shared" si="4"/>
        <v>14.241481481481481</v>
      </c>
      <c r="AE47">
        <f t="shared" si="5"/>
        <v>20.844117125925923</v>
      </c>
      <c r="AF47" s="9"/>
      <c r="AG47" s="21">
        <v>8.6364700000000003E-2</v>
      </c>
      <c r="AH47" s="21">
        <v>17.895199999999999</v>
      </c>
      <c r="AI47" s="21">
        <v>-1.3903799999999999E-2</v>
      </c>
      <c r="AJ47" s="21">
        <v>37</v>
      </c>
      <c r="AK47" s="21">
        <v>8.5906999999999997E-2</v>
      </c>
      <c r="AL47">
        <f t="shared" si="6"/>
        <v>17.165185185185184</v>
      </c>
      <c r="AM47">
        <f t="shared" si="7"/>
        <v>1.482466068962963</v>
      </c>
      <c r="AP47" s="9"/>
      <c r="AQ47" s="21">
        <v>1.4636199999999999</v>
      </c>
      <c r="AR47" s="21">
        <v>23.136399999999998</v>
      </c>
      <c r="AS47" s="21">
        <v>-1.1554E-2</v>
      </c>
      <c r="AT47" s="21">
        <v>37</v>
      </c>
      <c r="AU47" s="21">
        <v>1.46271</v>
      </c>
      <c r="AV47">
        <f t="shared" si="8"/>
        <v>14.264197530864198</v>
      </c>
      <c r="AW47">
        <f t="shared" si="9"/>
        <v>20.877364790123458</v>
      </c>
      <c r="AX47" s="9"/>
      <c r="AY47" s="21">
        <v>8.6364700000000003E-2</v>
      </c>
      <c r="AZ47" s="21">
        <v>26.653500000000001</v>
      </c>
      <c r="BA47" s="21">
        <v>-1.38367E-2</v>
      </c>
      <c r="BB47" s="21">
        <v>37</v>
      </c>
      <c r="BC47" s="21">
        <v>8.5784899999999997E-2</v>
      </c>
      <c r="BD47">
        <f t="shared" si="10"/>
        <v>17.082345679012345</v>
      </c>
      <c r="BE47">
        <f t="shared" si="11"/>
        <v>1.4753116598641975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1.4585900000000001</v>
      </c>
      <c r="H48" s="21">
        <v>5.6290199999999997</v>
      </c>
      <c r="I48" s="21">
        <v>-1.1517299999999999E-2</v>
      </c>
      <c r="J48" s="21">
        <v>38</v>
      </c>
      <c r="K48" s="21">
        <v>1.4569099999999999</v>
      </c>
      <c r="L48">
        <f t="shared" si="0"/>
        <v>14.218888888888888</v>
      </c>
      <c r="M48">
        <f t="shared" si="1"/>
        <v>20.739529144444443</v>
      </c>
      <c r="N48" s="9"/>
      <c r="O48" s="21">
        <v>9.1400099999999998E-2</v>
      </c>
      <c r="P48" s="21">
        <v>9.1460799999999995</v>
      </c>
      <c r="Q48" s="21">
        <v>-1.38336E-2</v>
      </c>
      <c r="R48" s="21">
        <v>38</v>
      </c>
      <c r="S48" s="21">
        <v>9.0911900000000004E-2</v>
      </c>
      <c r="T48">
        <f t="shared" si="2"/>
        <v>17.078518518518518</v>
      </c>
      <c r="U48">
        <f t="shared" si="3"/>
        <v>1.5609783004444444</v>
      </c>
      <c r="X48" s="9"/>
      <c r="Y48" s="21">
        <v>1.4585900000000001</v>
      </c>
      <c r="Z48" s="21">
        <v>14.388199999999999</v>
      </c>
      <c r="AA48" s="21">
        <v>-1.1615E-2</v>
      </c>
      <c r="AB48" s="21">
        <v>38</v>
      </c>
      <c r="AC48" s="21">
        <v>1.4578199999999999</v>
      </c>
      <c r="AD48">
        <f t="shared" si="4"/>
        <v>14.339506172839505</v>
      </c>
      <c r="AE48">
        <f t="shared" si="5"/>
        <v>20.915460308641975</v>
      </c>
      <c r="AF48" s="9"/>
      <c r="AG48" s="21">
        <v>9.1400099999999998E-2</v>
      </c>
      <c r="AH48" s="21">
        <v>17.9053</v>
      </c>
      <c r="AI48" s="21">
        <v>-1.3897700000000001E-2</v>
      </c>
      <c r="AJ48" s="21">
        <v>38</v>
      </c>
      <c r="AK48" s="21">
        <v>9.0911900000000004E-2</v>
      </c>
      <c r="AL48">
        <f t="shared" si="6"/>
        <v>17.157654320987653</v>
      </c>
      <c r="AM48">
        <f t="shared" si="7"/>
        <v>1.5682113207037036</v>
      </c>
      <c r="AP48" s="9"/>
      <c r="AQ48" s="21">
        <v>1.4585900000000001</v>
      </c>
      <c r="AR48" s="21">
        <v>23.1464</v>
      </c>
      <c r="AS48" s="21">
        <v>-1.16302E-2</v>
      </c>
      <c r="AT48" s="21">
        <v>38</v>
      </c>
      <c r="AU48" s="21">
        <v>1.4581299999999999</v>
      </c>
      <c r="AV48">
        <f t="shared" si="8"/>
        <v>14.35827160493827</v>
      </c>
      <c r="AW48">
        <f t="shared" si="9"/>
        <v>20.942831380246911</v>
      </c>
      <c r="AX48" s="9"/>
      <c r="AY48" s="21">
        <v>9.1400099999999998E-2</v>
      </c>
      <c r="AZ48" s="21">
        <v>26.663599999999999</v>
      </c>
      <c r="BA48" s="21">
        <v>-1.38336E-2</v>
      </c>
      <c r="BB48" s="21">
        <v>38</v>
      </c>
      <c r="BC48" s="21">
        <v>9.0972899999999995E-2</v>
      </c>
      <c r="BD48">
        <f t="shared" si="10"/>
        <v>17.078518518518518</v>
      </c>
      <c r="BE48">
        <f t="shared" si="11"/>
        <v>1.5609783004444444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1.4535499999999999</v>
      </c>
      <c r="H49" s="21">
        <v>5.6390900000000004</v>
      </c>
      <c r="I49" s="21">
        <v>-1.1587500000000001E-2</v>
      </c>
      <c r="J49" s="21">
        <v>39</v>
      </c>
      <c r="K49" s="21">
        <v>1.4529399999999999</v>
      </c>
      <c r="L49">
        <f t="shared" si="0"/>
        <v>14.305555555555555</v>
      </c>
      <c r="M49">
        <f t="shared" si="1"/>
        <v>20.793840277777775</v>
      </c>
      <c r="N49" s="9"/>
      <c r="O49" s="21">
        <v>9.6435499999999993E-2</v>
      </c>
      <c r="P49" s="21">
        <v>9.1561500000000002</v>
      </c>
      <c r="Q49" s="21">
        <v>-1.3821399999999999E-2</v>
      </c>
      <c r="R49" s="21">
        <v>39</v>
      </c>
      <c r="S49" s="21">
        <v>9.5977800000000002E-2</v>
      </c>
      <c r="T49">
        <f t="shared" si="2"/>
        <v>17.063456790123453</v>
      </c>
      <c r="U49">
        <f t="shared" si="3"/>
        <v>1.6455229872839501</v>
      </c>
      <c r="X49" s="9"/>
      <c r="Y49" s="21">
        <v>1.4535499999999999</v>
      </c>
      <c r="Z49" s="21">
        <v>14.398300000000001</v>
      </c>
      <c r="AA49" s="21">
        <v>-1.16913E-2</v>
      </c>
      <c r="AB49" s="21">
        <v>39</v>
      </c>
      <c r="AC49" s="21">
        <v>1.4526399999999999</v>
      </c>
      <c r="AD49">
        <f t="shared" si="4"/>
        <v>14.433703703703703</v>
      </c>
      <c r="AE49">
        <f t="shared" si="5"/>
        <v>20.980110018518516</v>
      </c>
      <c r="AF49" s="9"/>
      <c r="AG49" s="21">
        <v>9.6435499999999993E-2</v>
      </c>
      <c r="AH49" s="21">
        <v>17.915400000000002</v>
      </c>
      <c r="AI49" s="21">
        <v>-1.38916E-2</v>
      </c>
      <c r="AJ49" s="21">
        <v>39</v>
      </c>
      <c r="AK49" s="21">
        <v>9.5825199999999999E-2</v>
      </c>
      <c r="AL49">
        <f t="shared" si="6"/>
        <v>17.150123456790123</v>
      </c>
      <c r="AM49">
        <f t="shared" si="7"/>
        <v>1.6538807306172838</v>
      </c>
      <c r="AP49" s="9"/>
      <c r="AQ49" s="21">
        <v>1.4535499999999999</v>
      </c>
      <c r="AR49" s="21">
        <v>23.156500000000001</v>
      </c>
      <c r="AS49" s="21">
        <v>-1.17004E-2</v>
      </c>
      <c r="AT49" s="21">
        <v>39</v>
      </c>
      <c r="AU49" s="21">
        <v>1.4526399999999999</v>
      </c>
      <c r="AV49">
        <f t="shared" si="8"/>
        <v>14.444938271604938</v>
      </c>
      <c r="AW49">
        <f t="shared" si="9"/>
        <v>20.996440024691356</v>
      </c>
      <c r="AX49" s="9"/>
      <c r="AY49" s="21">
        <v>9.6435499999999993E-2</v>
      </c>
      <c r="AZ49" s="21">
        <v>26.6737</v>
      </c>
      <c r="BA49" s="21">
        <v>-1.38275E-2</v>
      </c>
      <c r="BB49" s="21">
        <v>39</v>
      </c>
      <c r="BC49" s="21">
        <v>9.5886200000000005E-2</v>
      </c>
      <c r="BD49">
        <f t="shared" si="10"/>
        <v>17.070987654320987</v>
      </c>
      <c r="BE49">
        <f t="shared" si="11"/>
        <v>1.6462492299382714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1.44852</v>
      </c>
      <c r="H50" s="21">
        <v>5.6491600000000002</v>
      </c>
      <c r="I50" s="21">
        <v>-1.16547E-2</v>
      </c>
      <c r="J50" s="21">
        <v>40</v>
      </c>
      <c r="K50" s="21">
        <v>1.4477500000000001</v>
      </c>
      <c r="L50">
        <f t="shared" si="0"/>
        <v>14.388518518518518</v>
      </c>
      <c r="M50">
        <f t="shared" si="1"/>
        <v>20.842056844444443</v>
      </c>
      <c r="N50" s="9"/>
      <c r="O50" s="21">
        <v>0.10147100000000001</v>
      </c>
      <c r="P50" s="21">
        <v>9.1662199999999991</v>
      </c>
      <c r="Q50" s="21">
        <v>-1.3815300000000001E-2</v>
      </c>
      <c r="R50" s="21">
        <v>40</v>
      </c>
      <c r="S50" s="21">
        <v>0.100922</v>
      </c>
      <c r="T50">
        <f t="shared" si="2"/>
        <v>17.055925925925926</v>
      </c>
      <c r="U50">
        <f t="shared" si="3"/>
        <v>1.7306818596296298</v>
      </c>
      <c r="X50" s="9"/>
      <c r="Y50" s="21">
        <v>1.44852</v>
      </c>
      <c r="Z50" s="21">
        <v>14.4084</v>
      </c>
      <c r="AA50" s="21">
        <v>-1.17523E-2</v>
      </c>
      <c r="AB50" s="21">
        <v>40</v>
      </c>
      <c r="AC50" s="21">
        <v>1.4474499999999999</v>
      </c>
      <c r="AD50">
        <f t="shared" si="4"/>
        <v>14.509012345679011</v>
      </c>
      <c r="AE50">
        <f t="shared" si="5"/>
        <v>21.016594562962961</v>
      </c>
      <c r="AF50" s="9"/>
      <c r="AG50" s="21">
        <v>0.10147100000000001</v>
      </c>
      <c r="AH50" s="21">
        <v>17.9254</v>
      </c>
      <c r="AI50" s="21">
        <v>-1.38824E-2</v>
      </c>
      <c r="AJ50" s="21">
        <v>40</v>
      </c>
      <c r="AK50" s="21">
        <v>0.100922</v>
      </c>
      <c r="AL50">
        <f t="shared" si="6"/>
        <v>17.138765432098765</v>
      </c>
      <c r="AM50">
        <f t="shared" si="7"/>
        <v>1.7390876671604938</v>
      </c>
      <c r="AP50" s="9"/>
      <c r="AQ50" s="21">
        <v>1.44852</v>
      </c>
      <c r="AR50" s="21">
        <v>23.166599999999999</v>
      </c>
      <c r="AS50" s="21">
        <v>-1.1755399999999999E-2</v>
      </c>
      <c r="AT50" s="21">
        <v>40</v>
      </c>
      <c r="AU50" s="21">
        <v>1.4480599999999999</v>
      </c>
      <c r="AV50">
        <f t="shared" si="8"/>
        <v>14.512839506172838</v>
      </c>
      <c r="AW50">
        <f t="shared" si="9"/>
        <v>21.022138281481482</v>
      </c>
      <c r="AX50" s="9"/>
      <c r="AY50" s="21">
        <v>0.10147100000000001</v>
      </c>
      <c r="AZ50" s="21">
        <v>26.683700000000002</v>
      </c>
      <c r="BA50" s="21">
        <v>-1.38245E-2</v>
      </c>
      <c r="BB50" s="21">
        <v>40</v>
      </c>
      <c r="BC50" s="21">
        <v>0.10101300000000001</v>
      </c>
      <c r="BD50">
        <f t="shared" si="10"/>
        <v>17.067283950617281</v>
      </c>
      <c r="BE50">
        <f t="shared" si="11"/>
        <v>1.7318343697530862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1.4434800000000001</v>
      </c>
      <c r="H51" s="21">
        <v>5.65923</v>
      </c>
      <c r="I51" s="21">
        <v>-1.17126E-2</v>
      </c>
      <c r="J51" s="21">
        <v>41</v>
      </c>
      <c r="K51" s="21">
        <v>1.4428700000000001</v>
      </c>
      <c r="L51">
        <f t="shared" si="0"/>
        <v>14.459999999999999</v>
      </c>
      <c r="M51">
        <f t="shared" si="1"/>
        <v>20.8727208</v>
      </c>
      <c r="N51" s="9"/>
      <c r="O51" s="21">
        <v>0.106506</v>
      </c>
      <c r="P51" s="21">
        <v>9.1762899999999998</v>
      </c>
      <c r="Q51" s="21">
        <v>-1.38123E-2</v>
      </c>
      <c r="R51" s="21">
        <v>41</v>
      </c>
      <c r="S51" s="21">
        <v>0.106018</v>
      </c>
      <c r="T51">
        <f t="shared" si="2"/>
        <v>17.052222222222223</v>
      </c>
      <c r="U51">
        <f t="shared" si="3"/>
        <v>1.8161639800000002</v>
      </c>
      <c r="X51" s="9"/>
      <c r="Y51" s="21">
        <v>1.4434800000000001</v>
      </c>
      <c r="Z51" s="21">
        <v>14.4184</v>
      </c>
      <c r="AA51" s="21">
        <v>-1.1810299999999999E-2</v>
      </c>
      <c r="AB51" s="21">
        <v>41</v>
      </c>
      <c r="AC51" s="21">
        <v>1.4425699999999999</v>
      </c>
      <c r="AD51">
        <f t="shared" si="4"/>
        <v>14.580617283950616</v>
      </c>
      <c r="AE51">
        <f t="shared" si="5"/>
        <v>21.046829437037037</v>
      </c>
      <c r="AF51" s="9"/>
      <c r="AG51" s="21">
        <v>0.106506</v>
      </c>
      <c r="AH51" s="21">
        <v>17.935500000000001</v>
      </c>
      <c r="AI51" s="21">
        <v>-1.38733E-2</v>
      </c>
      <c r="AJ51" s="21">
        <v>41</v>
      </c>
      <c r="AK51" s="21">
        <v>0.105957</v>
      </c>
      <c r="AL51">
        <f t="shared" si="6"/>
        <v>17.127530864197528</v>
      </c>
      <c r="AM51">
        <f t="shared" si="7"/>
        <v>1.824184802222222</v>
      </c>
      <c r="AP51" s="9"/>
      <c r="AQ51" s="21">
        <v>1.4434800000000001</v>
      </c>
      <c r="AR51" s="21">
        <v>23.1767</v>
      </c>
      <c r="AS51" s="21">
        <v>-1.1804200000000001E-2</v>
      </c>
      <c r="AT51" s="21">
        <v>41</v>
      </c>
      <c r="AU51" s="21">
        <v>1.4428700000000001</v>
      </c>
      <c r="AV51">
        <f t="shared" si="8"/>
        <v>14.573086419753087</v>
      </c>
      <c r="AW51">
        <f t="shared" si="9"/>
        <v>21.035958785185187</v>
      </c>
      <c r="AX51" s="9"/>
      <c r="AY51" s="21">
        <v>0.106506</v>
      </c>
      <c r="AZ51" s="21">
        <v>26.6938</v>
      </c>
      <c r="BA51" s="21">
        <v>-1.38184E-2</v>
      </c>
      <c r="BB51" s="21">
        <v>41</v>
      </c>
      <c r="BC51" s="21">
        <v>0.105988</v>
      </c>
      <c r="BD51">
        <f t="shared" si="10"/>
        <v>17.05975308641975</v>
      </c>
      <c r="BE51">
        <f t="shared" si="11"/>
        <v>1.8169660622222219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1.43845</v>
      </c>
      <c r="H52" s="21">
        <v>5.6693100000000003</v>
      </c>
      <c r="I52" s="21">
        <v>-1.1770600000000001E-2</v>
      </c>
      <c r="J52" s="21">
        <v>42</v>
      </c>
      <c r="K52" s="21">
        <v>1.4376800000000001</v>
      </c>
      <c r="L52">
        <f t="shared" si="0"/>
        <v>14.531604938271604</v>
      </c>
      <c r="M52">
        <f t="shared" si="1"/>
        <v>20.902987123456789</v>
      </c>
      <c r="N52" s="9"/>
      <c r="O52" s="21">
        <v>0.111542</v>
      </c>
      <c r="P52" s="21">
        <v>9.1863600000000005</v>
      </c>
      <c r="Q52" s="21">
        <v>-1.3809200000000001E-2</v>
      </c>
      <c r="R52" s="21">
        <v>42</v>
      </c>
      <c r="S52" s="21">
        <v>0.111084</v>
      </c>
      <c r="T52">
        <f t="shared" si="2"/>
        <v>17.048395061728392</v>
      </c>
      <c r="U52">
        <f t="shared" si="3"/>
        <v>1.9016120819753084</v>
      </c>
      <c r="X52" s="9"/>
      <c r="Y52" s="21">
        <v>1.43845</v>
      </c>
      <c r="Z52" s="21">
        <v>14.4285</v>
      </c>
      <c r="AA52" s="21">
        <v>-1.18622E-2</v>
      </c>
      <c r="AB52" s="21">
        <v>42</v>
      </c>
      <c r="AC52" s="21">
        <v>1.4376800000000001</v>
      </c>
      <c r="AD52">
        <f t="shared" si="4"/>
        <v>14.644691358024689</v>
      </c>
      <c r="AE52">
        <f t="shared" si="5"/>
        <v>21.065656283950613</v>
      </c>
      <c r="AF52" s="9"/>
      <c r="AG52" s="21">
        <v>0.111542</v>
      </c>
      <c r="AH52" s="21">
        <v>17.945599999999999</v>
      </c>
      <c r="AI52" s="21">
        <v>-1.38672E-2</v>
      </c>
      <c r="AJ52" s="21">
        <v>42</v>
      </c>
      <c r="AK52" s="21">
        <v>0.111084</v>
      </c>
      <c r="AL52">
        <f t="shared" si="6"/>
        <v>17.12</v>
      </c>
      <c r="AM52">
        <f t="shared" si="7"/>
        <v>1.9095990400000002</v>
      </c>
      <c r="AP52" s="9"/>
      <c r="AQ52" s="21">
        <v>1.43845</v>
      </c>
      <c r="AR52" s="21">
        <v>23.186699999999998</v>
      </c>
      <c r="AS52" s="21">
        <v>-1.1859099999999999E-2</v>
      </c>
      <c r="AT52" s="21">
        <v>42</v>
      </c>
      <c r="AU52" s="21">
        <v>1.4379900000000001</v>
      </c>
      <c r="AV52">
        <f t="shared" si="8"/>
        <v>14.640864197530862</v>
      </c>
      <c r="AW52">
        <f t="shared" si="9"/>
        <v>21.060151104938267</v>
      </c>
      <c r="AX52" s="9"/>
      <c r="AY52" s="21">
        <v>0.111542</v>
      </c>
      <c r="AZ52" s="21">
        <v>26.703900000000001</v>
      </c>
      <c r="BA52" s="21">
        <v>-1.3809200000000001E-2</v>
      </c>
      <c r="BB52" s="21">
        <v>42</v>
      </c>
      <c r="BC52" s="21">
        <v>0.111023</v>
      </c>
      <c r="BD52">
        <f t="shared" si="10"/>
        <v>17.048395061728392</v>
      </c>
      <c r="BE52">
        <f t="shared" si="11"/>
        <v>1.9016120819753084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1.4334100000000001</v>
      </c>
      <c r="H53" s="21">
        <v>5.6793800000000001</v>
      </c>
      <c r="I53" s="21">
        <v>-1.18256E-2</v>
      </c>
      <c r="J53" s="21">
        <v>43</v>
      </c>
      <c r="K53" s="21">
        <v>1.4321900000000001</v>
      </c>
      <c r="L53">
        <f t="shared" si="0"/>
        <v>14.599506172839504</v>
      </c>
      <c r="M53">
        <f t="shared" si="1"/>
        <v>20.927078143209876</v>
      </c>
      <c r="N53" s="9"/>
      <c r="O53" s="21">
        <v>0.116577</v>
      </c>
      <c r="P53" s="21">
        <v>9.1964299999999994</v>
      </c>
      <c r="Q53" s="21">
        <v>-1.38E-2</v>
      </c>
      <c r="R53" s="21">
        <v>43</v>
      </c>
      <c r="S53" s="21">
        <v>0.11615</v>
      </c>
      <c r="T53">
        <f t="shared" si="2"/>
        <v>17.037037037037035</v>
      </c>
      <c r="U53">
        <f t="shared" si="3"/>
        <v>1.9861266666666664</v>
      </c>
      <c r="X53" s="9"/>
      <c r="Y53" s="21">
        <v>1.4334100000000001</v>
      </c>
      <c r="Z53" s="21">
        <v>14.438599999999999</v>
      </c>
      <c r="AA53" s="21">
        <v>-1.19141E-2</v>
      </c>
      <c r="AB53" s="21">
        <v>43</v>
      </c>
      <c r="AC53" s="21">
        <v>1.4328000000000001</v>
      </c>
      <c r="AD53">
        <f t="shared" si="4"/>
        <v>14.708765432098765</v>
      </c>
      <c r="AE53">
        <f t="shared" si="5"/>
        <v>21.083691458024692</v>
      </c>
      <c r="AF53" s="9"/>
      <c r="AG53" s="21">
        <v>0.116577</v>
      </c>
      <c r="AH53" s="21">
        <v>17.9556</v>
      </c>
      <c r="AI53" s="21">
        <v>-1.3854999999999999E-2</v>
      </c>
      <c r="AJ53" s="21">
        <v>43</v>
      </c>
      <c r="AK53" s="21">
        <v>0.11602800000000001</v>
      </c>
      <c r="AL53">
        <f t="shared" si="6"/>
        <v>17.104938271604937</v>
      </c>
      <c r="AM53">
        <f t="shared" si="7"/>
        <v>1.9940423888888887</v>
      </c>
      <c r="AP53" s="9"/>
      <c r="AQ53" s="21">
        <v>1.4334100000000001</v>
      </c>
      <c r="AR53" s="21">
        <v>23.1968</v>
      </c>
      <c r="AS53" s="21">
        <v>-1.19141E-2</v>
      </c>
      <c r="AT53" s="21">
        <v>43</v>
      </c>
      <c r="AU53" s="21">
        <v>1.4328000000000001</v>
      </c>
      <c r="AV53">
        <f t="shared" si="8"/>
        <v>14.708765432098765</v>
      </c>
      <c r="AW53">
        <f t="shared" si="9"/>
        <v>21.083691458024692</v>
      </c>
      <c r="AX53" s="9"/>
      <c r="AY53" s="21">
        <v>0.116577</v>
      </c>
      <c r="AZ53" s="21">
        <v>26.713899999999999</v>
      </c>
      <c r="BA53" s="21">
        <v>-1.38031E-2</v>
      </c>
      <c r="BB53" s="21">
        <v>43</v>
      </c>
      <c r="BC53" s="21">
        <v>0.116119</v>
      </c>
      <c r="BD53">
        <f t="shared" si="10"/>
        <v>17.040864197530862</v>
      </c>
      <c r="BE53">
        <f t="shared" si="11"/>
        <v>1.9865728255555553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1.42838</v>
      </c>
      <c r="H54" s="21">
        <v>5.6894499999999999</v>
      </c>
      <c r="I54" s="21">
        <v>-1.18774E-2</v>
      </c>
      <c r="J54" s="21">
        <v>44</v>
      </c>
      <c r="K54" s="21">
        <v>1.42761</v>
      </c>
      <c r="L54">
        <f t="shared" si="0"/>
        <v>14.663456790123456</v>
      </c>
      <c r="M54">
        <f t="shared" si="1"/>
        <v>20.944988409876544</v>
      </c>
      <c r="N54" s="9"/>
      <c r="O54" s="21">
        <v>0.121613</v>
      </c>
      <c r="P54" s="21">
        <v>9.2065099999999997</v>
      </c>
      <c r="Q54" s="21">
        <v>-1.3787799999999999E-2</v>
      </c>
      <c r="R54" s="21">
        <v>44</v>
      </c>
      <c r="S54" s="21">
        <v>0.12109399999999999</v>
      </c>
      <c r="T54">
        <f t="shared" si="2"/>
        <v>17.021975308641974</v>
      </c>
      <c r="U54">
        <f t="shared" si="3"/>
        <v>2.0700934832098765</v>
      </c>
      <c r="X54" s="9"/>
      <c r="Y54" s="21">
        <v>1.42838</v>
      </c>
      <c r="Z54" s="21">
        <v>14.448700000000001</v>
      </c>
      <c r="AA54" s="21">
        <v>-1.19659E-2</v>
      </c>
      <c r="AB54" s="21">
        <v>44</v>
      </c>
      <c r="AC54" s="21">
        <v>1.4279200000000001</v>
      </c>
      <c r="AD54">
        <f t="shared" si="4"/>
        <v>14.772716049382716</v>
      </c>
      <c r="AE54">
        <f t="shared" si="5"/>
        <v>21.101052150617281</v>
      </c>
      <c r="AF54" s="9"/>
      <c r="AG54" s="21">
        <v>0.121613</v>
      </c>
      <c r="AH54" s="21">
        <v>17.965699999999998</v>
      </c>
      <c r="AI54" s="21">
        <v>-1.3858000000000001E-2</v>
      </c>
      <c r="AJ54" s="21">
        <v>44</v>
      </c>
      <c r="AK54" s="21">
        <v>0.12109399999999999</v>
      </c>
      <c r="AL54">
        <f t="shared" si="6"/>
        <v>17.10864197530864</v>
      </c>
      <c r="AM54">
        <f t="shared" si="7"/>
        <v>2.0806332765432094</v>
      </c>
      <c r="AP54" s="9"/>
      <c r="AQ54" s="21">
        <v>1.42838</v>
      </c>
      <c r="AR54" s="21">
        <v>23.206900000000001</v>
      </c>
      <c r="AS54" s="21">
        <v>-1.19659E-2</v>
      </c>
      <c r="AT54" s="21">
        <v>44</v>
      </c>
      <c r="AU54" s="21">
        <v>1.42761</v>
      </c>
      <c r="AV54">
        <f t="shared" si="8"/>
        <v>14.772716049382716</v>
      </c>
      <c r="AW54">
        <f t="shared" si="9"/>
        <v>21.101052150617281</v>
      </c>
      <c r="AX54" s="9"/>
      <c r="AY54" s="21">
        <v>0.121613</v>
      </c>
      <c r="AZ54" s="21">
        <v>26.724</v>
      </c>
      <c r="BA54" s="21">
        <v>-1.3806199999999999E-2</v>
      </c>
      <c r="BB54" s="21">
        <v>44</v>
      </c>
      <c r="BC54" s="21">
        <v>0.12109399999999999</v>
      </c>
      <c r="BD54">
        <f t="shared" si="10"/>
        <v>17.044691358024689</v>
      </c>
      <c r="BE54">
        <f t="shared" si="11"/>
        <v>2.0728560501234563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1.42334</v>
      </c>
      <c r="H55" s="21">
        <v>5.6995199999999997</v>
      </c>
      <c r="I55" s="21">
        <v>-1.19232E-2</v>
      </c>
      <c r="J55" s="21">
        <v>45</v>
      </c>
      <c r="K55" s="21">
        <v>1.42242</v>
      </c>
      <c r="L55">
        <f t="shared" si="0"/>
        <v>14.719999999999999</v>
      </c>
      <c r="M55">
        <f t="shared" si="1"/>
        <v>20.9515648</v>
      </c>
      <c r="N55" s="9"/>
      <c r="O55" s="21">
        <v>0.12664800000000001</v>
      </c>
      <c r="P55" s="21">
        <v>9.2165800000000004</v>
      </c>
      <c r="Q55" s="21">
        <v>-1.3775600000000001E-2</v>
      </c>
      <c r="R55" s="21">
        <v>45</v>
      </c>
      <c r="S55" s="21">
        <v>0.12628200000000001</v>
      </c>
      <c r="T55">
        <f t="shared" si="2"/>
        <v>17.006913580246916</v>
      </c>
      <c r="U55">
        <f t="shared" si="3"/>
        <v>2.1538915911111118</v>
      </c>
      <c r="X55" s="9"/>
      <c r="Y55" s="21">
        <v>1.42334</v>
      </c>
      <c r="Z55" s="21">
        <v>14.4587</v>
      </c>
      <c r="AA55" s="21">
        <v>-1.2020899999999999E-2</v>
      </c>
      <c r="AB55" s="21">
        <v>45</v>
      </c>
      <c r="AC55" s="21">
        <v>1.42242</v>
      </c>
      <c r="AD55">
        <f t="shared" si="4"/>
        <v>14.840617283950616</v>
      </c>
      <c r="AE55">
        <f t="shared" si="5"/>
        <v>21.12324420493827</v>
      </c>
      <c r="AF55" s="9"/>
      <c r="AG55" s="21">
        <v>0.12664800000000001</v>
      </c>
      <c r="AH55" s="21">
        <v>17.9758</v>
      </c>
      <c r="AI55" s="21">
        <v>-1.38672E-2</v>
      </c>
      <c r="AJ55" s="21">
        <v>45</v>
      </c>
      <c r="AK55" s="21">
        <v>0.12609899999999999</v>
      </c>
      <c r="AL55">
        <f t="shared" si="6"/>
        <v>17.12</v>
      </c>
      <c r="AM55">
        <f t="shared" si="7"/>
        <v>2.1682137600000004</v>
      </c>
      <c r="AP55" s="9"/>
      <c r="AQ55" s="21">
        <v>1.42334</v>
      </c>
      <c r="AR55" s="21">
        <v>23.216899999999999</v>
      </c>
      <c r="AS55" s="21">
        <v>-1.20178E-2</v>
      </c>
      <c r="AT55" s="21">
        <v>45</v>
      </c>
      <c r="AU55" s="21">
        <v>1.4227300000000001</v>
      </c>
      <c r="AV55">
        <f t="shared" si="8"/>
        <v>14.836790123456788</v>
      </c>
      <c r="AW55">
        <f t="shared" si="9"/>
        <v>21.117796854320986</v>
      </c>
      <c r="AX55" s="9"/>
      <c r="AY55" s="21">
        <v>0.12664800000000001</v>
      </c>
      <c r="AZ55" s="21">
        <v>26.734100000000002</v>
      </c>
      <c r="BA55" s="21">
        <v>-1.38123E-2</v>
      </c>
      <c r="BB55" s="21">
        <v>45</v>
      </c>
      <c r="BC55" s="21">
        <v>0.12619</v>
      </c>
      <c r="BD55">
        <f t="shared" si="10"/>
        <v>17.052222222222223</v>
      </c>
      <c r="BE55">
        <f t="shared" si="11"/>
        <v>2.1596298400000005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1.4182999999999999</v>
      </c>
      <c r="H56" s="21">
        <v>5.7095900000000004</v>
      </c>
      <c r="I56" s="21">
        <v>-1.1969E-2</v>
      </c>
      <c r="J56" s="21">
        <v>46</v>
      </c>
      <c r="K56" s="21">
        <v>1.41754</v>
      </c>
      <c r="L56">
        <f t="shared" si="0"/>
        <v>14.776543209876543</v>
      </c>
      <c r="M56">
        <f t="shared" si="1"/>
        <v>20.957571234567901</v>
      </c>
      <c r="N56" s="9"/>
      <c r="O56" s="21">
        <v>0.13168299999999999</v>
      </c>
      <c r="P56" s="21">
        <v>9.2266499999999994</v>
      </c>
      <c r="Q56" s="21">
        <v>-1.3781699999999999E-2</v>
      </c>
      <c r="R56" s="21">
        <v>46</v>
      </c>
      <c r="S56" s="21">
        <v>0.13119500000000001</v>
      </c>
      <c r="T56">
        <f t="shared" si="2"/>
        <v>17.014444444444443</v>
      </c>
      <c r="U56">
        <f t="shared" si="3"/>
        <v>2.2405130877777775</v>
      </c>
      <c r="X56" s="9"/>
      <c r="Y56" s="21">
        <v>1.4182999999999999</v>
      </c>
      <c r="Z56" s="21">
        <v>14.4688</v>
      </c>
      <c r="AA56" s="21">
        <v>-1.20667E-2</v>
      </c>
      <c r="AB56" s="21">
        <v>46</v>
      </c>
      <c r="AC56" s="21">
        <v>1.4172400000000001</v>
      </c>
      <c r="AD56">
        <f t="shared" si="4"/>
        <v>14.89716049382716</v>
      </c>
      <c r="AE56">
        <f t="shared" si="5"/>
        <v>21.128642728395061</v>
      </c>
      <c r="AF56" s="9"/>
      <c r="AG56" s="21">
        <v>0.13168299999999999</v>
      </c>
      <c r="AH56" s="21">
        <v>17.985900000000001</v>
      </c>
      <c r="AI56" s="21">
        <v>-1.38672E-2</v>
      </c>
      <c r="AJ56" s="21">
        <v>46</v>
      </c>
      <c r="AK56" s="21">
        <v>0.13122600000000001</v>
      </c>
      <c r="AL56">
        <f t="shared" si="6"/>
        <v>17.12</v>
      </c>
      <c r="AM56">
        <f t="shared" si="7"/>
        <v>2.2544129600000002</v>
      </c>
      <c r="AP56" s="9"/>
      <c r="AQ56" s="21">
        <v>1.4182999999999999</v>
      </c>
      <c r="AR56" s="21">
        <v>23.227</v>
      </c>
      <c r="AS56" s="21">
        <v>-1.2063600000000001E-2</v>
      </c>
      <c r="AT56" s="21">
        <v>46</v>
      </c>
      <c r="AU56" s="21">
        <v>1.4172400000000001</v>
      </c>
      <c r="AV56">
        <f t="shared" si="8"/>
        <v>14.893333333333333</v>
      </c>
      <c r="AW56">
        <f t="shared" si="9"/>
        <v>21.123214666666666</v>
      </c>
      <c r="AX56" s="9"/>
      <c r="AY56" s="21">
        <v>0.13168299999999999</v>
      </c>
      <c r="AZ56" s="21">
        <v>26.744199999999999</v>
      </c>
      <c r="BA56" s="21">
        <v>-1.3806199999999999E-2</v>
      </c>
      <c r="BB56" s="21">
        <v>46</v>
      </c>
      <c r="BC56" s="21">
        <v>0.131134</v>
      </c>
      <c r="BD56">
        <f t="shared" si="10"/>
        <v>17.044691358024689</v>
      </c>
      <c r="BE56">
        <f t="shared" si="11"/>
        <v>2.2444960920987649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1.41327</v>
      </c>
      <c r="H57" s="21">
        <v>5.7196600000000002</v>
      </c>
      <c r="I57" s="21">
        <v>-1.2014800000000001E-2</v>
      </c>
      <c r="J57" s="21">
        <v>47</v>
      </c>
      <c r="K57" s="21">
        <v>1.41266</v>
      </c>
      <c r="L57">
        <f t="shared" si="0"/>
        <v>14.833086419753087</v>
      </c>
      <c r="M57">
        <f t="shared" si="1"/>
        <v>20.963156044444446</v>
      </c>
      <c r="N57" s="9"/>
      <c r="O57" s="21">
        <v>0.13671900000000001</v>
      </c>
      <c r="P57" s="21">
        <v>9.23672</v>
      </c>
      <c r="Q57" s="21">
        <v>-1.3775600000000001E-2</v>
      </c>
      <c r="R57" s="21">
        <v>47</v>
      </c>
      <c r="S57" s="21">
        <v>0.136017</v>
      </c>
      <c r="T57">
        <f t="shared" si="2"/>
        <v>17.006913580246916</v>
      </c>
      <c r="U57">
        <f t="shared" si="3"/>
        <v>2.3251682177777782</v>
      </c>
      <c r="X57" s="9"/>
      <c r="Y57" s="21">
        <v>1.41327</v>
      </c>
      <c r="Z57" s="21">
        <v>14.478899999999999</v>
      </c>
      <c r="AA57" s="21">
        <v>-1.2112400000000001E-2</v>
      </c>
      <c r="AB57" s="21">
        <v>47</v>
      </c>
      <c r="AC57" s="21">
        <v>1.41296</v>
      </c>
      <c r="AD57">
        <f t="shared" si="4"/>
        <v>14.95358024691358</v>
      </c>
      <c r="AE57">
        <f t="shared" si="5"/>
        <v>21.133446355555556</v>
      </c>
      <c r="AF57" s="9"/>
      <c r="AG57" s="21">
        <v>0.13671900000000001</v>
      </c>
      <c r="AH57" s="21">
        <v>17.995899999999999</v>
      </c>
      <c r="AI57" s="21">
        <v>-1.3864100000000001E-2</v>
      </c>
      <c r="AJ57" s="21">
        <v>47</v>
      </c>
      <c r="AK57" s="21">
        <v>0.13619999999999999</v>
      </c>
      <c r="AL57">
        <f t="shared" si="6"/>
        <v>17.11617283950617</v>
      </c>
      <c r="AM57">
        <f t="shared" si="7"/>
        <v>2.3401060344444442</v>
      </c>
      <c r="AP57" s="9"/>
      <c r="AQ57" s="21">
        <v>1.41327</v>
      </c>
      <c r="AR57" s="21">
        <v>23.237100000000002</v>
      </c>
      <c r="AS57" s="21">
        <v>-1.2112400000000001E-2</v>
      </c>
      <c r="AT57" s="21">
        <v>47</v>
      </c>
      <c r="AU57" s="21">
        <v>1.41266</v>
      </c>
      <c r="AV57">
        <f t="shared" si="8"/>
        <v>14.95358024691358</v>
      </c>
      <c r="AW57">
        <f t="shared" si="9"/>
        <v>21.133446355555556</v>
      </c>
      <c r="AX57" s="9"/>
      <c r="AY57" s="21">
        <v>0.13671900000000001</v>
      </c>
      <c r="AZ57" s="21">
        <v>26.754200000000001</v>
      </c>
      <c r="BA57" s="21">
        <v>-1.37939E-2</v>
      </c>
      <c r="BB57" s="21">
        <v>47</v>
      </c>
      <c r="BC57" s="21">
        <v>0.13619999999999999</v>
      </c>
      <c r="BD57">
        <f t="shared" si="10"/>
        <v>17.029506172839504</v>
      </c>
      <c r="BE57">
        <f t="shared" si="11"/>
        <v>2.3282570544444443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1.4082300000000001</v>
      </c>
      <c r="H58" s="21">
        <v>5.72973</v>
      </c>
      <c r="I58" s="21">
        <v>-1.20483E-2</v>
      </c>
      <c r="J58" s="21">
        <v>48</v>
      </c>
      <c r="K58" s="21">
        <v>1.40778</v>
      </c>
      <c r="L58">
        <f t="shared" si="0"/>
        <v>14.874444444444444</v>
      </c>
      <c r="M58">
        <f t="shared" si="1"/>
        <v>20.9466389</v>
      </c>
      <c r="N58" s="9"/>
      <c r="O58" s="21">
        <v>0.14175399999999999</v>
      </c>
      <c r="P58" s="21">
        <v>9.2467900000000007</v>
      </c>
      <c r="Q58" s="21">
        <v>-1.37695E-2</v>
      </c>
      <c r="R58" s="21">
        <v>48</v>
      </c>
      <c r="S58" s="21">
        <v>0.14117399999999999</v>
      </c>
      <c r="T58">
        <f t="shared" si="2"/>
        <v>16.999382716049382</v>
      </c>
      <c r="U58">
        <f t="shared" si="3"/>
        <v>2.4097304975308638</v>
      </c>
      <c r="X58" s="9"/>
      <c r="Y58" s="21">
        <v>1.4082300000000001</v>
      </c>
      <c r="Z58" s="21">
        <v>14.488899999999999</v>
      </c>
      <c r="AA58" s="21">
        <v>-1.2146000000000001E-2</v>
      </c>
      <c r="AB58" s="21">
        <v>48</v>
      </c>
      <c r="AC58" s="21">
        <v>1.40717</v>
      </c>
      <c r="AD58">
        <f t="shared" si="4"/>
        <v>14.995061728395061</v>
      </c>
      <c r="AE58">
        <f t="shared" si="5"/>
        <v>21.116495777777779</v>
      </c>
      <c r="AF58" s="9"/>
      <c r="AG58" s="21">
        <v>0.14175399999999999</v>
      </c>
      <c r="AH58" s="21">
        <v>18.006</v>
      </c>
      <c r="AI58" s="21">
        <v>-1.3861099999999999E-2</v>
      </c>
      <c r="AJ58" s="21">
        <v>48</v>
      </c>
      <c r="AK58" s="21">
        <v>0.141296</v>
      </c>
      <c r="AL58">
        <f t="shared" si="6"/>
        <v>17.112469135802467</v>
      </c>
      <c r="AM58">
        <f t="shared" si="7"/>
        <v>2.4257609498765427</v>
      </c>
      <c r="AP58" s="9"/>
      <c r="AQ58" s="21">
        <v>1.4082300000000001</v>
      </c>
      <c r="AR58" s="21">
        <v>23.247199999999999</v>
      </c>
      <c r="AS58" s="21">
        <v>-1.2152100000000001E-2</v>
      </c>
      <c r="AT58" s="21">
        <v>48</v>
      </c>
      <c r="AU58" s="21">
        <v>1.40778</v>
      </c>
      <c r="AV58">
        <f t="shared" si="8"/>
        <v>15.002592592592592</v>
      </c>
      <c r="AW58">
        <f t="shared" si="9"/>
        <v>21.127100966666667</v>
      </c>
      <c r="AX58" s="9"/>
      <c r="AY58" s="21">
        <v>0.14175399999999999</v>
      </c>
      <c r="AZ58" s="21">
        <v>26.764299999999999</v>
      </c>
      <c r="BA58" s="21">
        <v>-1.3787799999999999E-2</v>
      </c>
      <c r="BB58" s="21">
        <v>48</v>
      </c>
      <c r="BC58" s="21">
        <v>0.141235</v>
      </c>
      <c r="BD58">
        <f t="shared" si="10"/>
        <v>17.021975308641974</v>
      </c>
      <c r="BE58">
        <f t="shared" si="11"/>
        <v>2.4129330879012341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1.4032</v>
      </c>
      <c r="H59" s="21">
        <v>5.7397999999999998</v>
      </c>
      <c r="I59" s="21">
        <v>-1.20941E-2</v>
      </c>
      <c r="J59" s="21">
        <v>49</v>
      </c>
      <c r="K59" s="21">
        <v>1.40289</v>
      </c>
      <c r="L59">
        <f t="shared" si="0"/>
        <v>14.930987654320987</v>
      </c>
      <c r="M59">
        <f t="shared" si="1"/>
        <v>20.95116187654321</v>
      </c>
      <c r="N59" s="9"/>
      <c r="O59" s="21">
        <v>0.14679</v>
      </c>
      <c r="P59" s="21">
        <v>9.2568599999999996</v>
      </c>
      <c r="Q59" s="21">
        <v>-1.3766499999999999E-2</v>
      </c>
      <c r="R59" s="21">
        <v>49</v>
      </c>
      <c r="S59" s="21">
        <v>0.14633199999999999</v>
      </c>
      <c r="T59">
        <f t="shared" si="2"/>
        <v>16.995679012345676</v>
      </c>
      <c r="U59">
        <f t="shared" si="3"/>
        <v>2.4947957222222219</v>
      </c>
      <c r="X59" s="9"/>
      <c r="Y59" s="21">
        <v>1.4032</v>
      </c>
      <c r="Z59" s="21">
        <v>14.499000000000001</v>
      </c>
      <c r="AA59" s="21">
        <v>-1.2185700000000001E-2</v>
      </c>
      <c r="AB59" s="21">
        <v>49</v>
      </c>
      <c r="AC59" s="21">
        <v>1.40228</v>
      </c>
      <c r="AD59">
        <f t="shared" si="4"/>
        <v>15.044074074074075</v>
      </c>
      <c r="AE59">
        <f t="shared" si="5"/>
        <v>21.109844740740741</v>
      </c>
      <c r="AF59" s="9"/>
      <c r="AG59" s="21">
        <v>0.14679</v>
      </c>
      <c r="AH59" s="21">
        <v>18.016100000000002</v>
      </c>
      <c r="AI59" s="21">
        <v>-1.3854999999999999E-2</v>
      </c>
      <c r="AJ59" s="21">
        <v>49</v>
      </c>
      <c r="AK59" s="21">
        <v>0.14633199999999999</v>
      </c>
      <c r="AL59">
        <f t="shared" si="6"/>
        <v>17.104938271604937</v>
      </c>
      <c r="AM59">
        <f t="shared" si="7"/>
        <v>2.5108338888888886</v>
      </c>
      <c r="AP59" s="9"/>
      <c r="AQ59" s="21">
        <v>1.4032</v>
      </c>
      <c r="AR59" s="21">
        <v>23.257200000000001</v>
      </c>
      <c r="AS59" s="21">
        <v>-1.21887E-2</v>
      </c>
      <c r="AT59" s="21">
        <v>49</v>
      </c>
      <c r="AU59" s="21">
        <v>1.40259</v>
      </c>
      <c r="AV59">
        <f t="shared" si="8"/>
        <v>15.047777777777776</v>
      </c>
      <c r="AW59">
        <f t="shared" si="9"/>
        <v>21.115041777777776</v>
      </c>
      <c r="AX59" s="9"/>
      <c r="AY59" s="21">
        <v>0.14679</v>
      </c>
      <c r="AZ59" s="21">
        <v>26.7744</v>
      </c>
      <c r="BA59" s="21">
        <v>-1.3772599999999999E-2</v>
      </c>
      <c r="BB59" s="21">
        <v>49</v>
      </c>
      <c r="BC59" s="21">
        <v>0.14633199999999999</v>
      </c>
      <c r="BD59">
        <f t="shared" si="10"/>
        <v>17.00320987654321</v>
      </c>
      <c r="BE59">
        <f t="shared" si="11"/>
        <v>2.4959011777777778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1.3981600000000001</v>
      </c>
      <c r="H60" s="21">
        <v>5.7498699999999996</v>
      </c>
      <c r="I60" s="21">
        <v>-1.2130699999999999E-2</v>
      </c>
      <c r="J60" s="21">
        <v>50</v>
      </c>
      <c r="K60" s="21">
        <v>1.39771</v>
      </c>
      <c r="L60">
        <f t="shared" si="0"/>
        <v>14.976172839506171</v>
      </c>
      <c r="M60">
        <f t="shared" si="1"/>
        <v>20.939085817283949</v>
      </c>
      <c r="N60" s="9"/>
      <c r="O60" s="21">
        <v>0.15182499999999999</v>
      </c>
      <c r="P60" s="21">
        <v>9.2669300000000003</v>
      </c>
      <c r="Q60" s="21">
        <v>-1.3772599999999999E-2</v>
      </c>
      <c r="R60" s="21">
        <v>50</v>
      </c>
      <c r="S60" s="21">
        <v>0.15127599999999999</v>
      </c>
      <c r="T60">
        <f t="shared" si="2"/>
        <v>17.00320987654321</v>
      </c>
      <c r="U60">
        <f t="shared" si="3"/>
        <v>2.5815123395061725</v>
      </c>
      <c r="X60" s="9"/>
      <c r="Y60" s="21">
        <v>1.3981600000000001</v>
      </c>
      <c r="Z60" s="21">
        <v>14.5091</v>
      </c>
      <c r="AA60" s="21">
        <v>-1.22223E-2</v>
      </c>
      <c r="AB60" s="21">
        <v>50</v>
      </c>
      <c r="AC60" s="21">
        <v>1.3974</v>
      </c>
      <c r="AD60">
        <f t="shared" si="4"/>
        <v>15.08925925925926</v>
      </c>
      <c r="AE60">
        <f t="shared" si="5"/>
        <v>21.097198725925928</v>
      </c>
      <c r="AF60" s="9"/>
      <c r="AG60" s="21">
        <v>0.15182499999999999</v>
      </c>
      <c r="AH60" s="21">
        <v>18.0261</v>
      </c>
      <c r="AI60" s="21">
        <v>-1.3848900000000001E-2</v>
      </c>
      <c r="AJ60" s="21">
        <v>50</v>
      </c>
      <c r="AK60" s="21">
        <v>0.151306</v>
      </c>
      <c r="AL60">
        <f t="shared" si="6"/>
        <v>17.09740740740741</v>
      </c>
      <c r="AM60">
        <f t="shared" si="7"/>
        <v>2.5958138796296297</v>
      </c>
      <c r="AP60" s="9"/>
      <c r="AQ60" s="21">
        <v>1.3981600000000001</v>
      </c>
      <c r="AR60" s="21">
        <v>23.267299999999999</v>
      </c>
      <c r="AS60" s="21">
        <v>-1.22192E-2</v>
      </c>
      <c r="AT60" s="21">
        <v>50</v>
      </c>
      <c r="AU60" s="21">
        <v>1.3974</v>
      </c>
      <c r="AV60">
        <f t="shared" si="8"/>
        <v>15.08543209876543</v>
      </c>
      <c r="AW60">
        <f t="shared" si="9"/>
        <v>21.091847743209875</v>
      </c>
      <c r="AX60" s="9"/>
      <c r="AY60" s="21">
        <v>0.15182499999999999</v>
      </c>
      <c r="AZ60" s="21">
        <v>26.784400000000002</v>
      </c>
      <c r="BA60" s="21">
        <v>-1.37634E-2</v>
      </c>
      <c r="BB60" s="21">
        <v>50</v>
      </c>
      <c r="BC60" s="21">
        <v>0.15127599999999999</v>
      </c>
      <c r="BD60">
        <f t="shared" si="10"/>
        <v>16.991851851851852</v>
      </c>
      <c r="BE60">
        <f t="shared" si="11"/>
        <v>2.579787907407407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1.39313</v>
      </c>
      <c r="H61" s="21">
        <v>5.7599400000000003</v>
      </c>
      <c r="I61" s="21">
        <v>-1.21735E-2</v>
      </c>
      <c r="J61" s="21">
        <v>51</v>
      </c>
      <c r="K61" s="21">
        <v>1.39252</v>
      </c>
      <c r="L61">
        <f t="shared" si="0"/>
        <v>15.029012345679011</v>
      </c>
      <c r="M61">
        <f t="shared" si="1"/>
        <v>20.937367969135799</v>
      </c>
      <c r="N61" s="9"/>
      <c r="O61" s="21">
        <v>0.15686</v>
      </c>
      <c r="P61" s="21">
        <v>9.2769999999999992</v>
      </c>
      <c r="Q61" s="21">
        <v>-1.37787E-2</v>
      </c>
      <c r="R61" s="21">
        <v>51</v>
      </c>
      <c r="S61" s="21">
        <v>0.156219</v>
      </c>
      <c r="T61">
        <f t="shared" si="2"/>
        <v>17.01074074074074</v>
      </c>
      <c r="U61">
        <f t="shared" si="3"/>
        <v>2.6683047925925925</v>
      </c>
      <c r="X61" s="9"/>
      <c r="Y61" s="21">
        <v>1.39313</v>
      </c>
      <c r="Z61" s="21">
        <v>14.5192</v>
      </c>
      <c r="AA61" s="21">
        <v>-1.22559E-2</v>
      </c>
      <c r="AB61" s="21">
        <v>51</v>
      </c>
      <c r="AC61" s="21">
        <v>1.39252</v>
      </c>
      <c r="AD61">
        <f t="shared" si="4"/>
        <v>15.130740740740739</v>
      </c>
      <c r="AE61">
        <f t="shared" si="5"/>
        <v>21.079088848148146</v>
      </c>
      <c r="AF61" s="9"/>
      <c r="AG61" s="21">
        <v>0.15686</v>
      </c>
      <c r="AH61" s="21">
        <v>18.036200000000001</v>
      </c>
      <c r="AI61" s="21">
        <v>-1.38397E-2</v>
      </c>
      <c r="AJ61" s="21">
        <v>51</v>
      </c>
      <c r="AK61" s="21">
        <v>0.15631100000000001</v>
      </c>
      <c r="AL61">
        <f t="shared" si="6"/>
        <v>17.086049382716048</v>
      </c>
      <c r="AM61">
        <f t="shared" si="7"/>
        <v>2.6801177061728394</v>
      </c>
      <c r="AP61" s="9"/>
      <c r="AQ61" s="21">
        <v>1.39313</v>
      </c>
      <c r="AR61" s="21">
        <v>23.2774</v>
      </c>
      <c r="AS61" s="21">
        <v>-1.22498E-2</v>
      </c>
      <c r="AT61" s="21">
        <v>51</v>
      </c>
      <c r="AU61" s="21">
        <v>1.3922099999999999</v>
      </c>
      <c r="AV61">
        <f t="shared" si="8"/>
        <v>15.123209876543209</v>
      </c>
      <c r="AW61">
        <f t="shared" si="9"/>
        <v>21.068597375308642</v>
      </c>
      <c r="AX61" s="9"/>
      <c r="AY61" s="21">
        <v>0.15686</v>
      </c>
      <c r="AZ61" s="21">
        <v>26.794499999999999</v>
      </c>
      <c r="BA61" s="21">
        <v>-1.37451E-2</v>
      </c>
      <c r="BB61" s="21">
        <v>51</v>
      </c>
      <c r="BC61" s="21">
        <v>0.156281</v>
      </c>
      <c r="BD61">
        <f t="shared" si="10"/>
        <v>16.969259259259257</v>
      </c>
      <c r="BE61">
        <f t="shared" si="11"/>
        <v>2.6617980074074068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1.38809</v>
      </c>
      <c r="H62" s="21">
        <v>5.7700199999999997</v>
      </c>
      <c r="I62" s="21">
        <v>-1.22253E-2</v>
      </c>
      <c r="J62" s="21">
        <v>52</v>
      </c>
      <c r="K62" s="21">
        <v>1.3870199999999999</v>
      </c>
      <c r="L62">
        <f t="shared" si="0"/>
        <v>15.092962962962961</v>
      </c>
      <c r="M62">
        <f t="shared" si="1"/>
        <v>20.950390959259256</v>
      </c>
      <c r="N62" s="9"/>
      <c r="O62" s="21">
        <v>0.16189600000000001</v>
      </c>
      <c r="P62" s="21">
        <v>9.2870699999999999</v>
      </c>
      <c r="Q62" s="21">
        <v>-1.3775600000000001E-2</v>
      </c>
      <c r="R62" s="21">
        <v>52</v>
      </c>
      <c r="S62" s="21">
        <v>0.16137699999999999</v>
      </c>
      <c r="T62">
        <f t="shared" si="2"/>
        <v>17.006913580246916</v>
      </c>
      <c r="U62">
        <f t="shared" si="3"/>
        <v>2.7533512809876548</v>
      </c>
      <c r="X62" s="9"/>
      <c r="Y62" s="21">
        <v>1.38809</v>
      </c>
      <c r="Z62" s="21">
        <v>14.529199999999999</v>
      </c>
      <c r="AA62" s="21">
        <v>-1.2289400000000001E-2</v>
      </c>
      <c r="AB62" s="21">
        <v>52</v>
      </c>
      <c r="AC62" s="21">
        <v>1.38733</v>
      </c>
      <c r="AD62">
        <f t="shared" si="4"/>
        <v>15.172098765432098</v>
      </c>
      <c r="AE62">
        <f t="shared" si="5"/>
        <v>21.060238575308642</v>
      </c>
      <c r="AF62" s="9"/>
      <c r="AG62" s="21">
        <v>0.16189600000000001</v>
      </c>
      <c r="AH62" s="21">
        <v>18.046299999999999</v>
      </c>
      <c r="AI62" s="21">
        <v>-1.38336E-2</v>
      </c>
      <c r="AJ62" s="21">
        <v>52</v>
      </c>
      <c r="AK62" s="21">
        <v>0.16134599999999999</v>
      </c>
      <c r="AL62">
        <f t="shared" si="6"/>
        <v>17.078518518518518</v>
      </c>
      <c r="AM62">
        <f t="shared" si="7"/>
        <v>2.764943834074074</v>
      </c>
      <c r="AP62" s="9"/>
      <c r="AQ62" s="21">
        <v>1.38809</v>
      </c>
      <c r="AR62" s="21">
        <v>23.287400000000002</v>
      </c>
      <c r="AS62" s="21">
        <v>-1.2280299999999999E-2</v>
      </c>
      <c r="AT62" s="21">
        <v>52</v>
      </c>
      <c r="AU62" s="21">
        <v>1.3876299999999999</v>
      </c>
      <c r="AV62">
        <f t="shared" si="8"/>
        <v>15.160864197530863</v>
      </c>
      <c r="AW62">
        <f t="shared" si="9"/>
        <v>21.044643983950618</v>
      </c>
      <c r="AX62" s="9"/>
      <c r="AY62" s="21">
        <v>0.16189600000000001</v>
      </c>
      <c r="AZ62" s="21">
        <v>26.804600000000001</v>
      </c>
      <c r="BA62" s="21">
        <v>-1.37299E-2</v>
      </c>
      <c r="BB62" s="21">
        <v>52</v>
      </c>
      <c r="BC62" s="21">
        <v>0.16134599999999999</v>
      </c>
      <c r="BD62">
        <f t="shared" si="10"/>
        <v>16.950493827160493</v>
      </c>
      <c r="BE62">
        <f t="shared" si="11"/>
        <v>2.7442171486419755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1.38306</v>
      </c>
      <c r="H63" s="21">
        <v>5.7800900000000004</v>
      </c>
      <c r="I63" s="21">
        <v>-1.2262E-2</v>
      </c>
      <c r="J63" s="21">
        <v>53</v>
      </c>
      <c r="K63" s="21">
        <v>1.3821399999999999</v>
      </c>
      <c r="L63">
        <f t="shared" si="0"/>
        <v>15.138271604938272</v>
      </c>
      <c r="M63">
        <f t="shared" si="1"/>
        <v>20.937137925925924</v>
      </c>
      <c r="N63" s="9"/>
      <c r="O63" s="21">
        <v>0.166931</v>
      </c>
      <c r="P63" s="21">
        <v>9.2971400000000006</v>
      </c>
      <c r="Q63" s="21">
        <v>-1.3766499999999999E-2</v>
      </c>
      <c r="R63" s="21">
        <v>53</v>
      </c>
      <c r="S63" s="21">
        <v>0.166351</v>
      </c>
      <c r="T63">
        <f t="shared" si="2"/>
        <v>16.995679012345676</v>
      </c>
      <c r="U63">
        <f t="shared" si="3"/>
        <v>2.8371056932098759</v>
      </c>
      <c r="X63" s="9"/>
      <c r="Y63" s="21">
        <v>1.38306</v>
      </c>
      <c r="Z63" s="21">
        <v>14.539300000000001</v>
      </c>
      <c r="AA63" s="21">
        <v>-1.23199E-2</v>
      </c>
      <c r="AB63" s="21">
        <v>53</v>
      </c>
      <c r="AC63" s="21">
        <v>1.38245</v>
      </c>
      <c r="AD63">
        <f t="shared" si="4"/>
        <v>15.209753086419752</v>
      </c>
      <c r="AE63">
        <f t="shared" si="5"/>
        <v>21.0360011037037</v>
      </c>
      <c r="AF63" s="9"/>
      <c r="AG63" s="21">
        <v>0.166931</v>
      </c>
      <c r="AH63" s="21">
        <v>18.0564</v>
      </c>
      <c r="AI63" s="21">
        <v>-1.38306E-2</v>
      </c>
      <c r="AJ63" s="21">
        <v>53</v>
      </c>
      <c r="AK63" s="21">
        <v>0.166351</v>
      </c>
      <c r="AL63">
        <f t="shared" si="6"/>
        <v>17.074814814814815</v>
      </c>
      <c r="AM63">
        <f t="shared" si="7"/>
        <v>2.850315911851852</v>
      </c>
      <c r="AP63" s="9"/>
      <c r="AQ63" s="21">
        <v>1.38306</v>
      </c>
      <c r="AR63" s="21">
        <v>23.297499999999999</v>
      </c>
      <c r="AS63" s="21">
        <v>-1.23108E-2</v>
      </c>
      <c r="AT63" s="21">
        <v>53</v>
      </c>
      <c r="AU63" s="21">
        <v>1.38184</v>
      </c>
      <c r="AV63">
        <f t="shared" si="8"/>
        <v>15.198518518518517</v>
      </c>
      <c r="AW63">
        <f t="shared" si="9"/>
        <v>21.02046302222222</v>
      </c>
      <c r="AX63" s="9"/>
      <c r="AY63" s="21">
        <v>0.166931</v>
      </c>
      <c r="AZ63" s="21">
        <v>26.814599999999999</v>
      </c>
      <c r="BA63" s="21">
        <v>-1.3720700000000001E-2</v>
      </c>
      <c r="BB63" s="21">
        <v>53</v>
      </c>
      <c r="BC63" s="21">
        <v>0.166382</v>
      </c>
      <c r="BD63">
        <f t="shared" si="10"/>
        <v>16.939135802469135</v>
      </c>
      <c r="BE63">
        <f t="shared" si="11"/>
        <v>2.827666878641975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1.37802</v>
      </c>
      <c r="H64" s="21">
        <v>5.7901600000000002</v>
      </c>
      <c r="I64" s="21">
        <v>-1.22925E-2</v>
      </c>
      <c r="J64" s="21">
        <v>54</v>
      </c>
      <c r="K64" s="21">
        <v>1.3778699999999999</v>
      </c>
      <c r="L64">
        <f t="shared" si="0"/>
        <v>15.175925925925924</v>
      </c>
      <c r="M64">
        <f t="shared" si="1"/>
        <v>20.912729444444441</v>
      </c>
      <c r="N64" s="9"/>
      <c r="O64" s="21">
        <v>0.17196700000000001</v>
      </c>
      <c r="P64" s="21">
        <v>9.3072199999999992</v>
      </c>
      <c r="Q64" s="21">
        <v>-1.3766499999999999E-2</v>
      </c>
      <c r="R64" s="21">
        <v>54</v>
      </c>
      <c r="S64" s="21">
        <v>0.17132600000000001</v>
      </c>
      <c r="T64">
        <f t="shared" si="2"/>
        <v>16.995679012345676</v>
      </c>
      <c r="U64">
        <f t="shared" si="3"/>
        <v>2.9226959327160489</v>
      </c>
      <c r="X64" s="9"/>
      <c r="Y64" s="21">
        <v>1.37802</v>
      </c>
      <c r="Z64" s="21">
        <v>14.5494</v>
      </c>
      <c r="AA64" s="21">
        <v>-1.23535E-2</v>
      </c>
      <c r="AB64" s="21">
        <v>54</v>
      </c>
      <c r="AC64" s="21">
        <v>1.3775599999999999</v>
      </c>
      <c r="AD64">
        <f t="shared" si="4"/>
        <v>15.251234567901234</v>
      </c>
      <c r="AE64">
        <f t="shared" si="5"/>
        <v>21.016506259259259</v>
      </c>
      <c r="AF64" s="9"/>
      <c r="AG64" s="21">
        <v>0.17196700000000001</v>
      </c>
      <c r="AH64" s="21">
        <v>18.066400000000002</v>
      </c>
      <c r="AI64" s="21">
        <v>-1.38245E-2</v>
      </c>
      <c r="AJ64" s="21">
        <v>54</v>
      </c>
      <c r="AK64" s="21">
        <v>0.17138700000000001</v>
      </c>
      <c r="AL64">
        <f t="shared" si="6"/>
        <v>17.067283950617281</v>
      </c>
      <c r="AM64">
        <f t="shared" si="7"/>
        <v>2.9350096191358022</v>
      </c>
      <c r="AP64" s="9"/>
      <c r="AQ64" s="21">
        <v>1.37802</v>
      </c>
      <c r="AR64" s="21">
        <v>23.307600000000001</v>
      </c>
      <c r="AS64" s="21">
        <v>-1.23383E-2</v>
      </c>
      <c r="AT64" s="21">
        <v>54</v>
      </c>
      <c r="AU64" s="21">
        <v>1.3766499999999999</v>
      </c>
      <c r="AV64">
        <f t="shared" si="8"/>
        <v>15.232469135802468</v>
      </c>
      <c r="AW64">
        <f t="shared" si="9"/>
        <v>20.990647118518517</v>
      </c>
      <c r="AX64" s="9"/>
      <c r="AY64" s="21">
        <v>0.17196700000000001</v>
      </c>
      <c r="AZ64" s="21">
        <v>26.8247</v>
      </c>
      <c r="BA64" s="21">
        <v>-1.3720700000000001E-2</v>
      </c>
      <c r="BB64" s="21">
        <v>54</v>
      </c>
      <c r="BC64" s="21">
        <v>0.17138700000000001</v>
      </c>
      <c r="BD64">
        <f t="shared" si="10"/>
        <v>16.939135802469135</v>
      </c>
      <c r="BE64">
        <f t="shared" si="11"/>
        <v>2.9129723665432099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1.3729899999999999</v>
      </c>
      <c r="H65" s="21">
        <v>5.80023</v>
      </c>
      <c r="I65" s="21">
        <v>-1.23199E-2</v>
      </c>
      <c r="J65" s="21">
        <v>55</v>
      </c>
      <c r="K65" s="21">
        <v>1.3720699999999999</v>
      </c>
      <c r="L65">
        <f t="shared" si="0"/>
        <v>15.209753086419752</v>
      </c>
      <c r="M65">
        <f t="shared" si="1"/>
        <v>20.882838890123455</v>
      </c>
      <c r="N65" s="9"/>
      <c r="O65" s="21">
        <v>0.17700199999999999</v>
      </c>
      <c r="P65" s="21">
        <v>9.3172899999999998</v>
      </c>
      <c r="Q65" s="21">
        <v>-1.3766499999999999E-2</v>
      </c>
      <c r="R65" s="21">
        <v>55</v>
      </c>
      <c r="S65" s="21">
        <v>0.176514</v>
      </c>
      <c r="T65">
        <f t="shared" si="2"/>
        <v>16.995679012345676</v>
      </c>
      <c r="U65">
        <f t="shared" si="3"/>
        <v>3.0082691765432092</v>
      </c>
      <c r="X65" s="9"/>
      <c r="Y65" s="21">
        <v>1.3729899999999999</v>
      </c>
      <c r="Z65" s="21">
        <v>14.5594</v>
      </c>
      <c r="AA65" s="21">
        <v>-1.2381E-2</v>
      </c>
      <c r="AB65" s="21">
        <v>55</v>
      </c>
      <c r="AC65" s="21">
        <v>1.3717699999999999</v>
      </c>
      <c r="AD65">
        <f t="shared" si="4"/>
        <v>15.285185185185183</v>
      </c>
      <c r="AE65">
        <f t="shared" si="5"/>
        <v>20.986406407407404</v>
      </c>
      <c r="AF65" s="9"/>
      <c r="AG65" s="21">
        <v>0.17700199999999999</v>
      </c>
      <c r="AH65" s="21">
        <v>18.076499999999999</v>
      </c>
      <c r="AI65" s="21">
        <v>-1.38184E-2</v>
      </c>
      <c r="AJ65" s="21">
        <v>55</v>
      </c>
      <c r="AK65" s="21">
        <v>0.176453</v>
      </c>
      <c r="AL65">
        <f t="shared" si="6"/>
        <v>17.05975308641975</v>
      </c>
      <c r="AM65">
        <f t="shared" si="7"/>
        <v>3.0196104158024686</v>
      </c>
      <c r="AP65" s="9"/>
      <c r="AQ65" s="21">
        <v>1.3729899999999999</v>
      </c>
      <c r="AR65" s="21">
        <v>23.317699999999999</v>
      </c>
      <c r="AS65" s="21">
        <v>-1.23657E-2</v>
      </c>
      <c r="AT65" s="21">
        <v>55</v>
      </c>
      <c r="AU65" s="21">
        <v>1.3720699999999999</v>
      </c>
      <c r="AV65">
        <f t="shared" si="8"/>
        <v>15.266296296296295</v>
      </c>
      <c r="AW65">
        <f t="shared" si="9"/>
        <v>20.96047215185185</v>
      </c>
      <c r="AX65" s="9"/>
      <c r="AY65" s="21">
        <v>0.17700199999999999</v>
      </c>
      <c r="AZ65" s="21">
        <v>26.834800000000001</v>
      </c>
      <c r="BA65" s="21">
        <v>-1.3736E-2</v>
      </c>
      <c r="BB65" s="21">
        <v>55</v>
      </c>
      <c r="BC65" s="21">
        <v>0.17639199999999999</v>
      </c>
      <c r="BD65">
        <f t="shared" si="10"/>
        <v>16.958024691358023</v>
      </c>
      <c r="BE65">
        <f t="shared" si="11"/>
        <v>3.0016042864197527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1.36795</v>
      </c>
      <c r="H66" s="21">
        <v>5.8102999999999998</v>
      </c>
      <c r="I66" s="21">
        <v>-1.23474E-2</v>
      </c>
      <c r="J66" s="21">
        <v>56</v>
      </c>
      <c r="K66" s="21">
        <v>1.3665799999999999</v>
      </c>
      <c r="L66">
        <f t="shared" si="0"/>
        <v>15.243703703703702</v>
      </c>
      <c r="M66">
        <f t="shared" si="1"/>
        <v>20.852624481481477</v>
      </c>
      <c r="N66" s="9"/>
      <c r="O66" s="21">
        <v>0.182037</v>
      </c>
      <c r="P66" s="21">
        <v>9.3273600000000005</v>
      </c>
      <c r="Q66" s="21">
        <v>-1.37573E-2</v>
      </c>
      <c r="R66" s="21">
        <v>56</v>
      </c>
      <c r="S66" s="21">
        <v>0.18154899999999999</v>
      </c>
      <c r="T66">
        <f t="shared" si="2"/>
        <v>16.984320987654321</v>
      </c>
      <c r="U66">
        <f t="shared" si="3"/>
        <v>3.0917748396296298</v>
      </c>
      <c r="X66" s="9"/>
      <c r="Y66" s="21">
        <v>1.36795</v>
      </c>
      <c r="Z66" s="21">
        <v>14.5695</v>
      </c>
      <c r="AA66" s="21">
        <v>-1.24146E-2</v>
      </c>
      <c r="AB66" s="21">
        <v>56</v>
      </c>
      <c r="AC66" s="21">
        <v>1.3674900000000001</v>
      </c>
      <c r="AD66">
        <f t="shared" si="4"/>
        <v>15.326666666666666</v>
      </c>
      <c r="AE66">
        <f t="shared" si="5"/>
        <v>20.966113666666665</v>
      </c>
      <c r="AF66" s="9"/>
      <c r="AG66" s="21">
        <v>0.182037</v>
      </c>
      <c r="AH66" s="21">
        <v>18.086600000000001</v>
      </c>
      <c r="AI66" s="21">
        <v>-1.3809200000000001E-2</v>
      </c>
      <c r="AJ66" s="21">
        <v>56</v>
      </c>
      <c r="AK66" s="21">
        <v>0.18145800000000001</v>
      </c>
      <c r="AL66">
        <f t="shared" si="6"/>
        <v>17.048395061728392</v>
      </c>
      <c r="AM66">
        <f t="shared" si="7"/>
        <v>3.1034386918518515</v>
      </c>
      <c r="AP66" s="9"/>
      <c r="AQ66" s="21">
        <v>1.36795</v>
      </c>
      <c r="AR66" s="21">
        <v>23.3277</v>
      </c>
      <c r="AS66" s="21">
        <v>-1.23962E-2</v>
      </c>
      <c r="AT66" s="21">
        <v>56</v>
      </c>
      <c r="AU66" s="21">
        <v>1.3665799999999999</v>
      </c>
      <c r="AV66">
        <f t="shared" si="8"/>
        <v>15.303950617283951</v>
      </c>
      <c r="AW66">
        <f t="shared" si="9"/>
        <v>20.935039246913579</v>
      </c>
      <c r="AX66" s="9"/>
      <c r="AY66" s="21">
        <v>0.182037</v>
      </c>
      <c r="AZ66" s="21">
        <v>26.844899999999999</v>
      </c>
      <c r="BA66" s="21">
        <v>-1.37482E-2</v>
      </c>
      <c r="BB66" s="21">
        <v>56</v>
      </c>
      <c r="BC66" s="21">
        <v>0.181396</v>
      </c>
      <c r="BD66">
        <f t="shared" si="10"/>
        <v>16.973086419753084</v>
      </c>
      <c r="BE66">
        <f t="shared" si="11"/>
        <v>3.0897297325925921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1.3629199999999999</v>
      </c>
      <c r="H67" s="21">
        <v>5.8203699999999996</v>
      </c>
      <c r="I67" s="21">
        <v>-1.2371800000000001E-2</v>
      </c>
      <c r="J67" s="21">
        <v>57</v>
      </c>
      <c r="K67" s="21">
        <v>1.3620000000000001</v>
      </c>
      <c r="L67">
        <f t="shared" si="0"/>
        <v>15.273827160493827</v>
      </c>
      <c r="M67">
        <f t="shared" si="1"/>
        <v>20.817004513580244</v>
      </c>
      <c r="N67" s="9"/>
      <c r="O67" s="21">
        <v>0.18707299999999999</v>
      </c>
      <c r="P67" s="21">
        <v>9.3374299999999995</v>
      </c>
      <c r="Q67" s="21">
        <v>-1.3754300000000001E-2</v>
      </c>
      <c r="R67" s="21">
        <v>57</v>
      </c>
      <c r="S67" s="21">
        <v>0.18652299999999999</v>
      </c>
      <c r="T67">
        <f t="shared" si="2"/>
        <v>16.980617283950615</v>
      </c>
      <c r="U67">
        <f t="shared" si="3"/>
        <v>3.176615017160493</v>
      </c>
      <c r="X67" s="9"/>
      <c r="Y67" s="21">
        <v>1.3629199999999999</v>
      </c>
      <c r="Z67" s="21">
        <v>14.579599999999999</v>
      </c>
      <c r="AA67" s="21">
        <v>-1.2445100000000001E-2</v>
      </c>
      <c r="AB67" s="21">
        <v>57</v>
      </c>
      <c r="AC67" s="21">
        <v>1.3620000000000001</v>
      </c>
      <c r="AD67">
        <f t="shared" si="4"/>
        <v>15.36432098765432</v>
      </c>
      <c r="AE67">
        <f t="shared" si="5"/>
        <v>20.940340360493824</v>
      </c>
      <c r="AF67" s="9"/>
      <c r="AG67" s="21">
        <v>0.18707299999999999</v>
      </c>
      <c r="AH67" s="21">
        <v>18.096599999999999</v>
      </c>
      <c r="AI67" s="21">
        <v>-1.3809200000000001E-2</v>
      </c>
      <c r="AJ67" s="21">
        <v>57</v>
      </c>
      <c r="AK67" s="21">
        <v>0.186554</v>
      </c>
      <c r="AL67">
        <f t="shared" si="6"/>
        <v>17.048395061728392</v>
      </c>
      <c r="AM67">
        <f t="shared" si="7"/>
        <v>3.1892944093827156</v>
      </c>
      <c r="AP67" s="9"/>
      <c r="AQ67" s="21">
        <v>1.3629199999999999</v>
      </c>
      <c r="AR67" s="21">
        <v>23.337800000000001</v>
      </c>
      <c r="AS67" s="21">
        <v>-1.2423699999999999E-2</v>
      </c>
      <c r="AT67" s="21">
        <v>57</v>
      </c>
      <c r="AU67" s="21">
        <v>1.3616900000000001</v>
      </c>
      <c r="AV67">
        <f t="shared" si="8"/>
        <v>15.3379012345679</v>
      </c>
      <c r="AW67">
        <f t="shared" si="9"/>
        <v>20.904332350617281</v>
      </c>
      <c r="AX67" s="9"/>
      <c r="AY67" s="21">
        <v>0.18707299999999999</v>
      </c>
      <c r="AZ67" s="21">
        <v>26.854900000000001</v>
      </c>
      <c r="BA67" s="21">
        <v>-1.37573E-2</v>
      </c>
      <c r="BB67" s="21">
        <v>57</v>
      </c>
      <c r="BC67" s="21">
        <v>0.186584</v>
      </c>
      <c r="BD67">
        <f t="shared" si="10"/>
        <v>16.984320987654321</v>
      </c>
      <c r="BE67">
        <f t="shared" si="11"/>
        <v>3.1773078801234567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1.35788</v>
      </c>
      <c r="H68" s="21">
        <v>5.8304400000000003</v>
      </c>
      <c r="I68" s="21">
        <v>-1.2390099999999999E-2</v>
      </c>
      <c r="J68" s="21">
        <v>58</v>
      </c>
      <c r="K68" s="21">
        <v>1.3574200000000001</v>
      </c>
      <c r="L68">
        <f t="shared" si="0"/>
        <v>15.296419753086418</v>
      </c>
      <c r="M68">
        <f t="shared" si="1"/>
        <v>20.770702454320986</v>
      </c>
      <c r="N68" s="9"/>
      <c r="O68" s="21">
        <v>0.192108</v>
      </c>
      <c r="P68" s="21">
        <v>9.3475000000000001</v>
      </c>
      <c r="Q68" s="21">
        <v>-1.37512E-2</v>
      </c>
      <c r="R68" s="21">
        <v>58</v>
      </c>
      <c r="S68" s="21">
        <v>0.191528</v>
      </c>
      <c r="T68">
        <f t="shared" si="2"/>
        <v>16.976790123456787</v>
      </c>
      <c r="U68">
        <f t="shared" si="3"/>
        <v>3.2613771970370364</v>
      </c>
      <c r="X68" s="9"/>
      <c r="Y68" s="21">
        <v>1.35788</v>
      </c>
      <c r="Z68" s="21">
        <v>14.589600000000001</v>
      </c>
      <c r="AA68" s="21">
        <v>-1.24695E-2</v>
      </c>
      <c r="AB68" s="21">
        <v>58</v>
      </c>
      <c r="AC68" s="21">
        <v>1.3565100000000001</v>
      </c>
      <c r="AD68">
        <f t="shared" si="4"/>
        <v>15.394444444444444</v>
      </c>
      <c r="AE68">
        <f t="shared" si="5"/>
        <v>20.903808222222221</v>
      </c>
      <c r="AF68" s="9"/>
      <c r="AG68" s="21">
        <v>0.192108</v>
      </c>
      <c r="AH68" s="21">
        <v>18.1067</v>
      </c>
      <c r="AI68" s="21">
        <v>-1.3806199999999999E-2</v>
      </c>
      <c r="AJ68" s="21">
        <v>58</v>
      </c>
      <c r="AK68" s="21">
        <v>0.191528</v>
      </c>
      <c r="AL68">
        <f t="shared" si="6"/>
        <v>17.044691358024689</v>
      </c>
      <c r="AM68">
        <f t="shared" si="7"/>
        <v>3.2744215674074071</v>
      </c>
      <c r="AP68" s="9"/>
      <c r="AQ68" s="21">
        <v>1.35788</v>
      </c>
      <c r="AR68" s="21">
        <v>23.347899999999999</v>
      </c>
      <c r="AS68" s="21">
        <v>-1.24481E-2</v>
      </c>
      <c r="AT68" s="21">
        <v>58</v>
      </c>
      <c r="AU68" s="21">
        <v>1.3568100000000001</v>
      </c>
      <c r="AV68">
        <f t="shared" si="8"/>
        <v>15.368024691358023</v>
      </c>
      <c r="AW68">
        <f t="shared" si="9"/>
        <v>20.867933367901234</v>
      </c>
      <c r="AX68" s="9"/>
      <c r="AY68" s="21">
        <v>0.192108</v>
      </c>
      <c r="AZ68" s="21">
        <v>26.864999999999998</v>
      </c>
      <c r="BA68" s="21">
        <v>-1.3754300000000001E-2</v>
      </c>
      <c r="BB68" s="21">
        <v>58</v>
      </c>
      <c r="BC68" s="21">
        <v>0.19155900000000001</v>
      </c>
      <c r="BD68">
        <f t="shared" si="10"/>
        <v>16.980617283950615</v>
      </c>
      <c r="BE68">
        <f t="shared" si="11"/>
        <v>3.2621124251851845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1.35284</v>
      </c>
      <c r="H69" s="21">
        <v>5.8405100000000001</v>
      </c>
      <c r="I69" s="21">
        <v>-1.24054E-2</v>
      </c>
      <c r="J69" s="21">
        <v>59</v>
      </c>
      <c r="K69" s="21">
        <v>1.35223</v>
      </c>
      <c r="L69">
        <f t="shared" si="0"/>
        <v>15.315308641975308</v>
      </c>
      <c r="M69">
        <f t="shared" si="1"/>
        <v>20.719162143209878</v>
      </c>
      <c r="N69" s="9"/>
      <c r="O69" s="21">
        <v>0.19714400000000001</v>
      </c>
      <c r="P69" s="21">
        <v>9.3575700000000008</v>
      </c>
      <c r="Q69" s="21">
        <v>-1.3754300000000001E-2</v>
      </c>
      <c r="R69" s="21">
        <v>59</v>
      </c>
      <c r="S69" s="21">
        <v>0.19653300000000001</v>
      </c>
      <c r="T69">
        <f t="shared" si="2"/>
        <v>16.980617283950615</v>
      </c>
      <c r="U69">
        <f t="shared" si="3"/>
        <v>3.3476268138271603</v>
      </c>
      <c r="X69" s="9"/>
      <c r="Y69" s="21">
        <v>1.35284</v>
      </c>
      <c r="Z69" s="21">
        <v>14.5997</v>
      </c>
      <c r="AA69" s="21">
        <v>-1.24969E-2</v>
      </c>
      <c r="AB69" s="21">
        <v>59</v>
      </c>
      <c r="AC69" s="21">
        <v>1.3525400000000001</v>
      </c>
      <c r="AD69">
        <f t="shared" si="4"/>
        <v>15.428271604938271</v>
      </c>
      <c r="AE69">
        <f t="shared" si="5"/>
        <v>20.871982958024692</v>
      </c>
      <c r="AF69" s="9"/>
      <c r="AG69" s="21">
        <v>0.19714400000000001</v>
      </c>
      <c r="AH69" s="21">
        <v>18.116800000000001</v>
      </c>
      <c r="AI69" s="21">
        <v>-1.38031E-2</v>
      </c>
      <c r="AJ69" s="21">
        <v>59</v>
      </c>
      <c r="AK69" s="21">
        <v>0.19662499999999999</v>
      </c>
      <c r="AL69">
        <f t="shared" si="6"/>
        <v>17.040864197530862</v>
      </c>
      <c r="AM69">
        <f t="shared" si="7"/>
        <v>3.3595041313580243</v>
      </c>
      <c r="AP69" s="9"/>
      <c r="AQ69" s="21">
        <v>1.35284</v>
      </c>
      <c r="AR69" s="21">
        <v>23.357900000000001</v>
      </c>
      <c r="AS69" s="21">
        <v>-1.2463399999999999E-2</v>
      </c>
      <c r="AT69" s="21">
        <v>59</v>
      </c>
      <c r="AU69" s="21">
        <v>1.3519300000000001</v>
      </c>
      <c r="AV69">
        <f t="shared" si="8"/>
        <v>15.386913580246912</v>
      </c>
      <c r="AW69">
        <f t="shared" si="9"/>
        <v>20.816032167901234</v>
      </c>
      <c r="AX69" s="9"/>
      <c r="AY69" s="21">
        <v>0.19714400000000001</v>
      </c>
      <c r="AZ69" s="21">
        <v>26.8751</v>
      </c>
      <c r="BA69" s="21">
        <v>-1.37634E-2</v>
      </c>
      <c r="BB69" s="21">
        <v>59</v>
      </c>
      <c r="BC69" s="21">
        <v>0.196655</v>
      </c>
      <c r="BD69">
        <f t="shared" si="10"/>
        <v>16.991851851851852</v>
      </c>
      <c r="BE69">
        <f t="shared" si="11"/>
        <v>3.3498416414814818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1.34781</v>
      </c>
      <c r="H70" s="21">
        <v>5.8505799999999999</v>
      </c>
      <c r="I70" s="21">
        <v>-1.24268E-2</v>
      </c>
      <c r="J70" s="21">
        <v>60</v>
      </c>
      <c r="K70" s="21">
        <v>1.34735</v>
      </c>
      <c r="L70">
        <f t="shared" si="0"/>
        <v>15.341728395061727</v>
      </c>
      <c r="M70">
        <f t="shared" si="1"/>
        <v>20.677734948148146</v>
      </c>
      <c r="N70" s="9"/>
      <c r="O70" s="21">
        <v>0.202179</v>
      </c>
      <c r="P70" s="21">
        <v>9.3676399999999997</v>
      </c>
      <c r="Q70" s="21">
        <v>-1.37512E-2</v>
      </c>
      <c r="R70" s="21">
        <v>60</v>
      </c>
      <c r="S70" s="21">
        <v>0.201599</v>
      </c>
      <c r="T70">
        <f t="shared" si="2"/>
        <v>16.976790123456787</v>
      </c>
      <c r="U70">
        <f t="shared" si="3"/>
        <v>3.4323504503703699</v>
      </c>
      <c r="X70" s="9"/>
      <c r="Y70" s="21">
        <v>1.34781</v>
      </c>
      <c r="Z70" s="21">
        <v>14.6098</v>
      </c>
      <c r="AA70" s="21">
        <v>-1.25214E-2</v>
      </c>
      <c r="AB70" s="21">
        <v>60</v>
      </c>
      <c r="AC70" s="21">
        <v>1.3470500000000001</v>
      </c>
      <c r="AD70">
        <f t="shared" si="4"/>
        <v>15.458518518518517</v>
      </c>
      <c r="AE70">
        <f t="shared" si="5"/>
        <v>20.83514584444444</v>
      </c>
      <c r="AF70" s="9"/>
      <c r="AG70" s="21">
        <v>0.202179</v>
      </c>
      <c r="AH70" s="21">
        <v>18.126799999999999</v>
      </c>
      <c r="AI70" s="21">
        <v>-1.3809200000000001E-2</v>
      </c>
      <c r="AJ70" s="21">
        <v>60</v>
      </c>
      <c r="AK70" s="21">
        <v>0.20166000000000001</v>
      </c>
      <c r="AL70">
        <f t="shared" si="6"/>
        <v>17.048395061728392</v>
      </c>
      <c r="AM70">
        <f t="shared" si="7"/>
        <v>3.4468274651851845</v>
      </c>
      <c r="AP70" s="9"/>
      <c r="AQ70" s="21">
        <v>1.34781</v>
      </c>
      <c r="AR70" s="21">
        <v>23.367999999999999</v>
      </c>
      <c r="AS70" s="21">
        <v>-1.24817E-2</v>
      </c>
      <c r="AT70" s="21">
        <v>60</v>
      </c>
      <c r="AU70" s="21">
        <v>1.3470500000000001</v>
      </c>
      <c r="AV70">
        <f t="shared" si="8"/>
        <v>15.409506172839505</v>
      </c>
      <c r="AW70">
        <f t="shared" si="9"/>
        <v>20.769086514814813</v>
      </c>
      <c r="AX70" s="9"/>
      <c r="AY70" s="21">
        <v>0.202179</v>
      </c>
      <c r="AZ70" s="21">
        <v>26.885100000000001</v>
      </c>
      <c r="BA70" s="21">
        <v>-1.3772599999999999E-2</v>
      </c>
      <c r="BB70" s="21">
        <v>60</v>
      </c>
      <c r="BC70" s="21">
        <v>0.20166000000000001</v>
      </c>
      <c r="BD70">
        <f t="shared" si="10"/>
        <v>17.00320987654321</v>
      </c>
      <c r="BE70">
        <f t="shared" si="11"/>
        <v>3.4376919696296295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1.34277</v>
      </c>
      <c r="H71" s="21">
        <v>5.8606499999999997</v>
      </c>
      <c r="I71" s="21">
        <v>-1.2451200000000001E-2</v>
      </c>
      <c r="J71" s="21">
        <v>61</v>
      </c>
      <c r="K71" s="21">
        <v>1.34216</v>
      </c>
      <c r="L71">
        <f t="shared" si="0"/>
        <v>15.371851851851853</v>
      </c>
      <c r="M71">
        <f t="shared" si="1"/>
        <v>20.640861511111112</v>
      </c>
      <c r="N71" s="9"/>
      <c r="O71" s="21">
        <v>0.20721400000000001</v>
      </c>
      <c r="P71" s="21">
        <v>9.3777100000000004</v>
      </c>
      <c r="Q71" s="21">
        <v>-1.37482E-2</v>
      </c>
      <c r="R71" s="21">
        <v>61</v>
      </c>
      <c r="S71" s="21">
        <v>0.20669599999999999</v>
      </c>
      <c r="T71">
        <f t="shared" si="2"/>
        <v>16.973086419753084</v>
      </c>
      <c r="U71">
        <f t="shared" si="3"/>
        <v>3.5170611293827156</v>
      </c>
      <c r="X71" s="9"/>
      <c r="Y71" s="21">
        <v>1.34277</v>
      </c>
      <c r="Z71" s="21">
        <v>14.619899999999999</v>
      </c>
      <c r="AA71" s="21">
        <v>-1.25519E-2</v>
      </c>
      <c r="AB71" s="21">
        <v>61</v>
      </c>
      <c r="AC71" s="21">
        <v>1.3418600000000001</v>
      </c>
      <c r="AD71">
        <f t="shared" si="4"/>
        <v>15.496172839506173</v>
      </c>
      <c r="AE71">
        <f t="shared" si="5"/>
        <v>20.807796003703704</v>
      </c>
      <c r="AF71" s="9"/>
      <c r="AG71" s="21">
        <v>0.20721400000000001</v>
      </c>
      <c r="AH71" s="21">
        <v>18.136900000000001</v>
      </c>
      <c r="AI71" s="21">
        <v>-1.3815300000000001E-2</v>
      </c>
      <c r="AJ71" s="21">
        <v>61</v>
      </c>
      <c r="AK71" s="21">
        <v>0.20672599999999999</v>
      </c>
      <c r="AL71">
        <f t="shared" si="6"/>
        <v>17.055925925925926</v>
      </c>
      <c r="AM71">
        <f t="shared" si="7"/>
        <v>3.5342266348148152</v>
      </c>
      <c r="AP71" s="9"/>
      <c r="AQ71" s="21">
        <v>1.34277</v>
      </c>
      <c r="AR71" s="21">
        <v>23.3781</v>
      </c>
      <c r="AS71" s="21">
        <v>-1.25153E-2</v>
      </c>
      <c r="AT71" s="21">
        <v>61</v>
      </c>
      <c r="AU71" s="21">
        <v>1.3412500000000001</v>
      </c>
      <c r="AV71">
        <f t="shared" si="8"/>
        <v>15.450987654320988</v>
      </c>
      <c r="AW71">
        <f t="shared" si="9"/>
        <v>20.747122692592594</v>
      </c>
      <c r="AX71" s="9"/>
      <c r="AY71" s="21">
        <v>0.20721400000000001</v>
      </c>
      <c r="AZ71" s="21">
        <v>26.895199999999999</v>
      </c>
      <c r="BA71" s="21">
        <v>-1.3775600000000001E-2</v>
      </c>
      <c r="BB71" s="21">
        <v>61</v>
      </c>
      <c r="BC71" s="21">
        <v>0.20657300000000001</v>
      </c>
      <c r="BD71">
        <f t="shared" si="10"/>
        <v>17.006913580246916</v>
      </c>
      <c r="BE71">
        <f t="shared" si="11"/>
        <v>3.5240705906172844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1.3377399999999999</v>
      </c>
      <c r="H72" s="21">
        <v>5.87073</v>
      </c>
      <c r="I72" s="21">
        <v>-1.2472499999999999E-2</v>
      </c>
      <c r="J72" s="21">
        <v>62</v>
      </c>
      <c r="K72" s="21">
        <v>1.3369800000000001</v>
      </c>
      <c r="L72">
        <f t="shared" si="0"/>
        <v>15.398148148148147</v>
      </c>
      <c r="M72">
        <f t="shared" si="1"/>
        <v>20.5987187037037</v>
      </c>
      <c r="N72" s="9"/>
      <c r="O72" s="21">
        <v>0.21224999999999999</v>
      </c>
      <c r="P72" s="21">
        <v>9.3877799999999993</v>
      </c>
      <c r="Q72" s="21">
        <v>-1.3738999999999999E-2</v>
      </c>
      <c r="R72" s="21">
        <v>62</v>
      </c>
      <c r="S72" s="21">
        <v>0.21157799999999999</v>
      </c>
      <c r="T72">
        <f t="shared" si="2"/>
        <v>16.961728395061726</v>
      </c>
      <c r="U72">
        <f t="shared" si="3"/>
        <v>3.6001268518518512</v>
      </c>
      <c r="X72" s="9"/>
      <c r="Y72" s="21">
        <v>1.3377399999999999</v>
      </c>
      <c r="Z72" s="21">
        <v>14.629899999999999</v>
      </c>
      <c r="AA72" s="21">
        <v>-1.25732E-2</v>
      </c>
      <c r="AB72" s="21">
        <v>62</v>
      </c>
      <c r="AC72" s="21">
        <v>1.33667</v>
      </c>
      <c r="AD72">
        <f t="shared" si="4"/>
        <v>15.522469135802467</v>
      </c>
      <c r="AE72">
        <f t="shared" si="5"/>
        <v>20.765027861728392</v>
      </c>
      <c r="AF72" s="9"/>
      <c r="AG72" s="21">
        <v>0.21224999999999999</v>
      </c>
      <c r="AH72" s="21">
        <v>18.146999999999998</v>
      </c>
      <c r="AI72" s="21">
        <v>-1.3809200000000001E-2</v>
      </c>
      <c r="AJ72" s="21">
        <v>62</v>
      </c>
      <c r="AK72" s="21">
        <v>0.21160899999999999</v>
      </c>
      <c r="AL72">
        <f t="shared" si="6"/>
        <v>17.048395061728392</v>
      </c>
      <c r="AM72">
        <f t="shared" si="7"/>
        <v>3.6185218518518512</v>
      </c>
      <c r="AP72" s="9"/>
      <c r="AQ72" s="21">
        <v>1.3377399999999999</v>
      </c>
      <c r="AR72" s="21">
        <v>23.388200000000001</v>
      </c>
      <c r="AS72" s="21">
        <v>-1.2539700000000001E-2</v>
      </c>
      <c r="AT72" s="21">
        <v>62</v>
      </c>
      <c r="AU72" s="21">
        <v>1.33667</v>
      </c>
      <c r="AV72">
        <f t="shared" si="8"/>
        <v>15.48111111111111</v>
      </c>
      <c r="AW72">
        <f t="shared" si="9"/>
        <v>20.709701577777775</v>
      </c>
      <c r="AX72" s="9"/>
      <c r="AY72" s="21">
        <v>0.21224999999999999</v>
      </c>
      <c r="AZ72" s="21">
        <v>26.9053</v>
      </c>
      <c r="BA72" s="21">
        <v>-1.3772599999999999E-2</v>
      </c>
      <c r="BB72" s="21">
        <v>62</v>
      </c>
      <c r="BC72" s="21">
        <v>0.211731</v>
      </c>
      <c r="BD72">
        <f t="shared" si="10"/>
        <v>17.00320987654321</v>
      </c>
      <c r="BE72">
        <f t="shared" si="11"/>
        <v>3.6089312962962961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1.3327</v>
      </c>
      <c r="H73" s="21">
        <v>5.8807999999999998</v>
      </c>
      <c r="I73" s="21">
        <v>-1.25031E-2</v>
      </c>
      <c r="J73" s="21">
        <v>63</v>
      </c>
      <c r="K73" s="21">
        <v>1.33148</v>
      </c>
      <c r="L73">
        <f t="shared" si="0"/>
        <v>15.435925925925924</v>
      </c>
      <c r="M73">
        <f t="shared" si="1"/>
        <v>20.571458481481478</v>
      </c>
      <c r="N73" s="9"/>
      <c r="O73" s="21">
        <v>0.21728500000000001</v>
      </c>
      <c r="P73" s="21">
        <v>9.39785</v>
      </c>
      <c r="Q73" s="21">
        <v>-1.3726800000000001E-2</v>
      </c>
      <c r="R73" s="21">
        <v>63</v>
      </c>
      <c r="S73" s="21">
        <v>0.21679699999999999</v>
      </c>
      <c r="T73">
        <f t="shared" si="2"/>
        <v>16.946666666666665</v>
      </c>
      <c r="U73">
        <f t="shared" si="3"/>
        <v>3.6822564666666664</v>
      </c>
      <c r="X73" s="9"/>
      <c r="Y73" s="21">
        <v>1.3327</v>
      </c>
      <c r="Z73" s="21">
        <v>14.64</v>
      </c>
      <c r="AA73" s="21">
        <v>-1.2588500000000001E-2</v>
      </c>
      <c r="AB73" s="21">
        <v>63</v>
      </c>
      <c r="AC73" s="21">
        <v>1.33148</v>
      </c>
      <c r="AD73">
        <f t="shared" si="4"/>
        <v>15.541358024691359</v>
      </c>
      <c r="AE73">
        <f t="shared" si="5"/>
        <v>20.711967839506173</v>
      </c>
      <c r="AF73" s="9"/>
      <c r="AG73" s="21">
        <v>0.21728500000000001</v>
      </c>
      <c r="AH73" s="21">
        <v>18.1571</v>
      </c>
      <c r="AI73" s="21">
        <v>-1.38184E-2</v>
      </c>
      <c r="AJ73" s="21">
        <v>63</v>
      </c>
      <c r="AK73" s="21">
        <v>0.21676599999999999</v>
      </c>
      <c r="AL73">
        <f t="shared" si="6"/>
        <v>17.05975308641975</v>
      </c>
      <c r="AM73">
        <f t="shared" si="7"/>
        <v>3.7068284493827157</v>
      </c>
      <c r="AP73" s="9"/>
      <c r="AQ73" s="21">
        <v>1.3327</v>
      </c>
      <c r="AR73" s="21">
        <v>23.398199999999999</v>
      </c>
      <c r="AS73" s="21">
        <v>-1.25702E-2</v>
      </c>
      <c r="AT73" s="21">
        <v>63</v>
      </c>
      <c r="AU73" s="21">
        <v>1.3324</v>
      </c>
      <c r="AV73">
        <f t="shared" si="8"/>
        <v>15.518765432098766</v>
      </c>
      <c r="AW73">
        <f t="shared" si="9"/>
        <v>20.681858691358023</v>
      </c>
      <c r="AX73" s="9"/>
      <c r="AY73" s="21">
        <v>0.21728500000000001</v>
      </c>
      <c r="AZ73" s="21">
        <v>26.915400000000002</v>
      </c>
      <c r="BA73" s="21">
        <v>-1.3760400000000001E-2</v>
      </c>
      <c r="BB73" s="21">
        <v>63</v>
      </c>
      <c r="BC73" s="21">
        <v>0.21679699999999999</v>
      </c>
      <c r="BD73">
        <f t="shared" si="10"/>
        <v>16.988148148148149</v>
      </c>
      <c r="BE73">
        <f t="shared" si="11"/>
        <v>3.6912697703703707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1.3276699999999999</v>
      </c>
      <c r="H74" s="21">
        <v>5.8908699999999996</v>
      </c>
      <c r="I74" s="21">
        <v>-1.25305E-2</v>
      </c>
      <c r="J74" s="21">
        <v>64</v>
      </c>
      <c r="K74" s="21">
        <v>1.3269</v>
      </c>
      <c r="L74">
        <f t="shared" si="0"/>
        <v>15.469753086419752</v>
      </c>
      <c r="M74">
        <f t="shared" si="1"/>
        <v>20.538727080246911</v>
      </c>
      <c r="N74" s="9"/>
      <c r="O74" s="21">
        <v>0.22232099999999999</v>
      </c>
      <c r="P74" s="21">
        <v>9.4079300000000003</v>
      </c>
      <c r="Q74" s="21">
        <v>-1.37238E-2</v>
      </c>
      <c r="R74" s="21">
        <v>64</v>
      </c>
      <c r="S74" s="21">
        <v>0.221771</v>
      </c>
      <c r="T74">
        <f t="shared" si="2"/>
        <v>16.942962962962962</v>
      </c>
      <c r="U74">
        <f t="shared" si="3"/>
        <v>3.7667764688888887</v>
      </c>
      <c r="X74" s="9"/>
      <c r="Y74" s="21">
        <v>1.3276699999999999</v>
      </c>
      <c r="Z74" s="21">
        <v>14.6501</v>
      </c>
      <c r="AA74" s="21">
        <v>-1.26068E-2</v>
      </c>
      <c r="AB74" s="21">
        <v>64</v>
      </c>
      <c r="AC74" s="21">
        <v>1.32721</v>
      </c>
      <c r="AD74">
        <f t="shared" si="4"/>
        <v>15.56395061728395</v>
      </c>
      <c r="AE74">
        <f t="shared" si="5"/>
        <v>20.663790316049379</v>
      </c>
      <c r="AF74" s="9"/>
      <c r="AG74" s="21">
        <v>0.22232099999999999</v>
      </c>
      <c r="AH74" s="21">
        <v>18.167100000000001</v>
      </c>
      <c r="AI74" s="21">
        <v>-1.3815300000000001E-2</v>
      </c>
      <c r="AJ74" s="21">
        <v>64</v>
      </c>
      <c r="AK74" s="21">
        <v>0.221771</v>
      </c>
      <c r="AL74">
        <f t="shared" si="6"/>
        <v>17.055925925925926</v>
      </c>
      <c r="AM74">
        <f t="shared" si="7"/>
        <v>3.7918905077777776</v>
      </c>
      <c r="AP74" s="9"/>
      <c r="AQ74" s="21">
        <v>1.3276699999999999</v>
      </c>
      <c r="AR74" s="21">
        <v>23.408300000000001</v>
      </c>
      <c r="AS74" s="21">
        <v>-1.2594599999999999E-2</v>
      </c>
      <c r="AT74" s="21">
        <v>64</v>
      </c>
      <c r="AU74" s="21">
        <v>1.32629</v>
      </c>
      <c r="AV74">
        <f t="shared" si="8"/>
        <v>15.548888888888886</v>
      </c>
      <c r="AW74">
        <f t="shared" si="9"/>
        <v>20.643793311111107</v>
      </c>
      <c r="AX74" s="9"/>
      <c r="AY74" s="21">
        <v>0.22232099999999999</v>
      </c>
      <c r="AZ74" s="21">
        <v>26.9254</v>
      </c>
      <c r="BA74" s="21">
        <v>-1.37451E-2</v>
      </c>
      <c r="BB74" s="21">
        <v>64</v>
      </c>
      <c r="BC74" s="21">
        <v>0.221832</v>
      </c>
      <c r="BD74">
        <f t="shared" si="10"/>
        <v>16.969259259259257</v>
      </c>
      <c r="BE74">
        <f t="shared" si="11"/>
        <v>3.7726226877777771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1.32263</v>
      </c>
      <c r="H75" s="21">
        <v>5.9009400000000003</v>
      </c>
      <c r="I75" s="21">
        <v>-1.2558E-2</v>
      </c>
      <c r="J75" s="21">
        <v>65</v>
      </c>
      <c r="K75" s="21">
        <v>1.32172</v>
      </c>
      <c r="L75">
        <f t="shared" si="0"/>
        <v>15.503703703703701</v>
      </c>
      <c r="M75">
        <f t="shared" si="1"/>
        <v>20.505663629629627</v>
      </c>
      <c r="N75" s="9"/>
      <c r="O75" s="21">
        <v>0.227356</v>
      </c>
      <c r="P75" s="21">
        <v>9.4179999999999993</v>
      </c>
      <c r="Q75" s="21">
        <v>-1.3720700000000001E-2</v>
      </c>
      <c r="R75" s="21">
        <v>65</v>
      </c>
      <c r="S75" s="21">
        <v>0.22680700000000001</v>
      </c>
      <c r="T75">
        <f t="shared" si="2"/>
        <v>16.939135802469135</v>
      </c>
      <c r="U75">
        <f t="shared" si="3"/>
        <v>3.8512141595061729</v>
      </c>
      <c r="X75" s="9"/>
      <c r="Y75" s="21">
        <v>1.32263</v>
      </c>
      <c r="Z75" s="21">
        <v>14.6601</v>
      </c>
      <c r="AA75" s="21">
        <v>-1.2619E-2</v>
      </c>
      <c r="AB75" s="21">
        <v>65</v>
      </c>
      <c r="AC75" s="21">
        <v>1.32172</v>
      </c>
      <c r="AD75">
        <f t="shared" si="4"/>
        <v>15.579012345679011</v>
      </c>
      <c r="AE75">
        <f t="shared" si="5"/>
        <v>20.605269098765429</v>
      </c>
      <c r="AF75" s="9"/>
      <c r="AG75" s="21">
        <v>0.227356</v>
      </c>
      <c r="AH75" s="21">
        <v>18.177199999999999</v>
      </c>
      <c r="AI75" s="21">
        <v>-1.38031E-2</v>
      </c>
      <c r="AJ75" s="21">
        <v>65</v>
      </c>
      <c r="AK75" s="21">
        <v>0.22686799999999999</v>
      </c>
      <c r="AL75">
        <f t="shared" si="6"/>
        <v>17.040864197530862</v>
      </c>
      <c r="AM75">
        <f t="shared" si="7"/>
        <v>3.8743427204938268</v>
      </c>
      <c r="AP75" s="9"/>
      <c r="AQ75" s="21">
        <v>1.32263</v>
      </c>
      <c r="AR75" s="21">
        <v>23.418399999999998</v>
      </c>
      <c r="AS75" s="21">
        <v>-1.2622100000000001E-2</v>
      </c>
      <c r="AT75" s="21">
        <v>65</v>
      </c>
      <c r="AU75" s="21">
        <v>1.32141</v>
      </c>
      <c r="AV75">
        <f t="shared" si="8"/>
        <v>15.582839506172839</v>
      </c>
      <c r="AW75">
        <f t="shared" si="9"/>
        <v>20.610331016049383</v>
      </c>
      <c r="AX75" s="9"/>
      <c r="AY75" s="21">
        <v>0.227356</v>
      </c>
      <c r="AZ75" s="21">
        <v>26.935500000000001</v>
      </c>
      <c r="BA75" s="21">
        <v>-1.37421E-2</v>
      </c>
      <c r="BB75" s="21">
        <v>65</v>
      </c>
      <c r="BC75" s="21">
        <v>0.22680700000000001</v>
      </c>
      <c r="BD75">
        <f t="shared" si="10"/>
        <v>16.965555555555554</v>
      </c>
      <c r="BE75">
        <f t="shared" si="11"/>
        <v>3.8572208488888884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1.3176000000000001</v>
      </c>
      <c r="H76" s="21">
        <v>5.9110100000000001</v>
      </c>
      <c r="I76" s="21">
        <v>-1.25763E-2</v>
      </c>
      <c r="J76" s="21">
        <v>66</v>
      </c>
      <c r="K76" s="21">
        <v>1.3168299999999999</v>
      </c>
      <c r="L76">
        <f t="shared" ref="L76:L139" si="12">-I76/$F$2*1000</f>
        <v>15.526296296296294</v>
      </c>
      <c r="M76">
        <f t="shared" ref="M76:M139" si="13">L76*G76</f>
        <v>20.457447999999999</v>
      </c>
      <c r="N76" s="9"/>
      <c r="O76" s="21">
        <v>0.23239099999999999</v>
      </c>
      <c r="P76" s="21">
        <v>9.42807</v>
      </c>
      <c r="Q76" s="21">
        <v>-1.37115E-2</v>
      </c>
      <c r="R76" s="21">
        <v>66</v>
      </c>
      <c r="S76" s="21">
        <v>0.231873</v>
      </c>
      <c r="T76">
        <f t="shared" ref="T76:T139" si="14">-Q76/$F$2*1000</f>
        <v>16.927777777777777</v>
      </c>
      <c r="U76">
        <f t="shared" ref="U76:U139" si="15">T76*O76</f>
        <v>3.9338632055555554</v>
      </c>
      <c r="X76" s="9"/>
      <c r="Y76" s="21">
        <v>1.3176000000000001</v>
      </c>
      <c r="Z76" s="21">
        <v>14.670199999999999</v>
      </c>
      <c r="AA76" s="21">
        <v>-1.2628199999999999E-2</v>
      </c>
      <c r="AB76" s="21">
        <v>66</v>
      </c>
      <c r="AC76" s="21">
        <v>1.3168299999999999</v>
      </c>
      <c r="AD76">
        <f t="shared" ref="AD76:AD139" si="16">-AA76/$F$2*1000</f>
        <v>15.590370370370369</v>
      </c>
      <c r="AE76">
        <f t="shared" ref="AE76:AE139" si="17">AD76*Y76</f>
        <v>20.541872000000001</v>
      </c>
      <c r="AF76" s="9"/>
      <c r="AG76" s="21">
        <v>0.23239099999999999</v>
      </c>
      <c r="AH76" s="21">
        <v>18.1873</v>
      </c>
      <c r="AI76" s="21">
        <v>-1.37939E-2</v>
      </c>
      <c r="AJ76" s="21">
        <v>66</v>
      </c>
      <c r="AK76" s="21">
        <v>0.23184199999999999</v>
      </c>
      <c r="AL76">
        <f t="shared" ref="AL76:AL139" si="18">-AI76/$F$2*1000</f>
        <v>17.029506172839504</v>
      </c>
      <c r="AM76">
        <f t="shared" ref="AM76:AM139" si="19">AL76*AG76</f>
        <v>3.957503969012345</v>
      </c>
      <c r="AP76" s="9"/>
      <c r="AQ76" s="21">
        <v>1.3176000000000001</v>
      </c>
      <c r="AR76" s="21">
        <v>23.4284</v>
      </c>
      <c r="AS76" s="21">
        <v>-1.2643400000000001E-2</v>
      </c>
      <c r="AT76" s="21">
        <v>66</v>
      </c>
      <c r="AU76" s="21">
        <v>1.31592</v>
      </c>
      <c r="AV76">
        <f t="shared" ref="AV76:AV139" si="20">-AS76/$F$2*1000</f>
        <v>15.609135802469137</v>
      </c>
      <c r="AW76">
        <f t="shared" ref="AW76:AW139" si="21">AV76*AQ76</f>
        <v>20.566597333333338</v>
      </c>
      <c r="AX76" s="9"/>
      <c r="AY76" s="21">
        <v>0.23239099999999999</v>
      </c>
      <c r="AZ76" s="21">
        <v>26.945599999999999</v>
      </c>
      <c r="BA76" s="21">
        <v>-1.37451E-2</v>
      </c>
      <c r="BB76" s="21">
        <v>66</v>
      </c>
      <c r="BC76" s="21">
        <v>0.23184199999999999</v>
      </c>
      <c r="BD76">
        <f t="shared" ref="BD76:BD139" si="22">-BA76/$F$2*1000</f>
        <v>16.969259259259257</v>
      </c>
      <c r="BE76">
        <f t="shared" ref="BE76:BE139" si="23">BD76*AY76</f>
        <v>3.9435031285185178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1.3125599999999999</v>
      </c>
      <c r="H77" s="21">
        <v>5.9210799999999999</v>
      </c>
      <c r="I77" s="21">
        <v>-1.2594599999999999E-2</v>
      </c>
      <c r="J77" s="21">
        <v>67</v>
      </c>
      <c r="K77" s="21">
        <v>1.3125599999999999</v>
      </c>
      <c r="L77">
        <f t="shared" si="12"/>
        <v>15.548888888888886</v>
      </c>
      <c r="M77">
        <f t="shared" si="13"/>
        <v>20.408849599999996</v>
      </c>
      <c r="N77" s="9"/>
      <c r="O77" s="21">
        <v>0.237427</v>
      </c>
      <c r="P77" s="21">
        <v>9.4381400000000006</v>
      </c>
      <c r="Q77" s="21">
        <v>-1.3699299999999999E-2</v>
      </c>
      <c r="R77" s="21">
        <v>67</v>
      </c>
      <c r="S77" s="21">
        <v>0.23696900000000001</v>
      </c>
      <c r="T77">
        <f t="shared" si="14"/>
        <v>16.912716049382716</v>
      </c>
      <c r="U77">
        <f t="shared" si="15"/>
        <v>4.0155354334567903</v>
      </c>
      <c r="X77" s="9"/>
      <c r="Y77" s="21">
        <v>1.3125599999999999</v>
      </c>
      <c r="Z77" s="21">
        <v>14.680300000000001</v>
      </c>
      <c r="AA77" s="21">
        <v>-1.26465E-2</v>
      </c>
      <c r="AB77" s="21">
        <v>67</v>
      </c>
      <c r="AC77" s="21">
        <v>1.31165</v>
      </c>
      <c r="AD77">
        <f t="shared" si="16"/>
        <v>15.612962962962962</v>
      </c>
      <c r="AE77">
        <f t="shared" si="17"/>
        <v>20.492950666666665</v>
      </c>
      <c r="AF77" s="9"/>
      <c r="AG77" s="21">
        <v>0.237427</v>
      </c>
      <c r="AH77" s="21">
        <v>18.197299999999998</v>
      </c>
      <c r="AI77" s="21">
        <v>-1.3787799999999999E-2</v>
      </c>
      <c r="AJ77" s="21">
        <v>67</v>
      </c>
      <c r="AK77" s="21">
        <v>0.23693800000000001</v>
      </c>
      <c r="AL77">
        <f t="shared" si="18"/>
        <v>17.021975308641974</v>
      </c>
      <c r="AM77">
        <f t="shared" si="19"/>
        <v>4.0414765316049381</v>
      </c>
      <c r="AP77" s="9"/>
      <c r="AQ77" s="21">
        <v>1.3125599999999999</v>
      </c>
      <c r="AR77" s="21">
        <v>23.438500000000001</v>
      </c>
      <c r="AS77" s="21">
        <v>-1.26617E-2</v>
      </c>
      <c r="AT77" s="21">
        <v>67</v>
      </c>
      <c r="AU77" s="21">
        <v>1.3119499999999999</v>
      </c>
      <c r="AV77">
        <f t="shared" si="20"/>
        <v>15.631728395061728</v>
      </c>
      <c r="AW77">
        <f t="shared" si="21"/>
        <v>20.517581422222221</v>
      </c>
      <c r="AX77" s="9"/>
      <c r="AY77" s="21">
        <v>0.237427</v>
      </c>
      <c r="AZ77" s="21">
        <v>26.9556</v>
      </c>
      <c r="BA77" s="21">
        <v>-1.3738999999999999E-2</v>
      </c>
      <c r="BB77" s="21">
        <v>67</v>
      </c>
      <c r="BC77" s="21">
        <v>0.23690800000000001</v>
      </c>
      <c r="BD77">
        <f t="shared" si="22"/>
        <v>16.961728395061726</v>
      </c>
      <c r="BE77">
        <f t="shared" si="23"/>
        <v>4.0271722876543201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1.3075300000000001</v>
      </c>
      <c r="H78" s="21">
        <v>5.9311499999999997</v>
      </c>
      <c r="I78" s="21">
        <v>-1.2622100000000001E-2</v>
      </c>
      <c r="J78" s="21">
        <v>68</v>
      </c>
      <c r="K78" s="21">
        <v>1.30646</v>
      </c>
      <c r="L78">
        <f t="shared" si="12"/>
        <v>15.582839506172839</v>
      </c>
      <c r="M78">
        <f t="shared" si="13"/>
        <v>20.375030139506173</v>
      </c>
      <c r="N78" s="9"/>
      <c r="O78" s="21">
        <v>0.24246200000000001</v>
      </c>
      <c r="P78" s="21">
        <v>9.4482099999999996</v>
      </c>
      <c r="Q78" s="21">
        <v>-1.3693200000000001E-2</v>
      </c>
      <c r="R78" s="21">
        <v>68</v>
      </c>
      <c r="S78" s="21">
        <v>0.24191299999999999</v>
      </c>
      <c r="T78">
        <f t="shared" si="14"/>
        <v>16.905185185185186</v>
      </c>
      <c r="U78">
        <f t="shared" si="15"/>
        <v>4.0988650103703703</v>
      </c>
      <c r="X78" s="9"/>
      <c r="Y78" s="21">
        <v>1.3075300000000001</v>
      </c>
      <c r="Z78" s="21">
        <v>14.6904</v>
      </c>
      <c r="AA78" s="21">
        <v>-1.26678E-2</v>
      </c>
      <c r="AB78" s="21">
        <v>68</v>
      </c>
      <c r="AC78" s="21">
        <v>1.3067599999999999</v>
      </c>
      <c r="AD78">
        <f t="shared" si="16"/>
        <v>15.639259259259259</v>
      </c>
      <c r="AE78">
        <f t="shared" si="17"/>
        <v>20.448800659259259</v>
      </c>
      <c r="AF78" s="9"/>
      <c r="AG78" s="21">
        <v>0.24246200000000001</v>
      </c>
      <c r="AH78" s="21">
        <v>18.2074</v>
      </c>
      <c r="AI78" s="21">
        <v>-1.3775600000000001E-2</v>
      </c>
      <c r="AJ78" s="21">
        <v>68</v>
      </c>
      <c r="AK78" s="21">
        <v>0.24188200000000001</v>
      </c>
      <c r="AL78">
        <f t="shared" si="18"/>
        <v>17.006913580246916</v>
      </c>
      <c r="AM78">
        <f t="shared" si="19"/>
        <v>4.1235302804938279</v>
      </c>
      <c r="AP78" s="9"/>
      <c r="AQ78" s="21">
        <v>1.3075300000000001</v>
      </c>
      <c r="AR78" s="21">
        <v>23.448599999999999</v>
      </c>
      <c r="AS78" s="21">
        <v>-1.2674E-2</v>
      </c>
      <c r="AT78" s="21">
        <v>68</v>
      </c>
      <c r="AU78" s="21">
        <v>1.30646</v>
      </c>
      <c r="AV78">
        <f t="shared" si="20"/>
        <v>15.646913580246911</v>
      </c>
      <c r="AW78">
        <f t="shared" si="21"/>
        <v>20.458808913580246</v>
      </c>
      <c r="AX78" s="9"/>
      <c r="AY78" s="21">
        <v>0.24246200000000001</v>
      </c>
      <c r="AZ78" s="21">
        <v>26.965699999999998</v>
      </c>
      <c r="BA78" s="21">
        <v>-1.37238E-2</v>
      </c>
      <c r="BB78" s="21">
        <v>68</v>
      </c>
      <c r="BC78" s="21">
        <v>0.24188200000000001</v>
      </c>
      <c r="BD78">
        <f t="shared" si="22"/>
        <v>16.942962962962962</v>
      </c>
      <c r="BE78">
        <f t="shared" si="23"/>
        <v>4.1080246859259262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1.3024899999999999</v>
      </c>
      <c r="H79" s="21">
        <v>5.9412200000000004</v>
      </c>
      <c r="I79" s="21">
        <v>-1.26465E-2</v>
      </c>
      <c r="J79" s="21">
        <v>69</v>
      </c>
      <c r="K79" s="21">
        <v>1.30219</v>
      </c>
      <c r="L79">
        <f t="shared" si="12"/>
        <v>15.612962962962962</v>
      </c>
      <c r="M79">
        <f t="shared" si="13"/>
        <v>20.335728129629629</v>
      </c>
      <c r="N79" s="9"/>
      <c r="O79" s="21">
        <v>0.247498</v>
      </c>
      <c r="P79" s="21">
        <v>9.4582800000000002</v>
      </c>
      <c r="Q79" s="21">
        <v>-1.3684099999999999E-2</v>
      </c>
      <c r="R79" s="21">
        <v>69</v>
      </c>
      <c r="S79" s="21">
        <v>0.24700900000000001</v>
      </c>
      <c r="T79">
        <f t="shared" si="14"/>
        <v>16.893950617283949</v>
      </c>
      <c r="U79">
        <f t="shared" si="15"/>
        <v>4.1812189898765428</v>
      </c>
      <c r="X79" s="9"/>
      <c r="Y79" s="21">
        <v>1.3024899999999999</v>
      </c>
      <c r="Z79" s="21">
        <v>14.7004</v>
      </c>
      <c r="AA79" s="21">
        <v>-1.2689199999999999E-2</v>
      </c>
      <c r="AB79" s="21">
        <v>69</v>
      </c>
      <c r="AC79" s="21">
        <v>1.3015699999999999</v>
      </c>
      <c r="AD79">
        <f t="shared" si="16"/>
        <v>15.665679012345679</v>
      </c>
      <c r="AE79">
        <f t="shared" si="17"/>
        <v>20.404390256790123</v>
      </c>
      <c r="AF79" s="9"/>
      <c r="AG79" s="21">
        <v>0.247498</v>
      </c>
      <c r="AH79" s="21">
        <v>18.217500000000001</v>
      </c>
      <c r="AI79" s="21">
        <v>-1.37634E-2</v>
      </c>
      <c r="AJ79" s="21">
        <v>69</v>
      </c>
      <c r="AK79" s="21">
        <v>0.246887</v>
      </c>
      <c r="AL79">
        <f t="shared" si="18"/>
        <v>16.991851851851852</v>
      </c>
      <c r="AM79">
        <f t="shared" si="19"/>
        <v>4.2054493496296299</v>
      </c>
      <c r="AP79" s="9"/>
      <c r="AQ79" s="21">
        <v>1.3024899999999999</v>
      </c>
      <c r="AR79" s="21">
        <v>23.458600000000001</v>
      </c>
      <c r="AS79" s="21">
        <v>-1.26923E-2</v>
      </c>
      <c r="AT79" s="21">
        <v>69</v>
      </c>
      <c r="AU79" s="21">
        <v>1.3012699999999999</v>
      </c>
      <c r="AV79">
        <f t="shared" si="20"/>
        <v>15.669506172839506</v>
      </c>
      <c r="AW79">
        <f t="shared" si="21"/>
        <v>20.409375095061726</v>
      </c>
      <c r="AX79" s="9"/>
      <c r="AY79" s="21">
        <v>0.247498</v>
      </c>
      <c r="AZ79" s="21">
        <v>26.9758</v>
      </c>
      <c r="BA79" s="21">
        <v>-1.3720700000000001E-2</v>
      </c>
      <c r="BB79" s="21">
        <v>69</v>
      </c>
      <c r="BC79" s="21">
        <v>0.24685699999999999</v>
      </c>
      <c r="BD79">
        <f t="shared" si="22"/>
        <v>16.939135802469135</v>
      </c>
      <c r="BE79">
        <f t="shared" si="23"/>
        <v>4.1924022328395063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1.29745</v>
      </c>
      <c r="H80" s="21">
        <v>5.9512900000000002</v>
      </c>
      <c r="I80" s="21">
        <v>-1.26648E-2</v>
      </c>
      <c r="J80" s="21">
        <v>70</v>
      </c>
      <c r="K80" s="21">
        <v>1.2969999999999999</v>
      </c>
      <c r="L80">
        <f t="shared" si="12"/>
        <v>15.635555555555555</v>
      </c>
      <c r="M80">
        <f t="shared" si="13"/>
        <v>20.286351555555555</v>
      </c>
      <c r="N80" s="9"/>
      <c r="O80" s="21">
        <v>0.25253300000000001</v>
      </c>
      <c r="P80" s="21">
        <v>9.4683499999999992</v>
      </c>
      <c r="Q80" s="21">
        <v>-1.3687100000000001E-2</v>
      </c>
      <c r="R80" s="21">
        <v>70</v>
      </c>
      <c r="S80" s="21">
        <v>0.25198399999999999</v>
      </c>
      <c r="T80">
        <f t="shared" si="14"/>
        <v>16.897654320987655</v>
      </c>
      <c r="U80">
        <f t="shared" si="15"/>
        <v>4.267215338641976</v>
      </c>
      <c r="X80" s="9"/>
      <c r="Y80" s="21">
        <v>1.29745</v>
      </c>
      <c r="Z80" s="21">
        <v>14.7105</v>
      </c>
      <c r="AA80" s="21">
        <v>-1.2704500000000001E-2</v>
      </c>
      <c r="AB80" s="21">
        <v>70</v>
      </c>
      <c r="AC80" s="21">
        <v>1.2966899999999999</v>
      </c>
      <c r="AD80">
        <f t="shared" si="16"/>
        <v>15.684567901234566</v>
      </c>
      <c r="AE80">
        <f t="shared" si="17"/>
        <v>20.349942623456787</v>
      </c>
      <c r="AF80" s="9"/>
      <c r="AG80" s="21">
        <v>0.25253300000000001</v>
      </c>
      <c r="AH80" s="21">
        <v>18.227599999999999</v>
      </c>
      <c r="AI80" s="21">
        <v>-1.37573E-2</v>
      </c>
      <c r="AJ80" s="21">
        <v>70</v>
      </c>
      <c r="AK80" s="21">
        <v>0.252106</v>
      </c>
      <c r="AL80">
        <f t="shared" si="18"/>
        <v>16.984320987654321</v>
      </c>
      <c r="AM80">
        <f t="shared" si="19"/>
        <v>4.2891015319753087</v>
      </c>
      <c r="AP80" s="9"/>
      <c r="AQ80" s="21">
        <v>1.29745</v>
      </c>
      <c r="AR80" s="21">
        <v>23.468699999999998</v>
      </c>
      <c r="AS80" s="21">
        <v>-1.27075E-2</v>
      </c>
      <c r="AT80" s="21">
        <v>70</v>
      </c>
      <c r="AU80" s="21">
        <v>1.2969999999999999</v>
      </c>
      <c r="AV80">
        <f t="shared" si="20"/>
        <v>15.68827160493827</v>
      </c>
      <c r="AW80">
        <f t="shared" si="21"/>
        <v>20.354747993827157</v>
      </c>
      <c r="AX80" s="9"/>
      <c r="AY80" s="21">
        <v>0.25253300000000001</v>
      </c>
      <c r="AZ80" s="21">
        <v>26.985900000000001</v>
      </c>
      <c r="BA80" s="21">
        <v>-1.3717699999999999E-2</v>
      </c>
      <c r="BB80" s="21">
        <v>70</v>
      </c>
      <c r="BC80" s="21">
        <v>0.251892</v>
      </c>
      <c r="BD80">
        <f t="shared" si="22"/>
        <v>16.935432098765432</v>
      </c>
      <c r="BE80">
        <f t="shared" si="23"/>
        <v>4.2767554741975307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1.2924199999999999</v>
      </c>
      <c r="H81" s="21">
        <v>5.96136</v>
      </c>
      <c r="I81" s="21">
        <v>-1.2674E-2</v>
      </c>
      <c r="J81" s="21">
        <v>71</v>
      </c>
      <c r="K81" s="21">
        <v>1.2918099999999999</v>
      </c>
      <c r="L81">
        <f t="shared" si="12"/>
        <v>15.646913580246911</v>
      </c>
      <c r="M81">
        <f t="shared" si="13"/>
        <v>20.222384049382711</v>
      </c>
      <c r="N81" s="9"/>
      <c r="O81" s="21">
        <v>0.25756800000000002</v>
      </c>
      <c r="P81" s="21">
        <v>9.4784199999999998</v>
      </c>
      <c r="Q81" s="21">
        <v>-1.3681E-2</v>
      </c>
      <c r="R81" s="21">
        <v>71</v>
      </c>
      <c r="S81" s="21">
        <v>0.25686599999999998</v>
      </c>
      <c r="T81">
        <f t="shared" si="14"/>
        <v>16.890123456790121</v>
      </c>
      <c r="U81">
        <f t="shared" si="15"/>
        <v>4.3503553185185186</v>
      </c>
      <c r="X81" s="9"/>
      <c r="Y81" s="21">
        <v>1.2924199999999999</v>
      </c>
      <c r="Z81" s="21">
        <v>14.720599999999999</v>
      </c>
      <c r="AA81" s="21">
        <v>-1.27075E-2</v>
      </c>
      <c r="AB81" s="21">
        <v>71</v>
      </c>
      <c r="AC81" s="21">
        <v>1.2915000000000001</v>
      </c>
      <c r="AD81">
        <f t="shared" si="16"/>
        <v>15.68827160493827</v>
      </c>
      <c r="AE81">
        <f t="shared" si="17"/>
        <v>20.275835987654318</v>
      </c>
      <c r="AF81" s="9"/>
      <c r="AG81" s="21">
        <v>0.25756800000000002</v>
      </c>
      <c r="AH81" s="21">
        <v>18.2376</v>
      </c>
      <c r="AI81" s="21">
        <v>-1.37512E-2</v>
      </c>
      <c r="AJ81" s="21">
        <v>71</v>
      </c>
      <c r="AK81" s="21">
        <v>0.25695800000000002</v>
      </c>
      <c r="AL81">
        <f t="shared" si="18"/>
        <v>16.976790123456787</v>
      </c>
      <c r="AM81">
        <f t="shared" si="19"/>
        <v>4.3726778785185179</v>
      </c>
      <c r="AP81" s="9"/>
      <c r="AQ81" s="21">
        <v>1.2924199999999999</v>
      </c>
      <c r="AR81" s="21">
        <v>23.4788</v>
      </c>
      <c r="AS81" s="21">
        <v>-1.27289E-2</v>
      </c>
      <c r="AT81" s="21">
        <v>71</v>
      </c>
      <c r="AU81" s="21">
        <v>1.2918099999999999</v>
      </c>
      <c r="AV81">
        <f t="shared" si="20"/>
        <v>15.714691358024689</v>
      </c>
      <c r="AW81">
        <f t="shared" si="21"/>
        <v>20.309981404938267</v>
      </c>
      <c r="AX81" s="9"/>
      <c r="AY81" s="21">
        <v>0.25756800000000002</v>
      </c>
      <c r="AZ81" s="21">
        <v>26.995899999999999</v>
      </c>
      <c r="BA81" s="21">
        <v>-1.37115E-2</v>
      </c>
      <c r="BB81" s="21">
        <v>71</v>
      </c>
      <c r="BC81" s="21">
        <v>0.257019</v>
      </c>
      <c r="BD81">
        <f t="shared" si="22"/>
        <v>16.927777777777777</v>
      </c>
      <c r="BE81">
        <f t="shared" si="23"/>
        <v>4.3600538666666671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1.28738</v>
      </c>
      <c r="H82" s="21">
        <v>5.9714400000000003</v>
      </c>
      <c r="I82" s="21">
        <v>-1.26801E-2</v>
      </c>
      <c r="J82" s="21">
        <v>72</v>
      </c>
      <c r="K82" s="21">
        <v>1.2863199999999999</v>
      </c>
      <c r="L82">
        <f t="shared" si="12"/>
        <v>15.654444444444444</v>
      </c>
      <c r="M82">
        <f t="shared" si="13"/>
        <v>20.153218688888888</v>
      </c>
      <c r="N82" s="9"/>
      <c r="O82" s="21">
        <v>0.262604</v>
      </c>
      <c r="P82" s="21">
        <v>9.4884900000000005</v>
      </c>
      <c r="Q82" s="21">
        <v>-1.3665800000000001E-2</v>
      </c>
      <c r="R82" s="21">
        <v>72</v>
      </c>
      <c r="S82" s="21">
        <v>0.26190200000000002</v>
      </c>
      <c r="T82">
        <f t="shared" si="14"/>
        <v>16.871358024691357</v>
      </c>
      <c r="U82">
        <f t="shared" si="15"/>
        <v>4.4304861027160491</v>
      </c>
      <c r="X82" s="9"/>
      <c r="Y82" s="21">
        <v>1.28738</v>
      </c>
      <c r="Z82" s="21">
        <v>14.730600000000001</v>
      </c>
      <c r="AA82" s="21">
        <v>-1.27197E-2</v>
      </c>
      <c r="AB82" s="21">
        <v>72</v>
      </c>
      <c r="AC82" s="21">
        <v>1.2869299999999999</v>
      </c>
      <c r="AD82">
        <f t="shared" si="16"/>
        <v>15.703333333333333</v>
      </c>
      <c r="AE82">
        <f t="shared" si="17"/>
        <v>20.216157266666666</v>
      </c>
      <c r="AF82" s="9"/>
      <c r="AG82" s="21">
        <v>0.262604</v>
      </c>
      <c r="AH82" s="21">
        <v>18.247699999999998</v>
      </c>
      <c r="AI82" s="21">
        <v>-1.37512E-2</v>
      </c>
      <c r="AJ82" s="21">
        <v>72</v>
      </c>
      <c r="AK82" s="21">
        <v>0.26202399999999998</v>
      </c>
      <c r="AL82">
        <f t="shared" si="18"/>
        <v>16.976790123456787</v>
      </c>
      <c r="AM82">
        <f t="shared" si="19"/>
        <v>4.4581729935802459</v>
      </c>
      <c r="AP82" s="9"/>
      <c r="AQ82" s="21">
        <v>1.28738</v>
      </c>
      <c r="AR82" s="21">
        <v>23.488900000000001</v>
      </c>
      <c r="AS82" s="21">
        <v>-1.27533E-2</v>
      </c>
      <c r="AT82" s="21">
        <v>72</v>
      </c>
      <c r="AU82" s="21">
        <v>1.2866200000000001</v>
      </c>
      <c r="AV82">
        <f t="shared" si="20"/>
        <v>15.744814814814816</v>
      </c>
      <c r="AW82">
        <f t="shared" si="21"/>
        <v>20.269559696296298</v>
      </c>
      <c r="AX82" s="9"/>
      <c r="AY82" s="21">
        <v>0.262604</v>
      </c>
      <c r="AZ82" s="21">
        <v>27.006</v>
      </c>
      <c r="BA82" s="21">
        <v>-1.37085E-2</v>
      </c>
      <c r="BB82" s="21">
        <v>72</v>
      </c>
      <c r="BC82" s="21">
        <v>0.26208500000000001</v>
      </c>
      <c r="BD82">
        <f t="shared" si="22"/>
        <v>16.924074074074074</v>
      </c>
      <c r="BE82">
        <f t="shared" si="23"/>
        <v>4.444329548148148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1.2823500000000001</v>
      </c>
      <c r="H83" s="21">
        <v>5.9815100000000001</v>
      </c>
      <c r="I83" s="21">
        <v>-1.26923E-2</v>
      </c>
      <c r="J83" s="21">
        <v>73</v>
      </c>
      <c r="K83" s="21">
        <v>1.2817400000000001</v>
      </c>
      <c r="L83">
        <f t="shared" si="12"/>
        <v>15.669506172839506</v>
      </c>
      <c r="M83">
        <f t="shared" si="13"/>
        <v>20.093791240740742</v>
      </c>
      <c r="N83" s="9"/>
      <c r="O83" s="21">
        <v>0.26763900000000002</v>
      </c>
      <c r="P83" s="21">
        <v>9.4985599999999994</v>
      </c>
      <c r="Q83" s="21">
        <v>-1.36688E-2</v>
      </c>
      <c r="R83" s="21">
        <v>73</v>
      </c>
      <c r="S83" s="21">
        <v>0.26705899999999999</v>
      </c>
      <c r="T83">
        <f t="shared" si="14"/>
        <v>16.87506172839506</v>
      </c>
      <c r="U83">
        <f t="shared" si="15"/>
        <v>4.5164246459259259</v>
      </c>
      <c r="X83" s="9"/>
      <c r="Y83" s="21">
        <v>1.2823500000000001</v>
      </c>
      <c r="Z83" s="21">
        <v>14.7407</v>
      </c>
      <c r="AA83" s="21">
        <v>-1.27441E-2</v>
      </c>
      <c r="AB83" s="21">
        <v>73</v>
      </c>
      <c r="AC83" s="21">
        <v>1.2817400000000001</v>
      </c>
      <c r="AD83">
        <f t="shared" si="16"/>
        <v>15.733456790123457</v>
      </c>
      <c r="AE83">
        <f t="shared" si="17"/>
        <v>20.175798314814816</v>
      </c>
      <c r="AF83" s="9"/>
      <c r="AG83" s="21">
        <v>0.26763900000000002</v>
      </c>
      <c r="AH83" s="21">
        <v>18.2578</v>
      </c>
      <c r="AI83" s="21">
        <v>-1.37482E-2</v>
      </c>
      <c r="AJ83" s="21">
        <v>73</v>
      </c>
      <c r="AK83" s="21">
        <v>0.26702900000000002</v>
      </c>
      <c r="AL83">
        <f t="shared" si="18"/>
        <v>16.973086419753084</v>
      </c>
      <c r="AM83">
        <f t="shared" si="19"/>
        <v>4.5426598762962955</v>
      </c>
      <c r="AP83" s="9"/>
      <c r="AQ83" s="21">
        <v>1.2823500000000001</v>
      </c>
      <c r="AR83" s="21">
        <v>23.498899999999999</v>
      </c>
      <c r="AS83" s="21">
        <v>-1.2771599999999999E-2</v>
      </c>
      <c r="AT83" s="21">
        <v>73</v>
      </c>
      <c r="AU83" s="21">
        <v>1.2814300000000001</v>
      </c>
      <c r="AV83">
        <f t="shared" si="20"/>
        <v>15.767407407407408</v>
      </c>
      <c r="AW83">
        <f t="shared" si="21"/>
        <v>20.219334888888891</v>
      </c>
      <c r="AX83" s="9"/>
      <c r="AY83" s="21">
        <v>0.26763900000000002</v>
      </c>
      <c r="AZ83" s="21">
        <v>27.016100000000002</v>
      </c>
      <c r="BA83" s="21">
        <v>-1.37024E-2</v>
      </c>
      <c r="BB83" s="21">
        <v>73</v>
      </c>
      <c r="BC83" s="21">
        <v>0.26705899999999999</v>
      </c>
      <c r="BD83">
        <f t="shared" si="22"/>
        <v>16.916543209876544</v>
      </c>
      <c r="BE83">
        <f t="shared" si="23"/>
        <v>4.5275267081481489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1.2773099999999999</v>
      </c>
      <c r="H84" s="21">
        <v>5.9915799999999999</v>
      </c>
      <c r="I84" s="21">
        <v>-1.26984E-2</v>
      </c>
      <c r="J84" s="21">
        <v>74</v>
      </c>
      <c r="K84" s="21">
        <v>1.2765500000000001</v>
      </c>
      <c r="L84">
        <f t="shared" si="12"/>
        <v>15.677037037037039</v>
      </c>
      <c r="M84">
        <f t="shared" si="13"/>
        <v>20.02443617777778</v>
      </c>
      <c r="N84" s="9"/>
      <c r="O84" s="21">
        <v>0.272675</v>
      </c>
      <c r="P84" s="21">
        <v>9.5086399999999998</v>
      </c>
      <c r="Q84" s="21">
        <v>-1.36688E-2</v>
      </c>
      <c r="R84" s="21">
        <v>74</v>
      </c>
      <c r="S84" s="21">
        <v>0.27212500000000001</v>
      </c>
      <c r="T84">
        <f t="shared" si="14"/>
        <v>16.87506172839506</v>
      </c>
      <c r="U84">
        <f t="shared" si="15"/>
        <v>4.6014074567901231</v>
      </c>
      <c r="X84" s="9"/>
      <c r="Y84" s="21">
        <v>1.2773099999999999</v>
      </c>
      <c r="Z84" s="21">
        <v>14.7508</v>
      </c>
      <c r="AA84" s="21">
        <v>-1.27625E-2</v>
      </c>
      <c r="AB84" s="21">
        <v>74</v>
      </c>
      <c r="AC84" s="21">
        <v>1.2759400000000001</v>
      </c>
      <c r="AD84">
        <f t="shared" si="16"/>
        <v>15.756172839506172</v>
      </c>
      <c r="AE84">
        <f t="shared" si="17"/>
        <v>20.125517129629628</v>
      </c>
      <c r="AF84" s="9"/>
      <c r="AG84" s="21">
        <v>0.272675</v>
      </c>
      <c r="AH84" s="21">
        <v>18.267800000000001</v>
      </c>
      <c r="AI84" s="21">
        <v>-1.3754300000000001E-2</v>
      </c>
      <c r="AJ84" s="21">
        <v>74</v>
      </c>
      <c r="AK84" s="21">
        <v>0.27215600000000001</v>
      </c>
      <c r="AL84">
        <f t="shared" si="18"/>
        <v>16.980617283950615</v>
      </c>
      <c r="AM84">
        <f t="shared" si="19"/>
        <v>4.6301898179012335</v>
      </c>
      <c r="AP84" s="9"/>
      <c r="AQ84" s="21">
        <v>1.2773099999999999</v>
      </c>
      <c r="AR84" s="21">
        <v>23.509</v>
      </c>
      <c r="AS84" s="21">
        <v>-1.27838E-2</v>
      </c>
      <c r="AT84" s="21">
        <v>74</v>
      </c>
      <c r="AU84" s="21">
        <v>1.2759400000000001</v>
      </c>
      <c r="AV84">
        <f t="shared" si="20"/>
        <v>15.782469135802467</v>
      </c>
      <c r="AW84">
        <f t="shared" si="21"/>
        <v>20.159105651851849</v>
      </c>
      <c r="AX84" s="9"/>
      <c r="AY84" s="21">
        <v>0.272675</v>
      </c>
      <c r="AZ84" s="21">
        <v>27.0261</v>
      </c>
      <c r="BA84" s="21">
        <v>-1.37024E-2</v>
      </c>
      <c r="BB84" s="21">
        <v>74</v>
      </c>
      <c r="BC84" s="21">
        <v>0.27212500000000001</v>
      </c>
      <c r="BD84">
        <f t="shared" si="22"/>
        <v>16.916543209876544</v>
      </c>
      <c r="BE84">
        <f t="shared" si="23"/>
        <v>4.6127184197530866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1.2722800000000001</v>
      </c>
      <c r="H85" s="21">
        <v>6.0016499999999997</v>
      </c>
      <c r="I85" s="21">
        <v>-1.2722799999999999E-2</v>
      </c>
      <c r="J85" s="21">
        <v>75</v>
      </c>
      <c r="K85" s="21">
        <v>1.27136</v>
      </c>
      <c r="L85">
        <f t="shared" si="12"/>
        <v>15.707160493827157</v>
      </c>
      <c r="M85">
        <f t="shared" si="13"/>
        <v>19.983906153086416</v>
      </c>
      <c r="N85" s="9"/>
      <c r="O85" s="21">
        <v>0.27771000000000001</v>
      </c>
      <c r="P85" s="21">
        <v>9.5187100000000004</v>
      </c>
      <c r="Q85" s="21">
        <v>-1.36597E-2</v>
      </c>
      <c r="R85" s="21">
        <v>75</v>
      </c>
      <c r="S85" s="21">
        <v>0.27719100000000002</v>
      </c>
      <c r="T85">
        <f t="shared" si="14"/>
        <v>16.863827160493827</v>
      </c>
      <c r="U85">
        <f t="shared" si="15"/>
        <v>4.6832534407407405</v>
      </c>
      <c r="X85" s="9"/>
      <c r="Y85" s="21">
        <v>1.2722800000000001</v>
      </c>
      <c r="Z85" s="21">
        <v>14.760899999999999</v>
      </c>
      <c r="AA85" s="21">
        <v>-1.27747E-2</v>
      </c>
      <c r="AB85" s="21">
        <v>75</v>
      </c>
      <c r="AC85" s="21">
        <v>1.27136</v>
      </c>
      <c r="AD85">
        <f t="shared" si="16"/>
        <v>15.771234567901235</v>
      </c>
      <c r="AE85">
        <f t="shared" si="17"/>
        <v>20.065426316049386</v>
      </c>
      <c r="AF85" s="9"/>
      <c r="AG85" s="21">
        <v>0.27771000000000001</v>
      </c>
      <c r="AH85" s="21">
        <v>18.277899999999999</v>
      </c>
      <c r="AI85" s="21">
        <v>-1.3760400000000001E-2</v>
      </c>
      <c r="AJ85" s="21">
        <v>75</v>
      </c>
      <c r="AK85" s="21">
        <v>0.27722200000000002</v>
      </c>
      <c r="AL85">
        <f t="shared" si="18"/>
        <v>16.988148148148149</v>
      </c>
      <c r="AM85">
        <f t="shared" si="19"/>
        <v>4.7177786222222222</v>
      </c>
      <c r="AP85" s="9"/>
      <c r="AQ85" s="21">
        <v>1.2722800000000001</v>
      </c>
      <c r="AR85" s="21">
        <v>23.519100000000002</v>
      </c>
      <c r="AS85" s="21">
        <v>-1.2796E-2</v>
      </c>
      <c r="AT85" s="21">
        <v>75</v>
      </c>
      <c r="AU85" s="21">
        <v>1.2716700000000001</v>
      </c>
      <c r="AV85">
        <f t="shared" si="20"/>
        <v>15.79753086419753</v>
      </c>
      <c r="AW85">
        <f t="shared" si="21"/>
        <v>20.098882567901235</v>
      </c>
      <c r="AX85" s="9"/>
      <c r="AY85" s="21">
        <v>0.27771000000000001</v>
      </c>
      <c r="AZ85" s="21">
        <v>27.036200000000001</v>
      </c>
      <c r="BA85" s="21">
        <v>-1.37024E-2</v>
      </c>
      <c r="BB85" s="21">
        <v>75</v>
      </c>
      <c r="BC85" s="21">
        <v>0.27716099999999999</v>
      </c>
      <c r="BD85">
        <f t="shared" si="22"/>
        <v>16.916543209876544</v>
      </c>
      <c r="BE85">
        <f t="shared" si="23"/>
        <v>4.6978932148148154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1.2672399999999999</v>
      </c>
      <c r="H86" s="21">
        <v>6.0117200000000004</v>
      </c>
      <c r="I86" s="21">
        <v>-1.27289E-2</v>
      </c>
      <c r="J86" s="21">
        <v>76</v>
      </c>
      <c r="K86" s="21">
        <v>1.2664800000000001</v>
      </c>
      <c r="L86">
        <f t="shared" si="12"/>
        <v>15.714691358024689</v>
      </c>
      <c r="M86">
        <f t="shared" si="13"/>
        <v>19.914285476543206</v>
      </c>
      <c r="N86" s="9"/>
      <c r="O86" s="21">
        <v>0.28274500000000002</v>
      </c>
      <c r="P86" s="21">
        <v>9.5287799999999994</v>
      </c>
      <c r="Q86" s="21">
        <v>-1.36597E-2</v>
      </c>
      <c r="R86" s="21">
        <v>76</v>
      </c>
      <c r="S86" s="21">
        <v>0.282196</v>
      </c>
      <c r="T86">
        <f t="shared" si="14"/>
        <v>16.863827160493827</v>
      </c>
      <c r="U86">
        <f t="shared" si="15"/>
        <v>4.7681628104938278</v>
      </c>
      <c r="X86" s="9"/>
      <c r="Y86" s="21">
        <v>1.2672399999999999</v>
      </c>
      <c r="Z86" s="21">
        <v>14.770899999999999</v>
      </c>
      <c r="AA86" s="21">
        <v>-1.2796E-2</v>
      </c>
      <c r="AB86" s="21">
        <v>76</v>
      </c>
      <c r="AC86" s="21">
        <v>1.26617</v>
      </c>
      <c r="AD86">
        <f t="shared" si="16"/>
        <v>15.79753086419753</v>
      </c>
      <c r="AE86">
        <f t="shared" si="17"/>
        <v>20.019263012345675</v>
      </c>
      <c r="AF86" s="9"/>
      <c r="AG86" s="21">
        <v>0.28274500000000002</v>
      </c>
      <c r="AH86" s="21">
        <v>18.288</v>
      </c>
      <c r="AI86" s="21">
        <v>-1.37573E-2</v>
      </c>
      <c r="AJ86" s="21">
        <v>76</v>
      </c>
      <c r="AK86" s="21">
        <v>0.28216599999999997</v>
      </c>
      <c r="AL86">
        <f t="shared" si="18"/>
        <v>16.984320987654321</v>
      </c>
      <c r="AM86">
        <f t="shared" si="19"/>
        <v>4.8022318376543218</v>
      </c>
      <c r="AP86" s="9"/>
      <c r="AQ86" s="21">
        <v>1.2672399999999999</v>
      </c>
      <c r="AR86" s="21">
        <v>23.5291</v>
      </c>
      <c r="AS86" s="21">
        <v>-1.2811299999999999E-2</v>
      </c>
      <c r="AT86" s="21">
        <v>76</v>
      </c>
      <c r="AU86" s="21">
        <v>1.26617</v>
      </c>
      <c r="AV86">
        <f t="shared" si="20"/>
        <v>15.816419753086418</v>
      </c>
      <c r="AW86">
        <f t="shared" si="21"/>
        <v>20.043199767901232</v>
      </c>
      <c r="AX86" s="9"/>
      <c r="AY86" s="21">
        <v>0.28274500000000002</v>
      </c>
      <c r="AZ86" s="21">
        <v>27.046299999999999</v>
      </c>
      <c r="BA86" s="21">
        <v>-1.3699299999999999E-2</v>
      </c>
      <c r="BB86" s="21">
        <v>76</v>
      </c>
      <c r="BC86" s="21">
        <v>0.28213500000000002</v>
      </c>
      <c r="BD86">
        <f t="shared" si="22"/>
        <v>16.912716049382716</v>
      </c>
      <c r="BE86">
        <f t="shared" si="23"/>
        <v>4.7819858993827165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1.2622100000000001</v>
      </c>
      <c r="H87" s="21">
        <v>6.0217900000000002</v>
      </c>
      <c r="I87" s="21">
        <v>-1.27411E-2</v>
      </c>
      <c r="J87" s="21">
        <v>77</v>
      </c>
      <c r="K87" s="21">
        <v>1.2609900000000001</v>
      </c>
      <c r="L87">
        <f t="shared" si="12"/>
        <v>15.729753086419752</v>
      </c>
      <c r="M87">
        <f t="shared" si="13"/>
        <v>19.854251643209874</v>
      </c>
      <c r="N87" s="9"/>
      <c r="O87" s="21">
        <v>0.28778100000000001</v>
      </c>
      <c r="P87" s="21">
        <v>9.5388500000000001</v>
      </c>
      <c r="Q87" s="21">
        <v>-1.36627E-2</v>
      </c>
      <c r="R87" s="21">
        <v>77</v>
      </c>
      <c r="S87" s="21">
        <v>0.28723100000000001</v>
      </c>
      <c r="T87">
        <f t="shared" si="14"/>
        <v>16.86753086419753</v>
      </c>
      <c r="U87">
        <f t="shared" si="15"/>
        <v>4.8541548996296298</v>
      </c>
      <c r="X87" s="9"/>
      <c r="Y87" s="21">
        <v>1.2622100000000001</v>
      </c>
      <c r="Z87" s="21">
        <v>14.781000000000001</v>
      </c>
      <c r="AA87" s="21">
        <v>-1.2820399999999999E-2</v>
      </c>
      <c r="AB87" s="21">
        <v>77</v>
      </c>
      <c r="AC87" s="21">
        <v>1.2609900000000001</v>
      </c>
      <c r="AD87">
        <f t="shared" si="16"/>
        <v>15.827654320987653</v>
      </c>
      <c r="AE87">
        <f t="shared" si="17"/>
        <v>19.977823560493828</v>
      </c>
      <c r="AF87" s="9"/>
      <c r="AG87" s="21">
        <v>0.28778100000000001</v>
      </c>
      <c r="AH87" s="21">
        <v>18.298100000000002</v>
      </c>
      <c r="AI87" s="21">
        <v>-1.3754300000000001E-2</v>
      </c>
      <c r="AJ87" s="21">
        <v>77</v>
      </c>
      <c r="AK87" s="21">
        <v>0.28716999999999998</v>
      </c>
      <c r="AL87">
        <f t="shared" si="18"/>
        <v>16.980617283950615</v>
      </c>
      <c r="AM87">
        <f t="shared" si="19"/>
        <v>4.8866990225925919</v>
      </c>
      <c r="AP87" s="9"/>
      <c r="AQ87" s="21">
        <v>1.2622100000000001</v>
      </c>
      <c r="AR87" s="21">
        <v>23.539200000000001</v>
      </c>
      <c r="AS87" s="21">
        <v>-1.28296E-2</v>
      </c>
      <c r="AT87" s="21">
        <v>77</v>
      </c>
      <c r="AU87" s="21">
        <v>1.2616000000000001</v>
      </c>
      <c r="AV87">
        <f t="shared" si="20"/>
        <v>15.839012345679013</v>
      </c>
      <c r="AW87">
        <f t="shared" si="21"/>
        <v>19.992159772839507</v>
      </c>
      <c r="AX87" s="9"/>
      <c r="AY87" s="21">
        <v>0.28778100000000001</v>
      </c>
      <c r="AZ87" s="21">
        <v>27.0564</v>
      </c>
      <c r="BA87" s="21">
        <v>-1.36963E-2</v>
      </c>
      <c r="BB87" s="21">
        <v>77</v>
      </c>
      <c r="BC87" s="21">
        <v>0.28726200000000002</v>
      </c>
      <c r="BD87">
        <f t="shared" si="22"/>
        <v>16.90901234567901</v>
      </c>
      <c r="BE87">
        <f t="shared" si="23"/>
        <v>4.8660924818518509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1.2571699999999999</v>
      </c>
      <c r="H88" s="21">
        <v>6.03186</v>
      </c>
      <c r="I88" s="21">
        <v>-1.27625E-2</v>
      </c>
      <c r="J88" s="21">
        <v>78</v>
      </c>
      <c r="K88" s="21">
        <v>1.25702</v>
      </c>
      <c r="L88">
        <f t="shared" si="12"/>
        <v>15.756172839506172</v>
      </c>
      <c r="M88">
        <f t="shared" si="13"/>
        <v>19.808187808641975</v>
      </c>
      <c r="N88" s="9"/>
      <c r="O88" s="21">
        <v>0.29281600000000002</v>
      </c>
      <c r="P88" s="21">
        <v>9.5489200000000007</v>
      </c>
      <c r="Q88" s="21">
        <v>-1.3671900000000001E-2</v>
      </c>
      <c r="R88" s="21">
        <v>78</v>
      </c>
      <c r="S88" s="21">
        <v>0.292267</v>
      </c>
      <c r="T88">
        <f t="shared" si="14"/>
        <v>16.878888888888888</v>
      </c>
      <c r="U88">
        <f t="shared" si="15"/>
        <v>4.9424087288888892</v>
      </c>
      <c r="X88" s="9"/>
      <c r="Y88" s="21">
        <v>1.2571699999999999</v>
      </c>
      <c r="Z88" s="21">
        <v>14.7911</v>
      </c>
      <c r="AA88" s="21">
        <v>-1.28387E-2</v>
      </c>
      <c r="AB88" s="21">
        <v>78</v>
      </c>
      <c r="AC88" s="21">
        <v>1.25671</v>
      </c>
      <c r="AD88">
        <f t="shared" si="16"/>
        <v>15.850246913580245</v>
      </c>
      <c r="AE88">
        <f t="shared" si="17"/>
        <v>19.926454912345676</v>
      </c>
      <c r="AF88" s="9"/>
      <c r="AG88" s="21">
        <v>0.29281600000000002</v>
      </c>
      <c r="AH88" s="21">
        <v>18.3081</v>
      </c>
      <c r="AI88" s="21">
        <v>-1.37482E-2</v>
      </c>
      <c r="AJ88" s="21">
        <v>78</v>
      </c>
      <c r="AK88" s="21">
        <v>0.292267</v>
      </c>
      <c r="AL88">
        <f t="shared" si="18"/>
        <v>16.973086419753084</v>
      </c>
      <c r="AM88">
        <f t="shared" si="19"/>
        <v>4.9699912730864195</v>
      </c>
      <c r="AP88" s="9"/>
      <c r="AQ88" s="21">
        <v>1.2571699999999999</v>
      </c>
      <c r="AR88" s="21">
        <v>23.549299999999999</v>
      </c>
      <c r="AS88" s="21">
        <v>-1.28357E-2</v>
      </c>
      <c r="AT88" s="21">
        <v>78</v>
      </c>
      <c r="AU88" s="21">
        <v>1.25641</v>
      </c>
      <c r="AV88">
        <f t="shared" si="20"/>
        <v>15.846543209876542</v>
      </c>
      <c r="AW88">
        <f t="shared" si="21"/>
        <v>19.921798727160489</v>
      </c>
      <c r="AX88" s="9"/>
      <c r="AY88" s="21">
        <v>0.29281600000000002</v>
      </c>
      <c r="AZ88" s="21">
        <v>27.066400000000002</v>
      </c>
      <c r="BA88" s="21">
        <v>-1.36902E-2</v>
      </c>
      <c r="BB88" s="21">
        <v>78</v>
      </c>
      <c r="BC88" s="21">
        <v>0.29220600000000002</v>
      </c>
      <c r="BD88">
        <f t="shared" si="22"/>
        <v>16.901481481481479</v>
      </c>
      <c r="BE88">
        <f t="shared" si="23"/>
        <v>4.9490242014814809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1.25214</v>
      </c>
      <c r="H89" s="21">
        <v>6.0419299999999998</v>
      </c>
      <c r="I89" s="21">
        <v>-1.27838E-2</v>
      </c>
      <c r="J89" s="21">
        <v>79</v>
      </c>
      <c r="K89" s="21">
        <v>1.25092</v>
      </c>
      <c r="L89">
        <f t="shared" si="12"/>
        <v>15.782469135802467</v>
      </c>
      <c r="M89">
        <f t="shared" si="13"/>
        <v>19.761860903703703</v>
      </c>
      <c r="N89" s="9"/>
      <c r="O89" s="21">
        <v>0.29785200000000001</v>
      </c>
      <c r="P89" s="21">
        <v>9.5589899999999997</v>
      </c>
      <c r="Q89" s="21">
        <v>-1.3677999999999999E-2</v>
      </c>
      <c r="R89" s="21">
        <v>79</v>
      </c>
      <c r="S89" s="21">
        <v>0.29727199999999998</v>
      </c>
      <c r="T89">
        <f t="shared" si="14"/>
        <v>16.886419753086418</v>
      </c>
      <c r="U89">
        <f t="shared" si="15"/>
        <v>5.0296538962962956</v>
      </c>
      <c r="X89" s="9"/>
      <c r="Y89" s="21">
        <v>1.25214</v>
      </c>
      <c r="Z89" s="21">
        <v>14.8011</v>
      </c>
      <c r="AA89" s="21">
        <v>-1.2851E-2</v>
      </c>
      <c r="AB89" s="21">
        <v>79</v>
      </c>
      <c r="AC89" s="21">
        <v>1.25153</v>
      </c>
      <c r="AD89">
        <f t="shared" si="16"/>
        <v>15.865432098765432</v>
      </c>
      <c r="AE89">
        <f t="shared" si="17"/>
        <v>19.865742148148147</v>
      </c>
      <c r="AF89" s="9"/>
      <c r="AG89" s="21">
        <v>0.29785200000000001</v>
      </c>
      <c r="AH89" s="21">
        <v>18.318200000000001</v>
      </c>
      <c r="AI89" s="21">
        <v>-1.37421E-2</v>
      </c>
      <c r="AJ89" s="21">
        <v>79</v>
      </c>
      <c r="AK89" s="21">
        <v>0.297211</v>
      </c>
      <c r="AL89">
        <f t="shared" si="18"/>
        <v>16.965555555555554</v>
      </c>
      <c r="AM89">
        <f t="shared" si="19"/>
        <v>5.0532246533333325</v>
      </c>
      <c r="AP89" s="9"/>
      <c r="AQ89" s="21">
        <v>1.25214</v>
      </c>
      <c r="AR89" s="21">
        <v>23.5594</v>
      </c>
      <c r="AS89" s="21">
        <v>-1.28418E-2</v>
      </c>
      <c r="AT89" s="21">
        <v>79</v>
      </c>
      <c r="AU89" s="21">
        <v>1.25153</v>
      </c>
      <c r="AV89">
        <f t="shared" si="20"/>
        <v>15.854074074074072</v>
      </c>
      <c r="AW89">
        <f t="shared" si="21"/>
        <v>19.851520311111109</v>
      </c>
      <c r="AX89" s="9"/>
      <c r="AY89" s="21">
        <v>0.29785200000000001</v>
      </c>
      <c r="AZ89" s="21">
        <v>27.076499999999999</v>
      </c>
      <c r="BA89" s="21">
        <v>-1.37024E-2</v>
      </c>
      <c r="BB89" s="21">
        <v>79</v>
      </c>
      <c r="BC89" s="21">
        <v>0.29736299999999999</v>
      </c>
      <c r="BD89">
        <f t="shared" si="22"/>
        <v>16.916543209876544</v>
      </c>
      <c r="BE89">
        <f t="shared" si="23"/>
        <v>5.0386262281481482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1.2471000000000001</v>
      </c>
      <c r="H90" s="21">
        <v>6.0519999999999996</v>
      </c>
      <c r="I90" s="21">
        <v>-1.2796E-2</v>
      </c>
      <c r="J90" s="21">
        <v>80</v>
      </c>
      <c r="K90" s="21">
        <v>1.24664</v>
      </c>
      <c r="L90">
        <f t="shared" si="12"/>
        <v>15.79753086419753</v>
      </c>
      <c r="M90">
        <f t="shared" si="13"/>
        <v>19.701100740740742</v>
      </c>
      <c r="N90" s="9"/>
      <c r="O90" s="21">
        <v>0.30288700000000002</v>
      </c>
      <c r="P90" s="21">
        <v>9.5690600000000003</v>
      </c>
      <c r="Q90" s="21">
        <v>-1.3671900000000001E-2</v>
      </c>
      <c r="R90" s="21">
        <v>80</v>
      </c>
      <c r="S90" s="21">
        <v>0.30227700000000002</v>
      </c>
      <c r="T90">
        <f t="shared" si="14"/>
        <v>16.878888888888888</v>
      </c>
      <c r="U90">
        <f t="shared" si="15"/>
        <v>5.1123960188888891</v>
      </c>
      <c r="X90" s="9"/>
      <c r="Y90" s="21">
        <v>1.2471000000000001</v>
      </c>
      <c r="Z90" s="21">
        <v>14.811199999999999</v>
      </c>
      <c r="AA90" s="21">
        <v>-1.2854000000000001E-2</v>
      </c>
      <c r="AB90" s="21">
        <v>80</v>
      </c>
      <c r="AC90" s="21">
        <v>1.24664</v>
      </c>
      <c r="AD90">
        <f t="shared" si="16"/>
        <v>15.869135802469136</v>
      </c>
      <c r="AE90">
        <f t="shared" si="17"/>
        <v>19.79039925925926</v>
      </c>
      <c r="AF90" s="9"/>
      <c r="AG90" s="21">
        <v>0.30288700000000002</v>
      </c>
      <c r="AH90" s="21">
        <v>18.328299999999999</v>
      </c>
      <c r="AI90" s="21">
        <v>-1.3736E-2</v>
      </c>
      <c r="AJ90" s="21">
        <v>80</v>
      </c>
      <c r="AK90" s="21">
        <v>0.30224600000000001</v>
      </c>
      <c r="AL90">
        <f t="shared" si="18"/>
        <v>16.958024691358023</v>
      </c>
      <c r="AM90">
        <f t="shared" si="19"/>
        <v>5.1363652246913576</v>
      </c>
      <c r="AP90" s="9"/>
      <c r="AQ90" s="21">
        <v>1.2471000000000001</v>
      </c>
      <c r="AR90" s="21">
        <v>23.569400000000002</v>
      </c>
      <c r="AS90" s="21">
        <v>-1.2854000000000001E-2</v>
      </c>
      <c r="AT90" s="21">
        <v>80</v>
      </c>
      <c r="AU90" s="21">
        <v>1.24664</v>
      </c>
      <c r="AV90">
        <f t="shared" si="20"/>
        <v>15.869135802469136</v>
      </c>
      <c r="AW90">
        <f t="shared" si="21"/>
        <v>19.79039925925926</v>
      </c>
      <c r="AX90" s="9"/>
      <c r="AY90" s="21">
        <v>0.30288700000000002</v>
      </c>
      <c r="AZ90" s="21">
        <v>27.086600000000001</v>
      </c>
      <c r="BA90" s="21">
        <v>-1.37146E-2</v>
      </c>
      <c r="BB90" s="21">
        <v>80</v>
      </c>
      <c r="BC90" s="21">
        <v>0.30227700000000002</v>
      </c>
      <c r="BD90">
        <f t="shared" si="22"/>
        <v>16.931604938271605</v>
      </c>
      <c r="BE90">
        <f t="shared" si="23"/>
        <v>5.1283630249382721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1.24207</v>
      </c>
      <c r="H91" s="21">
        <v>6.0620700000000003</v>
      </c>
      <c r="I91" s="21">
        <v>-1.28021E-2</v>
      </c>
      <c r="J91" s="21">
        <v>81</v>
      </c>
      <c r="K91" s="21">
        <v>1.2408399999999999</v>
      </c>
      <c r="L91">
        <f t="shared" si="12"/>
        <v>15.805061728395062</v>
      </c>
      <c r="M91">
        <f t="shared" si="13"/>
        <v>19.630993020987656</v>
      </c>
      <c r="N91" s="9"/>
      <c r="O91" s="21">
        <v>0.30792199999999997</v>
      </c>
      <c r="P91" s="21">
        <v>9.5791299999999993</v>
      </c>
      <c r="Q91" s="21">
        <v>-1.3671900000000001E-2</v>
      </c>
      <c r="R91" s="21">
        <v>81</v>
      </c>
      <c r="S91" s="21">
        <v>0.30728100000000003</v>
      </c>
      <c r="T91">
        <f t="shared" si="14"/>
        <v>16.878888888888888</v>
      </c>
      <c r="U91">
        <f t="shared" si="15"/>
        <v>5.1973812244444435</v>
      </c>
      <c r="X91" s="9"/>
      <c r="Y91" s="21">
        <v>1.24207</v>
      </c>
      <c r="Z91" s="21">
        <v>14.821300000000001</v>
      </c>
      <c r="AA91" s="21">
        <v>-1.2860099999999999E-2</v>
      </c>
      <c r="AB91" s="21">
        <v>81</v>
      </c>
      <c r="AC91" s="21">
        <v>1.24115</v>
      </c>
      <c r="AD91">
        <f t="shared" si="16"/>
        <v>15.876666666666663</v>
      </c>
      <c r="AE91">
        <f t="shared" si="17"/>
        <v>19.719931366666664</v>
      </c>
      <c r="AF91" s="9"/>
      <c r="AG91" s="21">
        <v>0.30792199999999997</v>
      </c>
      <c r="AH91" s="21">
        <v>18.3383</v>
      </c>
      <c r="AI91" s="21">
        <v>-1.37299E-2</v>
      </c>
      <c r="AJ91" s="21">
        <v>81</v>
      </c>
      <c r="AK91" s="21">
        <v>0.30743399999999999</v>
      </c>
      <c r="AL91">
        <f t="shared" si="18"/>
        <v>16.950493827160493</v>
      </c>
      <c r="AM91">
        <f t="shared" si="19"/>
        <v>5.219429960246913</v>
      </c>
      <c r="AP91" s="9"/>
      <c r="AQ91" s="21">
        <v>1.24207</v>
      </c>
      <c r="AR91" s="21">
        <v>23.579499999999999</v>
      </c>
      <c r="AS91" s="21">
        <v>-1.28723E-2</v>
      </c>
      <c r="AT91" s="21">
        <v>81</v>
      </c>
      <c r="AU91" s="21">
        <v>1.2408399999999999</v>
      </c>
      <c r="AV91">
        <f t="shared" si="20"/>
        <v>15.891728395061728</v>
      </c>
      <c r="AW91">
        <f t="shared" si="21"/>
        <v>19.73863908765432</v>
      </c>
      <c r="AX91" s="9"/>
      <c r="AY91" s="21">
        <v>0.30792199999999997</v>
      </c>
      <c r="AZ91" s="21">
        <v>27.096599999999999</v>
      </c>
      <c r="BA91" s="21">
        <v>-1.37238E-2</v>
      </c>
      <c r="BB91" s="21">
        <v>81</v>
      </c>
      <c r="BC91" s="21">
        <v>0.30728100000000003</v>
      </c>
      <c r="BD91">
        <f t="shared" si="22"/>
        <v>16.942962962962962</v>
      </c>
      <c r="BE91">
        <f t="shared" si="23"/>
        <v>5.2171110414814805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1.2370300000000001</v>
      </c>
      <c r="H92" s="21">
        <v>6.0721499999999997</v>
      </c>
      <c r="I92" s="21">
        <v>-1.2814300000000001E-2</v>
      </c>
      <c r="J92" s="21">
        <v>82</v>
      </c>
      <c r="K92" s="21">
        <v>1.2365699999999999</v>
      </c>
      <c r="L92">
        <f t="shared" si="12"/>
        <v>15.820123456790125</v>
      </c>
      <c r="M92">
        <f t="shared" si="13"/>
        <v>19.56996731975309</v>
      </c>
      <c r="N92" s="9"/>
      <c r="O92" s="21">
        <v>0.31295800000000001</v>
      </c>
      <c r="P92" s="21">
        <v>9.5891999999999999</v>
      </c>
      <c r="Q92" s="21">
        <v>-1.3677999999999999E-2</v>
      </c>
      <c r="R92" s="21">
        <v>82</v>
      </c>
      <c r="S92" s="21">
        <v>0.31256099999999998</v>
      </c>
      <c r="T92">
        <f t="shared" si="14"/>
        <v>16.886419753086418</v>
      </c>
      <c r="U92">
        <f t="shared" si="15"/>
        <v>5.2847401530864193</v>
      </c>
      <c r="X92" s="9"/>
      <c r="Y92" s="21">
        <v>1.2370300000000001</v>
      </c>
      <c r="Z92" s="21">
        <v>14.8314</v>
      </c>
      <c r="AA92" s="21">
        <v>-1.28571E-2</v>
      </c>
      <c r="AB92" s="21">
        <v>82</v>
      </c>
      <c r="AC92" s="21">
        <v>1.2359599999999999</v>
      </c>
      <c r="AD92">
        <f t="shared" si="16"/>
        <v>15.87296296296296</v>
      </c>
      <c r="AE92">
        <f t="shared" si="17"/>
        <v>19.63533137407407</v>
      </c>
      <c r="AF92" s="9"/>
      <c r="AG92" s="21">
        <v>0.31295800000000001</v>
      </c>
      <c r="AH92" s="21">
        <v>18.348400000000002</v>
      </c>
      <c r="AI92" s="21">
        <v>-1.37238E-2</v>
      </c>
      <c r="AJ92" s="21">
        <v>82</v>
      </c>
      <c r="AK92" s="21">
        <v>0.31243900000000002</v>
      </c>
      <c r="AL92">
        <f t="shared" si="18"/>
        <v>16.942962962962962</v>
      </c>
      <c r="AM92">
        <f t="shared" si="19"/>
        <v>5.3024358029629628</v>
      </c>
      <c r="AP92" s="9"/>
      <c r="AQ92" s="21">
        <v>1.2370300000000001</v>
      </c>
      <c r="AR92" s="21">
        <v>23.589600000000001</v>
      </c>
      <c r="AS92" s="21">
        <v>-1.28906E-2</v>
      </c>
      <c r="AT92" s="21">
        <v>82</v>
      </c>
      <c r="AU92" s="21">
        <v>1.2365699999999999</v>
      </c>
      <c r="AV92">
        <f t="shared" si="20"/>
        <v>15.914320987654323</v>
      </c>
      <c r="AW92">
        <f t="shared" si="21"/>
        <v>19.686492491358027</v>
      </c>
      <c r="AX92" s="9"/>
      <c r="AY92" s="21">
        <v>0.31295800000000001</v>
      </c>
      <c r="AZ92" s="21">
        <v>27.1067</v>
      </c>
      <c r="BA92" s="21">
        <v>-1.37299E-2</v>
      </c>
      <c r="BB92" s="21">
        <v>82</v>
      </c>
      <c r="BC92" s="21">
        <v>0.31234699999999999</v>
      </c>
      <c r="BD92">
        <f t="shared" si="22"/>
        <v>16.950493827160493</v>
      </c>
      <c r="BE92">
        <f t="shared" si="23"/>
        <v>5.304792647160494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1.2319899999999999</v>
      </c>
      <c r="H93" s="21">
        <v>6.0822200000000004</v>
      </c>
      <c r="I93" s="21">
        <v>-1.28082E-2</v>
      </c>
      <c r="J93" s="21">
        <v>83</v>
      </c>
      <c r="K93" s="21">
        <v>1.23108</v>
      </c>
      <c r="L93">
        <f t="shared" si="12"/>
        <v>15.812592592592594</v>
      </c>
      <c r="M93">
        <f t="shared" si="13"/>
        <v>19.48095594814815</v>
      </c>
      <c r="N93" s="9"/>
      <c r="O93" s="21">
        <v>0.31799300000000003</v>
      </c>
      <c r="P93" s="21">
        <v>9.5992700000000006</v>
      </c>
      <c r="Q93" s="21">
        <v>-1.36749E-2</v>
      </c>
      <c r="R93" s="21">
        <v>83</v>
      </c>
      <c r="S93" s="21">
        <v>0.31738300000000003</v>
      </c>
      <c r="T93">
        <f t="shared" si="14"/>
        <v>16.882592592592591</v>
      </c>
      <c r="U93">
        <f t="shared" si="15"/>
        <v>5.3685462662962964</v>
      </c>
      <c r="X93" s="9"/>
      <c r="Y93" s="21">
        <v>1.2319899999999999</v>
      </c>
      <c r="Z93" s="21">
        <v>14.8414</v>
      </c>
      <c r="AA93" s="21">
        <v>-1.28723E-2</v>
      </c>
      <c r="AB93" s="21">
        <v>83</v>
      </c>
      <c r="AC93" s="21">
        <v>1.2307699999999999</v>
      </c>
      <c r="AD93">
        <f t="shared" si="16"/>
        <v>15.891728395061728</v>
      </c>
      <c r="AE93">
        <f t="shared" si="17"/>
        <v>19.578450465432098</v>
      </c>
      <c r="AF93" s="9"/>
      <c r="AG93" s="21">
        <v>0.31799300000000003</v>
      </c>
      <c r="AH93" s="21">
        <v>18.358499999999999</v>
      </c>
      <c r="AI93" s="21">
        <v>-1.37054E-2</v>
      </c>
      <c r="AJ93" s="21">
        <v>83</v>
      </c>
      <c r="AK93" s="21">
        <v>0.317413</v>
      </c>
      <c r="AL93">
        <f t="shared" si="18"/>
        <v>16.920246913580247</v>
      </c>
      <c r="AM93">
        <f t="shared" si="19"/>
        <v>5.3805200767901242</v>
      </c>
      <c r="AP93" s="9"/>
      <c r="AQ93" s="21">
        <v>1.2319899999999999</v>
      </c>
      <c r="AR93" s="21">
        <v>23.599599999999999</v>
      </c>
      <c r="AS93" s="21">
        <v>-1.2902800000000001E-2</v>
      </c>
      <c r="AT93" s="21">
        <v>83</v>
      </c>
      <c r="AU93" s="21">
        <v>1.23108</v>
      </c>
      <c r="AV93">
        <f t="shared" si="20"/>
        <v>15.929382716049382</v>
      </c>
      <c r="AW93">
        <f t="shared" si="21"/>
        <v>19.624840212345678</v>
      </c>
      <c r="AX93" s="9"/>
      <c r="AY93" s="21">
        <v>0.31799300000000003</v>
      </c>
      <c r="AZ93" s="21">
        <v>27.116800000000001</v>
      </c>
      <c r="BA93" s="21">
        <v>-1.37238E-2</v>
      </c>
      <c r="BB93" s="21">
        <v>83</v>
      </c>
      <c r="BC93" s="21">
        <v>0.317413</v>
      </c>
      <c r="BD93">
        <f t="shared" si="22"/>
        <v>16.942962962962962</v>
      </c>
      <c r="BE93">
        <f t="shared" si="23"/>
        <v>5.3877436214814818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1.2269600000000001</v>
      </c>
      <c r="H94" s="21">
        <v>6.0922900000000002</v>
      </c>
      <c r="I94" s="21">
        <v>-1.28235E-2</v>
      </c>
      <c r="J94" s="21">
        <v>84</v>
      </c>
      <c r="K94" s="21">
        <v>1.22559</v>
      </c>
      <c r="L94">
        <f t="shared" si="12"/>
        <v>15.831481481481481</v>
      </c>
      <c r="M94">
        <f t="shared" si="13"/>
        <v>19.424594518518518</v>
      </c>
      <c r="N94" s="9"/>
      <c r="O94" s="21">
        <v>0.32302900000000001</v>
      </c>
      <c r="P94" s="21">
        <v>9.6093499999999992</v>
      </c>
      <c r="Q94" s="21">
        <v>-1.36688E-2</v>
      </c>
      <c r="R94" s="21">
        <v>84</v>
      </c>
      <c r="S94" s="21">
        <v>0.32238800000000001</v>
      </c>
      <c r="T94">
        <f t="shared" si="14"/>
        <v>16.87506172839506</v>
      </c>
      <c r="U94">
        <f t="shared" si="15"/>
        <v>5.4511343150617284</v>
      </c>
      <c r="X94" s="9"/>
      <c r="Y94" s="21">
        <v>1.2269600000000001</v>
      </c>
      <c r="Z94" s="21">
        <v>14.8515</v>
      </c>
      <c r="AA94" s="21">
        <v>-1.2887600000000001E-2</v>
      </c>
      <c r="AB94" s="21">
        <v>84</v>
      </c>
      <c r="AC94" s="21">
        <v>1.2258899999999999</v>
      </c>
      <c r="AD94">
        <f t="shared" si="16"/>
        <v>15.910617283950618</v>
      </c>
      <c r="AE94">
        <f t="shared" si="17"/>
        <v>19.521690982716052</v>
      </c>
      <c r="AF94" s="9"/>
      <c r="AG94" s="21">
        <v>0.32302900000000001</v>
      </c>
      <c r="AH94" s="21">
        <v>18.368600000000001</v>
      </c>
      <c r="AI94" s="21">
        <v>-1.37024E-2</v>
      </c>
      <c r="AJ94" s="21">
        <v>84</v>
      </c>
      <c r="AK94" s="21">
        <v>0.32241799999999998</v>
      </c>
      <c r="AL94">
        <f t="shared" si="18"/>
        <v>16.916543209876544</v>
      </c>
      <c r="AM94">
        <f t="shared" si="19"/>
        <v>5.4645340365432098</v>
      </c>
      <c r="AP94" s="9"/>
      <c r="AQ94" s="21">
        <v>1.2269600000000001</v>
      </c>
      <c r="AR94" s="21">
        <v>23.6097</v>
      </c>
      <c r="AS94" s="21">
        <v>-1.29181E-2</v>
      </c>
      <c r="AT94" s="21">
        <v>84</v>
      </c>
      <c r="AU94" s="21">
        <v>1.2258899999999999</v>
      </c>
      <c r="AV94">
        <f t="shared" si="20"/>
        <v>15.94827160493827</v>
      </c>
      <c r="AW94">
        <f t="shared" si="21"/>
        <v>19.56789132839506</v>
      </c>
      <c r="AX94" s="9"/>
      <c r="AY94" s="21">
        <v>0.32302900000000001</v>
      </c>
      <c r="AZ94" s="21">
        <v>27.126799999999999</v>
      </c>
      <c r="BA94" s="21">
        <v>-1.37146E-2</v>
      </c>
      <c r="BB94" s="21">
        <v>84</v>
      </c>
      <c r="BC94" s="21">
        <v>0.32241799999999998</v>
      </c>
      <c r="BD94">
        <f t="shared" si="22"/>
        <v>16.931604938271605</v>
      </c>
      <c r="BE94">
        <f t="shared" si="23"/>
        <v>5.4693994116049387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1.2219199999999999</v>
      </c>
      <c r="H95" s="21">
        <v>6.10236</v>
      </c>
      <c r="I95" s="21">
        <v>-1.28326E-2</v>
      </c>
      <c r="J95" s="21">
        <v>85</v>
      </c>
      <c r="K95" s="21">
        <v>1.2206999999999999</v>
      </c>
      <c r="L95">
        <f t="shared" si="12"/>
        <v>15.842716049382712</v>
      </c>
      <c r="M95">
        <f t="shared" si="13"/>
        <v>19.358531595061724</v>
      </c>
      <c r="N95" s="9"/>
      <c r="O95" s="21">
        <v>0.32806400000000002</v>
      </c>
      <c r="P95" s="21">
        <v>9.6194199999999999</v>
      </c>
      <c r="Q95" s="21">
        <v>-1.3665800000000001E-2</v>
      </c>
      <c r="R95" s="21">
        <v>85</v>
      </c>
      <c r="S95" s="21">
        <v>0.327484</v>
      </c>
      <c r="T95">
        <f t="shared" si="14"/>
        <v>16.871358024691357</v>
      </c>
      <c r="U95">
        <f t="shared" si="15"/>
        <v>5.5348851990123462</v>
      </c>
      <c r="X95" s="9"/>
      <c r="Y95" s="21">
        <v>1.2219199999999999</v>
      </c>
      <c r="Z95" s="21">
        <v>14.861599999999999</v>
      </c>
      <c r="AA95" s="21">
        <v>-1.2902800000000001E-2</v>
      </c>
      <c r="AB95" s="21">
        <v>85</v>
      </c>
      <c r="AC95" s="21">
        <v>1.2206999999999999</v>
      </c>
      <c r="AD95">
        <f t="shared" si="16"/>
        <v>15.929382716049382</v>
      </c>
      <c r="AE95">
        <f t="shared" si="17"/>
        <v>19.464431328395058</v>
      </c>
      <c r="AF95" s="9"/>
      <c r="AG95" s="21">
        <v>0.32806400000000002</v>
      </c>
      <c r="AH95" s="21">
        <v>18.378599999999999</v>
      </c>
      <c r="AI95" s="21">
        <v>-1.37115E-2</v>
      </c>
      <c r="AJ95" s="21">
        <v>85</v>
      </c>
      <c r="AK95" s="21">
        <v>0.327484</v>
      </c>
      <c r="AL95">
        <f t="shared" si="18"/>
        <v>16.927777777777777</v>
      </c>
      <c r="AM95">
        <f t="shared" si="19"/>
        <v>5.5533944888888893</v>
      </c>
      <c r="AP95" s="9"/>
      <c r="AQ95" s="21">
        <v>1.2219199999999999</v>
      </c>
      <c r="AR95" s="21">
        <v>23.619800000000001</v>
      </c>
      <c r="AS95" s="21">
        <v>-1.29303E-2</v>
      </c>
      <c r="AT95" s="21">
        <v>85</v>
      </c>
      <c r="AU95" s="21">
        <v>1.2206999999999999</v>
      </c>
      <c r="AV95">
        <f t="shared" si="20"/>
        <v>15.963333333333333</v>
      </c>
      <c r="AW95">
        <f t="shared" si="21"/>
        <v>19.505916266666663</v>
      </c>
      <c r="AX95" s="9"/>
      <c r="AY95" s="21">
        <v>0.32806400000000002</v>
      </c>
      <c r="AZ95" s="21">
        <v>27.136900000000001</v>
      </c>
      <c r="BA95" s="21">
        <v>-1.36963E-2</v>
      </c>
      <c r="BB95" s="21">
        <v>85</v>
      </c>
      <c r="BC95" s="21">
        <v>0.32730100000000001</v>
      </c>
      <c r="BD95">
        <f t="shared" si="22"/>
        <v>16.90901234567901</v>
      </c>
      <c r="BE95">
        <f t="shared" si="23"/>
        <v>5.5472382261728388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1.21689</v>
      </c>
      <c r="H96" s="21">
        <v>6.1124299999999998</v>
      </c>
      <c r="I96" s="21">
        <v>-1.28448E-2</v>
      </c>
      <c r="J96" s="21">
        <v>86</v>
      </c>
      <c r="K96" s="21">
        <v>1.2161299999999999</v>
      </c>
      <c r="L96">
        <f t="shared" si="12"/>
        <v>15.857777777777777</v>
      </c>
      <c r="M96">
        <f t="shared" si="13"/>
        <v>19.297171200000001</v>
      </c>
      <c r="N96" s="9"/>
      <c r="O96" s="21">
        <v>0.33309899999999998</v>
      </c>
      <c r="P96" s="21">
        <v>9.6294900000000005</v>
      </c>
      <c r="Q96" s="21">
        <v>-1.36566E-2</v>
      </c>
      <c r="R96" s="21">
        <v>86</v>
      </c>
      <c r="S96" s="21">
        <v>0.33245799999999998</v>
      </c>
      <c r="T96">
        <f t="shared" si="14"/>
        <v>16.86</v>
      </c>
      <c r="U96">
        <f t="shared" si="15"/>
        <v>5.6160491399999994</v>
      </c>
      <c r="X96" s="9"/>
      <c r="Y96" s="21">
        <v>1.21689</v>
      </c>
      <c r="Z96" s="21">
        <v>14.871600000000001</v>
      </c>
      <c r="AA96" s="21">
        <v>-1.29181E-2</v>
      </c>
      <c r="AB96" s="21">
        <v>86</v>
      </c>
      <c r="AC96" s="21">
        <v>1.2161299999999999</v>
      </c>
      <c r="AD96">
        <f t="shared" si="16"/>
        <v>15.94827160493827</v>
      </c>
      <c r="AE96">
        <f t="shared" si="17"/>
        <v>19.407292233333333</v>
      </c>
      <c r="AF96" s="9"/>
      <c r="AG96" s="21">
        <v>0.33309899999999998</v>
      </c>
      <c r="AH96" s="21">
        <v>18.3887</v>
      </c>
      <c r="AI96" s="21">
        <v>-1.37146E-2</v>
      </c>
      <c r="AJ96" s="21">
        <v>86</v>
      </c>
      <c r="AK96" s="21">
        <v>0.332428</v>
      </c>
      <c r="AL96">
        <f t="shared" si="18"/>
        <v>16.931604938271605</v>
      </c>
      <c r="AM96">
        <f t="shared" si="19"/>
        <v>5.639900673333333</v>
      </c>
      <c r="AP96" s="9"/>
      <c r="AQ96" s="21">
        <v>1.21689</v>
      </c>
      <c r="AR96" s="21">
        <v>23.629899999999999</v>
      </c>
      <c r="AS96" s="21">
        <v>-1.29395E-2</v>
      </c>
      <c r="AT96" s="21">
        <v>86</v>
      </c>
      <c r="AU96" s="21">
        <v>1.2158199999999999</v>
      </c>
      <c r="AV96">
        <f t="shared" si="20"/>
        <v>15.974691358024689</v>
      </c>
      <c r="AW96">
        <f t="shared" si="21"/>
        <v>19.439442166666666</v>
      </c>
      <c r="AX96" s="9"/>
      <c r="AY96" s="21">
        <v>0.33309899999999998</v>
      </c>
      <c r="AZ96" s="21">
        <v>27.146999999999998</v>
      </c>
      <c r="BA96" s="21">
        <v>-1.36902E-2</v>
      </c>
      <c r="BB96" s="21">
        <v>86</v>
      </c>
      <c r="BC96" s="21">
        <v>0.33251999999999998</v>
      </c>
      <c r="BD96">
        <f t="shared" si="22"/>
        <v>16.901481481481479</v>
      </c>
      <c r="BE96">
        <f t="shared" si="23"/>
        <v>5.629866579999999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1.2118500000000001</v>
      </c>
      <c r="H97" s="21">
        <v>6.1224999999999996</v>
      </c>
      <c r="I97" s="21">
        <v>-1.28632E-2</v>
      </c>
      <c r="J97" s="21">
        <v>87</v>
      </c>
      <c r="K97" s="21">
        <v>1.2109399999999999</v>
      </c>
      <c r="L97">
        <f t="shared" si="12"/>
        <v>15.880493827160493</v>
      </c>
      <c r="M97">
        <f t="shared" si="13"/>
        <v>19.244776444444444</v>
      </c>
      <c r="N97" s="9"/>
      <c r="O97" s="21">
        <v>0.33813500000000002</v>
      </c>
      <c r="P97" s="21">
        <v>9.6395599999999995</v>
      </c>
      <c r="Q97" s="21">
        <v>-1.36475E-2</v>
      </c>
      <c r="R97" s="21">
        <v>87</v>
      </c>
      <c r="S97" s="21">
        <v>0.33755499999999999</v>
      </c>
      <c r="T97">
        <f t="shared" si="14"/>
        <v>16.848765432098766</v>
      </c>
      <c r="U97">
        <f t="shared" si="15"/>
        <v>5.6971572993827166</v>
      </c>
      <c r="X97" s="9"/>
      <c r="Y97" s="21">
        <v>1.2118500000000001</v>
      </c>
      <c r="Z97" s="21">
        <v>14.8817</v>
      </c>
      <c r="AA97" s="21">
        <v>-1.29303E-2</v>
      </c>
      <c r="AB97" s="21">
        <v>87</v>
      </c>
      <c r="AC97" s="21">
        <v>1.2103299999999999</v>
      </c>
      <c r="AD97">
        <f t="shared" si="16"/>
        <v>15.963333333333333</v>
      </c>
      <c r="AE97">
        <f t="shared" si="17"/>
        <v>19.3451655</v>
      </c>
      <c r="AF97" s="9"/>
      <c r="AG97" s="21">
        <v>0.33813500000000002</v>
      </c>
      <c r="AH97" s="21">
        <v>18.398800000000001</v>
      </c>
      <c r="AI97" s="21">
        <v>-1.37146E-2</v>
      </c>
      <c r="AJ97" s="21">
        <v>87</v>
      </c>
      <c r="AK97" s="21">
        <v>0.33758500000000002</v>
      </c>
      <c r="AL97">
        <f t="shared" si="18"/>
        <v>16.931604938271605</v>
      </c>
      <c r="AM97">
        <f t="shared" si="19"/>
        <v>5.7251682358024691</v>
      </c>
      <c r="AP97" s="9"/>
      <c r="AQ97" s="21">
        <v>1.2118500000000001</v>
      </c>
      <c r="AR97" s="21">
        <v>23.639900000000001</v>
      </c>
      <c r="AS97" s="21">
        <v>-1.29395E-2</v>
      </c>
      <c r="AT97" s="21">
        <v>87</v>
      </c>
      <c r="AU97" s="21">
        <v>1.2100200000000001</v>
      </c>
      <c r="AV97">
        <f t="shared" si="20"/>
        <v>15.974691358024689</v>
      </c>
      <c r="AW97">
        <f t="shared" si="21"/>
        <v>19.358929722222221</v>
      </c>
      <c r="AX97" s="9"/>
      <c r="AY97" s="21">
        <v>0.33813500000000002</v>
      </c>
      <c r="AZ97" s="21">
        <v>27.1571</v>
      </c>
      <c r="BA97" s="21">
        <v>-1.36902E-2</v>
      </c>
      <c r="BB97" s="21">
        <v>87</v>
      </c>
      <c r="BC97" s="21">
        <v>0.33761600000000003</v>
      </c>
      <c r="BD97">
        <f t="shared" si="22"/>
        <v>16.901481481481479</v>
      </c>
      <c r="BE97">
        <f t="shared" si="23"/>
        <v>5.7149824407407399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1.20682</v>
      </c>
      <c r="H98" s="21">
        <v>6.1325700000000003</v>
      </c>
      <c r="I98" s="21">
        <v>-1.28754E-2</v>
      </c>
      <c r="J98" s="21">
        <v>88</v>
      </c>
      <c r="K98" s="21">
        <v>1.2057500000000001</v>
      </c>
      <c r="L98">
        <f t="shared" si="12"/>
        <v>15.895555555555555</v>
      </c>
      <c r="M98">
        <f t="shared" si="13"/>
        <v>19.183074355555554</v>
      </c>
      <c r="N98" s="9"/>
      <c r="O98" s="21">
        <v>0.34316999999999998</v>
      </c>
      <c r="P98" s="21">
        <v>9.6496300000000002</v>
      </c>
      <c r="Q98" s="21">
        <v>-1.36566E-2</v>
      </c>
      <c r="R98" s="21">
        <v>88</v>
      </c>
      <c r="S98" s="21">
        <v>0.34262100000000001</v>
      </c>
      <c r="T98">
        <f t="shared" si="14"/>
        <v>16.86</v>
      </c>
      <c r="U98">
        <f t="shared" si="15"/>
        <v>5.7858461999999991</v>
      </c>
      <c r="X98" s="9"/>
      <c r="Y98" s="21">
        <v>1.20682</v>
      </c>
      <c r="Z98" s="21">
        <v>14.8918</v>
      </c>
      <c r="AA98" s="21">
        <v>-1.29456E-2</v>
      </c>
      <c r="AB98" s="21">
        <v>88</v>
      </c>
      <c r="AC98" s="21">
        <v>1.2060500000000001</v>
      </c>
      <c r="AD98">
        <f t="shared" si="16"/>
        <v>15.982222222222221</v>
      </c>
      <c r="AE98">
        <f t="shared" si="17"/>
        <v>19.287665422222222</v>
      </c>
      <c r="AF98" s="9"/>
      <c r="AG98" s="21">
        <v>0.34316999999999998</v>
      </c>
      <c r="AH98" s="21">
        <v>18.408799999999999</v>
      </c>
      <c r="AI98" s="21">
        <v>-1.37115E-2</v>
      </c>
      <c r="AJ98" s="21">
        <v>88</v>
      </c>
      <c r="AK98" s="21">
        <v>0.34252899999999997</v>
      </c>
      <c r="AL98">
        <f t="shared" si="18"/>
        <v>16.927777777777777</v>
      </c>
      <c r="AM98">
        <f t="shared" si="19"/>
        <v>5.8091054999999994</v>
      </c>
      <c r="AP98" s="9"/>
      <c r="AQ98" s="21">
        <v>1.20682</v>
      </c>
      <c r="AR98" s="21">
        <v>23.65</v>
      </c>
      <c r="AS98" s="21">
        <v>-1.29517E-2</v>
      </c>
      <c r="AT98" s="21">
        <v>88</v>
      </c>
      <c r="AU98" s="21">
        <v>1.2054400000000001</v>
      </c>
      <c r="AV98">
        <f t="shared" si="20"/>
        <v>15.989753086419752</v>
      </c>
      <c r="AW98">
        <f t="shared" si="21"/>
        <v>19.296753819753086</v>
      </c>
      <c r="AX98" s="9"/>
      <c r="AY98" s="21">
        <v>0.34316999999999998</v>
      </c>
      <c r="AZ98" s="21">
        <v>27.167100000000001</v>
      </c>
      <c r="BA98" s="21">
        <v>-1.36902E-2</v>
      </c>
      <c r="BB98" s="21">
        <v>88</v>
      </c>
      <c r="BC98" s="21">
        <v>0.34243800000000002</v>
      </c>
      <c r="BD98">
        <f t="shared" si="22"/>
        <v>16.901481481481479</v>
      </c>
      <c r="BE98">
        <f t="shared" si="23"/>
        <v>5.8000813999999989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1.2017800000000001</v>
      </c>
      <c r="H99" s="21">
        <v>6.1426400000000001</v>
      </c>
      <c r="I99" s="21">
        <v>-1.2893699999999999E-2</v>
      </c>
      <c r="J99" s="21">
        <v>89</v>
      </c>
      <c r="K99" s="21">
        <v>1.2008700000000001</v>
      </c>
      <c r="L99">
        <f t="shared" si="12"/>
        <v>15.918148148148147</v>
      </c>
      <c r="M99">
        <f t="shared" si="13"/>
        <v>19.130112081481482</v>
      </c>
      <c r="N99" s="9"/>
      <c r="O99" s="21">
        <v>0.34820600000000002</v>
      </c>
      <c r="P99" s="21">
        <v>9.6597000000000008</v>
      </c>
      <c r="Q99" s="21">
        <v>-1.36597E-2</v>
      </c>
      <c r="R99" s="21">
        <v>89</v>
      </c>
      <c r="S99" s="21">
        <v>0.34762599999999999</v>
      </c>
      <c r="T99">
        <f t="shared" si="14"/>
        <v>16.863827160493827</v>
      </c>
      <c r="U99">
        <f t="shared" si="15"/>
        <v>5.8720858002469134</v>
      </c>
      <c r="X99" s="9"/>
      <c r="Y99" s="21">
        <v>1.2017800000000001</v>
      </c>
      <c r="Z99" s="21">
        <v>14.901899999999999</v>
      </c>
      <c r="AA99" s="21">
        <v>-1.29608E-2</v>
      </c>
      <c r="AB99" s="21">
        <v>89</v>
      </c>
      <c r="AC99" s="21">
        <v>1.2005600000000001</v>
      </c>
      <c r="AD99">
        <f t="shared" si="16"/>
        <v>16.000987654320987</v>
      </c>
      <c r="AE99">
        <f t="shared" si="17"/>
        <v>19.229666943209878</v>
      </c>
      <c r="AF99" s="9"/>
      <c r="AG99" s="21">
        <v>0.34820600000000002</v>
      </c>
      <c r="AH99" s="21">
        <v>18.418900000000001</v>
      </c>
      <c r="AI99" s="21">
        <v>-1.37085E-2</v>
      </c>
      <c r="AJ99" s="21">
        <v>89</v>
      </c>
      <c r="AK99" s="21">
        <v>0.34756500000000001</v>
      </c>
      <c r="AL99">
        <f t="shared" si="18"/>
        <v>16.924074074074074</v>
      </c>
      <c r="AM99">
        <f t="shared" si="19"/>
        <v>5.8930641370370376</v>
      </c>
      <c r="AP99" s="9"/>
      <c r="AQ99" s="21">
        <v>1.2017800000000001</v>
      </c>
      <c r="AR99" s="21">
        <v>23.6601</v>
      </c>
      <c r="AS99" s="21">
        <v>-1.29608E-2</v>
      </c>
      <c r="AT99" s="21">
        <v>89</v>
      </c>
      <c r="AU99" s="21">
        <v>1.2005600000000001</v>
      </c>
      <c r="AV99">
        <f t="shared" si="20"/>
        <v>16.000987654320987</v>
      </c>
      <c r="AW99">
        <f t="shared" si="21"/>
        <v>19.229666943209878</v>
      </c>
      <c r="AX99" s="9"/>
      <c r="AY99" s="21">
        <v>0.34820600000000002</v>
      </c>
      <c r="AZ99" s="21">
        <v>27.177199999999999</v>
      </c>
      <c r="BA99" s="21">
        <v>-1.36963E-2</v>
      </c>
      <c r="BB99" s="21">
        <v>89</v>
      </c>
      <c r="BC99" s="21">
        <v>0.34762599999999999</v>
      </c>
      <c r="BD99">
        <f t="shared" si="22"/>
        <v>16.90901234567901</v>
      </c>
      <c r="BE99">
        <f t="shared" si="23"/>
        <v>5.8878195528395052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1.19675</v>
      </c>
      <c r="H100" s="21">
        <v>6.1527099999999999</v>
      </c>
      <c r="I100" s="21">
        <v>-1.2896700000000001E-2</v>
      </c>
      <c r="J100" s="21">
        <v>90</v>
      </c>
      <c r="K100" s="21">
        <v>1.19659</v>
      </c>
      <c r="L100">
        <f t="shared" si="12"/>
        <v>15.92185185185185</v>
      </c>
      <c r="M100">
        <f t="shared" si="13"/>
        <v>19.0544762037037</v>
      </c>
      <c r="N100" s="9"/>
      <c r="O100" s="21">
        <v>0.35324100000000003</v>
      </c>
      <c r="P100" s="21">
        <v>9.6697699999999998</v>
      </c>
      <c r="Q100" s="21">
        <v>-1.36566E-2</v>
      </c>
      <c r="R100" s="21">
        <v>90</v>
      </c>
      <c r="S100" s="21">
        <v>0.35275299999999998</v>
      </c>
      <c r="T100">
        <f t="shared" si="14"/>
        <v>16.86</v>
      </c>
      <c r="U100">
        <f t="shared" si="15"/>
        <v>5.9556432600000004</v>
      </c>
      <c r="X100" s="9"/>
      <c r="Y100" s="21">
        <v>1.19675</v>
      </c>
      <c r="Z100" s="21">
        <v>14.911899999999999</v>
      </c>
      <c r="AA100" s="21">
        <v>-1.29639E-2</v>
      </c>
      <c r="AB100" s="21">
        <v>90</v>
      </c>
      <c r="AC100" s="21">
        <v>1.19598</v>
      </c>
      <c r="AD100">
        <f t="shared" si="16"/>
        <v>16.004814814814814</v>
      </c>
      <c r="AE100">
        <f t="shared" si="17"/>
        <v>19.15376212962963</v>
      </c>
      <c r="AF100" s="9"/>
      <c r="AG100" s="21">
        <v>0.35324100000000003</v>
      </c>
      <c r="AH100" s="21">
        <v>18.428999999999998</v>
      </c>
      <c r="AI100" s="21">
        <v>-1.3699299999999999E-2</v>
      </c>
      <c r="AJ100" s="21">
        <v>90</v>
      </c>
      <c r="AK100" s="21">
        <v>0.35263100000000003</v>
      </c>
      <c r="AL100">
        <f t="shared" si="18"/>
        <v>16.912716049382716</v>
      </c>
      <c r="AM100">
        <f t="shared" si="19"/>
        <v>5.9742647300000007</v>
      </c>
      <c r="AP100" s="9"/>
      <c r="AQ100" s="21">
        <v>1.19675</v>
      </c>
      <c r="AR100" s="21">
        <v>23.670100000000001</v>
      </c>
      <c r="AS100" s="21">
        <v>-1.29608E-2</v>
      </c>
      <c r="AT100" s="21">
        <v>90</v>
      </c>
      <c r="AU100" s="21">
        <v>1.1962900000000001</v>
      </c>
      <c r="AV100">
        <f t="shared" si="20"/>
        <v>16.000987654320987</v>
      </c>
      <c r="AW100">
        <f t="shared" si="21"/>
        <v>19.14918197530864</v>
      </c>
      <c r="AX100" s="9"/>
      <c r="AY100" s="21">
        <v>0.35324100000000003</v>
      </c>
      <c r="AZ100" s="21">
        <v>27.1873</v>
      </c>
      <c r="BA100" s="21">
        <v>-1.36963E-2</v>
      </c>
      <c r="BB100" s="21">
        <v>90</v>
      </c>
      <c r="BC100" s="21">
        <v>0.35269200000000001</v>
      </c>
      <c r="BD100">
        <f t="shared" si="22"/>
        <v>16.90901234567901</v>
      </c>
      <c r="BE100">
        <f t="shared" si="23"/>
        <v>5.9729564299999991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1.19171</v>
      </c>
      <c r="H101" s="21">
        <v>6.1627799999999997</v>
      </c>
      <c r="I101" s="21">
        <v>-1.2902800000000001E-2</v>
      </c>
      <c r="J101" s="21">
        <v>91</v>
      </c>
      <c r="K101" s="21">
        <v>1.1911</v>
      </c>
      <c r="L101">
        <f t="shared" si="12"/>
        <v>15.929382716049382</v>
      </c>
      <c r="M101">
        <f t="shared" si="13"/>
        <v>18.98320467654321</v>
      </c>
      <c r="N101" s="9"/>
      <c r="O101" s="21">
        <v>0.35827599999999998</v>
      </c>
      <c r="P101" s="21">
        <v>9.6798400000000004</v>
      </c>
      <c r="Q101" s="21">
        <v>-1.36597E-2</v>
      </c>
      <c r="R101" s="21">
        <v>91</v>
      </c>
      <c r="S101" s="21">
        <v>0.35763499999999998</v>
      </c>
      <c r="T101">
        <f t="shared" si="14"/>
        <v>16.863827160493827</v>
      </c>
      <c r="U101">
        <f t="shared" si="15"/>
        <v>6.0419045397530864</v>
      </c>
      <c r="X101" s="9"/>
      <c r="Y101" s="21">
        <v>1.19171</v>
      </c>
      <c r="Z101" s="21">
        <v>14.922000000000001</v>
      </c>
      <c r="AA101" s="21">
        <v>-1.29669E-2</v>
      </c>
      <c r="AB101" s="21">
        <v>91</v>
      </c>
      <c r="AC101" s="21">
        <v>1.1914100000000001</v>
      </c>
      <c r="AD101">
        <f t="shared" si="16"/>
        <v>16.008518518518514</v>
      </c>
      <c r="AE101">
        <f t="shared" si="17"/>
        <v>19.077511603703698</v>
      </c>
      <c r="AF101" s="9"/>
      <c r="AG101" s="21">
        <v>0.35827599999999998</v>
      </c>
      <c r="AH101" s="21">
        <v>18.4391</v>
      </c>
      <c r="AI101" s="21">
        <v>-1.37054E-2</v>
      </c>
      <c r="AJ101" s="21">
        <v>91</v>
      </c>
      <c r="AK101" s="21">
        <v>0.357574</v>
      </c>
      <c r="AL101">
        <f t="shared" si="18"/>
        <v>16.920246913580247</v>
      </c>
      <c r="AM101">
        <f t="shared" si="19"/>
        <v>6.0621183832098762</v>
      </c>
      <c r="AP101" s="9"/>
      <c r="AQ101" s="21">
        <v>1.19171</v>
      </c>
      <c r="AR101" s="21">
        <v>23.680199999999999</v>
      </c>
      <c r="AS101" s="21">
        <v>-1.29578E-2</v>
      </c>
      <c r="AT101" s="21">
        <v>91</v>
      </c>
      <c r="AU101" s="21">
        <v>1.1908000000000001</v>
      </c>
      <c r="AV101">
        <f t="shared" si="20"/>
        <v>15.997283950617284</v>
      </c>
      <c r="AW101">
        <f t="shared" si="21"/>
        <v>19.064123256790126</v>
      </c>
      <c r="AX101" s="9"/>
      <c r="AY101" s="21">
        <v>0.35827599999999998</v>
      </c>
      <c r="AZ101" s="21">
        <v>27.197299999999998</v>
      </c>
      <c r="BA101" s="21">
        <v>-1.37024E-2</v>
      </c>
      <c r="BB101" s="21">
        <v>91</v>
      </c>
      <c r="BC101" s="21">
        <v>0.35766599999999998</v>
      </c>
      <c r="BD101">
        <f t="shared" si="22"/>
        <v>16.916543209876544</v>
      </c>
      <c r="BE101">
        <f t="shared" si="23"/>
        <v>6.060791435061728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1.18668</v>
      </c>
      <c r="H102" s="21">
        <v>6.17286</v>
      </c>
      <c r="I102" s="21">
        <v>-1.29059E-2</v>
      </c>
      <c r="J102" s="21">
        <v>92</v>
      </c>
      <c r="K102" s="21">
        <v>1.1853</v>
      </c>
      <c r="L102">
        <f t="shared" si="12"/>
        <v>15.933209876543209</v>
      </c>
      <c r="M102">
        <f t="shared" si="13"/>
        <v>18.907621496296294</v>
      </c>
      <c r="N102" s="9"/>
      <c r="O102" s="21">
        <v>0.36331200000000002</v>
      </c>
      <c r="P102" s="21">
        <v>9.6899099999999994</v>
      </c>
      <c r="Q102" s="21">
        <v>-1.36627E-2</v>
      </c>
      <c r="R102" s="21">
        <v>92</v>
      </c>
      <c r="S102" s="21">
        <v>0.36267100000000002</v>
      </c>
      <c r="T102">
        <f t="shared" si="14"/>
        <v>16.86753086419753</v>
      </c>
      <c r="U102">
        <f t="shared" si="15"/>
        <v>6.128176373333333</v>
      </c>
      <c r="X102" s="9"/>
      <c r="Y102" s="21">
        <v>1.18668</v>
      </c>
      <c r="Z102" s="21">
        <v>14.9321</v>
      </c>
      <c r="AA102" s="21">
        <v>-1.2976100000000001E-2</v>
      </c>
      <c r="AB102" s="21">
        <v>92</v>
      </c>
      <c r="AC102" s="21">
        <v>1.1856100000000001</v>
      </c>
      <c r="AD102">
        <f t="shared" si="16"/>
        <v>16.019876543209875</v>
      </c>
      <c r="AE102">
        <f t="shared" si="17"/>
        <v>19.010467096296296</v>
      </c>
      <c r="AF102" s="9"/>
      <c r="AG102" s="21">
        <v>0.36331200000000002</v>
      </c>
      <c r="AH102" s="21">
        <v>18.449100000000001</v>
      </c>
      <c r="AI102" s="21">
        <v>-1.3717699999999999E-2</v>
      </c>
      <c r="AJ102" s="21">
        <v>92</v>
      </c>
      <c r="AK102" s="21">
        <v>0.362732</v>
      </c>
      <c r="AL102">
        <f t="shared" si="18"/>
        <v>16.935432098765432</v>
      </c>
      <c r="AM102">
        <f t="shared" si="19"/>
        <v>6.1528457066666666</v>
      </c>
      <c r="AP102" s="9"/>
      <c r="AQ102" s="21">
        <v>1.18668</v>
      </c>
      <c r="AR102" s="21">
        <v>23.690300000000001</v>
      </c>
      <c r="AS102" s="21">
        <v>-1.29639E-2</v>
      </c>
      <c r="AT102" s="21">
        <v>92</v>
      </c>
      <c r="AU102" s="21">
        <v>1.1856100000000001</v>
      </c>
      <c r="AV102">
        <f t="shared" si="20"/>
        <v>16.004814814814814</v>
      </c>
      <c r="AW102">
        <f t="shared" si="21"/>
        <v>18.992593644444444</v>
      </c>
      <c r="AX102" s="9"/>
      <c r="AY102" s="21">
        <v>0.36331200000000002</v>
      </c>
      <c r="AZ102" s="21">
        <v>27.2074</v>
      </c>
      <c r="BA102" s="21">
        <v>-1.3699299999999999E-2</v>
      </c>
      <c r="BB102" s="21">
        <v>92</v>
      </c>
      <c r="BC102" s="21">
        <v>0.362701</v>
      </c>
      <c r="BD102">
        <f t="shared" si="22"/>
        <v>16.912716049382716</v>
      </c>
      <c r="BE102">
        <f t="shared" si="23"/>
        <v>6.1445926933333341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1.18164</v>
      </c>
      <c r="H103" s="21">
        <v>6.1829299999999998</v>
      </c>
      <c r="I103" s="21">
        <v>-1.2912E-2</v>
      </c>
      <c r="J103" s="21">
        <v>93</v>
      </c>
      <c r="K103" s="21">
        <v>1.18103</v>
      </c>
      <c r="L103">
        <f t="shared" si="12"/>
        <v>15.940740740740738</v>
      </c>
      <c r="M103">
        <f t="shared" si="13"/>
        <v>18.836216888888885</v>
      </c>
      <c r="N103" s="9"/>
      <c r="O103" s="21">
        <v>0.36834699999999998</v>
      </c>
      <c r="P103" s="21">
        <v>9.69998</v>
      </c>
      <c r="Q103" s="21">
        <v>-1.3665800000000001E-2</v>
      </c>
      <c r="R103" s="21">
        <v>93</v>
      </c>
      <c r="S103" s="21">
        <v>0.36773699999999998</v>
      </c>
      <c r="T103">
        <f t="shared" si="14"/>
        <v>16.871358024691357</v>
      </c>
      <c r="U103">
        <f t="shared" si="15"/>
        <v>6.2145141143209868</v>
      </c>
      <c r="X103" s="9"/>
      <c r="Y103" s="21">
        <v>1.18164</v>
      </c>
      <c r="Z103" s="21">
        <v>14.9421</v>
      </c>
      <c r="AA103" s="21">
        <v>-1.2973E-2</v>
      </c>
      <c r="AB103" s="21">
        <v>93</v>
      </c>
      <c r="AC103" s="21">
        <v>1.18042</v>
      </c>
      <c r="AD103">
        <f t="shared" si="16"/>
        <v>16.016049382716048</v>
      </c>
      <c r="AE103">
        <f t="shared" si="17"/>
        <v>18.925204592592593</v>
      </c>
      <c r="AF103" s="9"/>
      <c r="AG103" s="21">
        <v>0.36834699999999998</v>
      </c>
      <c r="AH103" s="21">
        <v>18.459199999999999</v>
      </c>
      <c r="AI103" s="21">
        <v>-1.3720700000000001E-2</v>
      </c>
      <c r="AJ103" s="21">
        <v>93</v>
      </c>
      <c r="AK103" s="21">
        <v>0.36782799999999999</v>
      </c>
      <c r="AL103">
        <f t="shared" si="18"/>
        <v>16.939135802469135</v>
      </c>
      <c r="AM103">
        <f t="shared" si="19"/>
        <v>6.2394798554320978</v>
      </c>
      <c r="AP103" s="9"/>
      <c r="AQ103" s="21">
        <v>1.18164</v>
      </c>
      <c r="AR103" s="21">
        <v>23.700399999999998</v>
      </c>
      <c r="AS103" s="21">
        <v>-1.2976100000000001E-2</v>
      </c>
      <c r="AT103" s="21">
        <v>93</v>
      </c>
      <c r="AU103" s="21">
        <v>1.1807300000000001</v>
      </c>
      <c r="AV103">
        <f t="shared" si="20"/>
        <v>16.019876543209875</v>
      </c>
      <c r="AW103">
        <f t="shared" si="21"/>
        <v>18.929726918518519</v>
      </c>
      <c r="AX103" s="9"/>
      <c r="AY103" s="21">
        <v>0.36834699999999998</v>
      </c>
      <c r="AZ103" s="21">
        <v>27.217500000000001</v>
      </c>
      <c r="BA103" s="21">
        <v>-1.36902E-2</v>
      </c>
      <c r="BB103" s="21">
        <v>93</v>
      </c>
      <c r="BC103" s="21">
        <v>0.36779800000000001</v>
      </c>
      <c r="BD103">
        <f t="shared" si="22"/>
        <v>16.901481481481479</v>
      </c>
      <c r="BE103">
        <f t="shared" si="23"/>
        <v>6.225609999259258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1.1766099999999999</v>
      </c>
      <c r="H104" s="21">
        <v>6.1929999999999996</v>
      </c>
      <c r="I104" s="21">
        <v>-1.2914999999999999E-2</v>
      </c>
      <c r="J104" s="21">
        <v>94</v>
      </c>
      <c r="K104" s="21">
        <v>1.17584</v>
      </c>
      <c r="L104">
        <f t="shared" si="12"/>
        <v>15.944444444444441</v>
      </c>
      <c r="M104">
        <f t="shared" si="13"/>
        <v>18.760392777777774</v>
      </c>
      <c r="N104" s="9"/>
      <c r="O104" s="21">
        <v>0.37338300000000002</v>
      </c>
      <c r="P104" s="21">
        <v>9.7100600000000004</v>
      </c>
      <c r="Q104" s="21">
        <v>-1.36597E-2</v>
      </c>
      <c r="R104" s="21">
        <v>94</v>
      </c>
      <c r="S104" s="21">
        <v>0.37277199999999999</v>
      </c>
      <c r="T104">
        <f t="shared" si="14"/>
        <v>16.863827160493827</v>
      </c>
      <c r="U104">
        <f t="shared" si="15"/>
        <v>6.2966663766666668</v>
      </c>
      <c r="X104" s="9"/>
      <c r="Y104" s="21">
        <v>1.1766099999999999</v>
      </c>
      <c r="Z104" s="21">
        <v>14.952199999999999</v>
      </c>
      <c r="AA104" s="21">
        <v>-1.29791E-2</v>
      </c>
      <c r="AB104" s="21">
        <v>94</v>
      </c>
      <c r="AC104" s="21">
        <v>1.17554</v>
      </c>
      <c r="AD104">
        <f t="shared" si="16"/>
        <v>16.023580246913578</v>
      </c>
      <c r="AE104">
        <f t="shared" si="17"/>
        <v>18.853504754320983</v>
      </c>
      <c r="AF104" s="9"/>
      <c r="AG104" s="21">
        <v>0.37338300000000002</v>
      </c>
      <c r="AH104" s="21">
        <v>18.4693</v>
      </c>
      <c r="AI104" s="21">
        <v>-1.37115E-2</v>
      </c>
      <c r="AJ104" s="21">
        <v>94</v>
      </c>
      <c r="AK104" s="21">
        <v>0.372894</v>
      </c>
      <c r="AL104">
        <f t="shared" si="18"/>
        <v>16.927777777777777</v>
      </c>
      <c r="AM104">
        <f t="shared" si="19"/>
        <v>6.3205444499999999</v>
      </c>
      <c r="AP104" s="9"/>
      <c r="AQ104" s="21">
        <v>1.1766099999999999</v>
      </c>
      <c r="AR104" s="21">
        <v>23.7104</v>
      </c>
      <c r="AS104" s="21">
        <v>-1.2973E-2</v>
      </c>
      <c r="AT104" s="21">
        <v>94</v>
      </c>
      <c r="AU104" s="21">
        <v>1.17554</v>
      </c>
      <c r="AV104">
        <f t="shared" si="20"/>
        <v>16.016049382716048</v>
      </c>
      <c r="AW104">
        <f t="shared" si="21"/>
        <v>18.844643864197529</v>
      </c>
      <c r="AX104" s="9"/>
      <c r="AY104" s="21">
        <v>0.37338300000000002</v>
      </c>
      <c r="AZ104" s="21">
        <v>27.227599999999999</v>
      </c>
      <c r="BA104" s="21">
        <v>-1.3665800000000001E-2</v>
      </c>
      <c r="BB104" s="21">
        <v>94</v>
      </c>
      <c r="BC104" s="21">
        <v>0.37283300000000003</v>
      </c>
      <c r="BD104">
        <f t="shared" si="22"/>
        <v>16.871358024691357</v>
      </c>
      <c r="BE104">
        <f t="shared" si="23"/>
        <v>6.2994782733333334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1.17157</v>
      </c>
      <c r="H105" s="21">
        <v>6.2030700000000003</v>
      </c>
      <c r="I105" s="21">
        <v>-1.29211E-2</v>
      </c>
      <c r="J105" s="21">
        <v>95</v>
      </c>
      <c r="K105" s="21">
        <v>1.17065</v>
      </c>
      <c r="L105">
        <f t="shared" si="12"/>
        <v>15.951975308641973</v>
      </c>
      <c r="M105">
        <f t="shared" si="13"/>
        <v>18.688855712345678</v>
      </c>
      <c r="N105" s="9"/>
      <c r="O105" s="21">
        <v>0.37841799999999998</v>
      </c>
      <c r="P105" s="21">
        <v>9.7201299999999993</v>
      </c>
      <c r="Q105" s="21">
        <v>-1.3650499999999999E-2</v>
      </c>
      <c r="R105" s="21">
        <v>95</v>
      </c>
      <c r="S105" s="21">
        <v>0.37780799999999998</v>
      </c>
      <c r="T105">
        <f t="shared" si="14"/>
        <v>16.852469135802469</v>
      </c>
      <c r="U105">
        <f t="shared" si="15"/>
        <v>6.3772776654320982</v>
      </c>
      <c r="X105" s="9"/>
      <c r="Y105" s="21">
        <v>1.17157</v>
      </c>
      <c r="Z105" s="21">
        <v>14.962300000000001</v>
      </c>
      <c r="AA105" s="21">
        <v>-1.2997399999999999E-2</v>
      </c>
      <c r="AB105" s="21">
        <v>95</v>
      </c>
      <c r="AC105" s="21">
        <v>1.17096</v>
      </c>
      <c r="AD105">
        <f t="shared" si="16"/>
        <v>16.04617283950617</v>
      </c>
      <c r="AE105">
        <f t="shared" si="17"/>
        <v>18.799214713580245</v>
      </c>
      <c r="AF105" s="9"/>
      <c r="AG105" s="21">
        <v>0.37841799999999998</v>
      </c>
      <c r="AH105" s="21">
        <v>18.479299999999999</v>
      </c>
      <c r="AI105" s="21">
        <v>-1.36902E-2</v>
      </c>
      <c r="AJ105" s="21">
        <v>95</v>
      </c>
      <c r="AK105" s="21">
        <v>0.37768600000000002</v>
      </c>
      <c r="AL105">
        <f t="shared" si="18"/>
        <v>16.901481481481479</v>
      </c>
      <c r="AM105">
        <f t="shared" si="19"/>
        <v>6.3958248192592579</v>
      </c>
      <c r="AP105" s="9"/>
      <c r="AQ105" s="21">
        <v>1.17157</v>
      </c>
      <c r="AR105" s="21">
        <v>23.720500000000001</v>
      </c>
      <c r="AS105" s="21">
        <v>-1.29791E-2</v>
      </c>
      <c r="AT105" s="21">
        <v>95</v>
      </c>
      <c r="AU105" s="21">
        <v>1.17035</v>
      </c>
      <c r="AV105">
        <f t="shared" si="20"/>
        <v>16.023580246913578</v>
      </c>
      <c r="AW105">
        <f t="shared" si="21"/>
        <v>18.772745909876541</v>
      </c>
      <c r="AX105" s="9"/>
      <c r="AY105" s="21">
        <v>0.37841799999999998</v>
      </c>
      <c r="AZ105" s="21">
        <v>27.2376</v>
      </c>
      <c r="BA105" s="21">
        <v>-1.36414E-2</v>
      </c>
      <c r="BB105" s="21">
        <v>95</v>
      </c>
      <c r="BC105" s="21">
        <v>0.37765500000000002</v>
      </c>
      <c r="BD105">
        <f t="shared" si="22"/>
        <v>16.841234567901232</v>
      </c>
      <c r="BE105">
        <f t="shared" si="23"/>
        <v>6.3730263027160481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1.1665300000000001</v>
      </c>
      <c r="H106" s="21">
        <v>6.2131400000000001</v>
      </c>
      <c r="I106" s="21">
        <v>-1.29303E-2</v>
      </c>
      <c r="J106" s="21">
        <v>96</v>
      </c>
      <c r="K106" s="21">
        <v>1.16547</v>
      </c>
      <c r="L106">
        <f t="shared" si="12"/>
        <v>15.963333333333333</v>
      </c>
      <c r="M106">
        <f t="shared" si="13"/>
        <v>18.621707233333336</v>
      </c>
      <c r="N106" s="9"/>
      <c r="O106" s="21">
        <v>0.38345299999999999</v>
      </c>
      <c r="P106" s="21">
        <v>9.7302</v>
      </c>
      <c r="Q106" s="21">
        <v>-1.3644399999999999E-2</v>
      </c>
      <c r="R106" s="21">
        <v>96</v>
      </c>
      <c r="S106" s="21">
        <v>0.38284299999999999</v>
      </c>
      <c r="T106">
        <f t="shared" si="14"/>
        <v>16.844938271604939</v>
      </c>
      <c r="U106">
        <f t="shared" si="15"/>
        <v>6.4592421150617279</v>
      </c>
      <c r="X106" s="9"/>
      <c r="Y106" s="21">
        <v>1.1665300000000001</v>
      </c>
      <c r="Z106" s="21">
        <v>14.972300000000001</v>
      </c>
      <c r="AA106" s="21">
        <v>-1.3021899999999999E-2</v>
      </c>
      <c r="AB106" s="21">
        <v>96</v>
      </c>
      <c r="AC106" s="21">
        <v>1.16547</v>
      </c>
      <c r="AD106">
        <f t="shared" si="16"/>
        <v>16.076419753086416</v>
      </c>
      <c r="AE106">
        <f t="shared" si="17"/>
        <v>18.753625934567896</v>
      </c>
      <c r="AF106" s="9"/>
      <c r="AG106" s="21">
        <v>0.38345299999999999</v>
      </c>
      <c r="AH106" s="21">
        <v>18.4894</v>
      </c>
      <c r="AI106" s="21">
        <v>-1.3677999999999999E-2</v>
      </c>
      <c r="AJ106" s="21">
        <v>96</v>
      </c>
      <c r="AK106" s="21">
        <v>0.38284299999999999</v>
      </c>
      <c r="AL106">
        <f t="shared" si="18"/>
        <v>16.886419753086418</v>
      </c>
      <c r="AM106">
        <f t="shared" si="19"/>
        <v>6.4751483135802461</v>
      </c>
      <c r="AP106" s="9"/>
      <c r="AQ106" s="21">
        <v>1.1665300000000001</v>
      </c>
      <c r="AR106" s="21">
        <v>23.730599999999999</v>
      </c>
      <c r="AS106" s="21">
        <v>-1.2988299999999999E-2</v>
      </c>
      <c r="AT106" s="21">
        <v>96</v>
      </c>
      <c r="AU106" s="21">
        <v>1.16577</v>
      </c>
      <c r="AV106">
        <f t="shared" si="20"/>
        <v>16.034938271604936</v>
      </c>
      <c r="AW106">
        <f t="shared" si="21"/>
        <v>18.705236541975307</v>
      </c>
      <c r="AX106" s="9"/>
      <c r="AY106" s="21">
        <v>0.38345299999999999</v>
      </c>
      <c r="AZ106" s="21">
        <v>27.247699999999998</v>
      </c>
      <c r="BA106" s="21">
        <v>-1.3629199999999999E-2</v>
      </c>
      <c r="BB106" s="21">
        <v>96</v>
      </c>
      <c r="BC106" s="21">
        <v>0.38287399999999999</v>
      </c>
      <c r="BD106">
        <f t="shared" si="22"/>
        <v>16.826172839506171</v>
      </c>
      <c r="BE106">
        <f t="shared" si="23"/>
        <v>6.4520464538271591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1.1615</v>
      </c>
      <c r="H107" s="21">
        <v>6.2232099999999999</v>
      </c>
      <c r="I107" s="21">
        <v>-1.29242E-2</v>
      </c>
      <c r="J107" s="21">
        <v>97</v>
      </c>
      <c r="K107" s="21">
        <v>1.16028</v>
      </c>
      <c r="L107">
        <f t="shared" si="12"/>
        <v>15.955802469135801</v>
      </c>
      <c r="M107">
        <f t="shared" si="13"/>
        <v>18.532664567901232</v>
      </c>
      <c r="N107" s="9"/>
      <c r="O107" s="21">
        <v>0.38848899999999997</v>
      </c>
      <c r="P107" s="21">
        <v>9.7402700000000006</v>
      </c>
      <c r="Q107" s="21">
        <v>-1.3638300000000001E-2</v>
      </c>
      <c r="R107" s="21">
        <v>97</v>
      </c>
      <c r="S107" s="21">
        <v>0.387909</v>
      </c>
      <c r="T107">
        <f t="shared" si="14"/>
        <v>16.837407407407408</v>
      </c>
      <c r="U107">
        <f t="shared" si="15"/>
        <v>6.5411475662962957</v>
      </c>
      <c r="X107" s="9"/>
      <c r="Y107" s="21">
        <v>1.1615</v>
      </c>
      <c r="Z107" s="21">
        <v>14.9824</v>
      </c>
      <c r="AA107" s="21">
        <v>-1.3030999999999999E-2</v>
      </c>
      <c r="AB107" s="21">
        <v>97</v>
      </c>
      <c r="AC107" s="21">
        <v>1.1605799999999999</v>
      </c>
      <c r="AD107">
        <f t="shared" si="16"/>
        <v>16.087654320987653</v>
      </c>
      <c r="AE107">
        <f t="shared" si="17"/>
        <v>18.685810493827159</v>
      </c>
      <c r="AF107" s="9"/>
      <c r="AG107" s="21">
        <v>0.38848899999999997</v>
      </c>
      <c r="AH107" s="21">
        <v>18.499500000000001</v>
      </c>
      <c r="AI107" s="21">
        <v>-1.3671900000000001E-2</v>
      </c>
      <c r="AJ107" s="21">
        <v>97</v>
      </c>
      <c r="AK107" s="21">
        <v>0.387909</v>
      </c>
      <c r="AL107">
        <f t="shared" si="18"/>
        <v>16.878888888888888</v>
      </c>
      <c r="AM107">
        <f t="shared" si="19"/>
        <v>6.5572626655555544</v>
      </c>
      <c r="AP107" s="9"/>
      <c r="AQ107" s="21">
        <v>1.1615</v>
      </c>
      <c r="AR107" s="21">
        <v>23.740600000000001</v>
      </c>
      <c r="AS107" s="21">
        <v>-1.29944E-2</v>
      </c>
      <c r="AT107" s="21">
        <v>97</v>
      </c>
      <c r="AU107" s="21">
        <v>1.16028</v>
      </c>
      <c r="AV107">
        <f t="shared" si="20"/>
        <v>16.042469135802467</v>
      </c>
      <c r="AW107">
        <f t="shared" si="21"/>
        <v>18.633327901234566</v>
      </c>
      <c r="AX107" s="9"/>
      <c r="AY107" s="21">
        <v>0.38848899999999997</v>
      </c>
      <c r="AZ107" s="21">
        <v>27.2578</v>
      </c>
      <c r="BA107" s="21">
        <v>-1.36261E-2</v>
      </c>
      <c r="BB107" s="21">
        <v>97</v>
      </c>
      <c r="BC107" s="21">
        <v>0.387878</v>
      </c>
      <c r="BD107">
        <f t="shared" si="22"/>
        <v>16.822345679012344</v>
      </c>
      <c r="BE107">
        <f t="shared" si="23"/>
        <v>6.5352962504938255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1.15646</v>
      </c>
      <c r="H108" s="21">
        <v>6.2332799999999997</v>
      </c>
      <c r="I108" s="21">
        <v>-1.29272E-2</v>
      </c>
      <c r="J108" s="21">
        <v>98</v>
      </c>
      <c r="K108" s="21">
        <v>1.1556999999999999</v>
      </c>
      <c r="L108">
        <f t="shared" si="12"/>
        <v>15.959506172839506</v>
      </c>
      <c r="M108">
        <f t="shared" si="13"/>
        <v>18.456530508641976</v>
      </c>
      <c r="N108" s="9"/>
      <c r="O108" s="21">
        <v>0.39352399999999998</v>
      </c>
      <c r="P108" s="21">
        <v>9.7503399999999996</v>
      </c>
      <c r="Q108" s="21">
        <v>-1.36353E-2</v>
      </c>
      <c r="R108" s="21">
        <v>98</v>
      </c>
      <c r="S108" s="21">
        <v>0.39294400000000002</v>
      </c>
      <c r="T108">
        <f t="shared" si="14"/>
        <v>16.833703703703701</v>
      </c>
      <c r="U108">
        <f t="shared" si="15"/>
        <v>6.6244664162962952</v>
      </c>
      <c r="X108" s="9"/>
      <c r="Y108" s="21">
        <v>1.15646</v>
      </c>
      <c r="Z108" s="21">
        <v>14.9925</v>
      </c>
      <c r="AA108" s="21">
        <v>-1.3037099999999999E-2</v>
      </c>
      <c r="AB108" s="21">
        <v>98</v>
      </c>
      <c r="AC108" s="21">
        <v>1.1556999999999999</v>
      </c>
      <c r="AD108">
        <f t="shared" si="16"/>
        <v>16.095185185185183</v>
      </c>
      <c r="AE108">
        <f t="shared" si="17"/>
        <v>18.613437859259257</v>
      </c>
      <c r="AF108" s="9"/>
      <c r="AG108" s="21">
        <v>0.39352399999999998</v>
      </c>
      <c r="AH108" s="21">
        <v>18.509499999999999</v>
      </c>
      <c r="AI108" s="21">
        <v>-1.36749E-2</v>
      </c>
      <c r="AJ108" s="21">
        <v>98</v>
      </c>
      <c r="AK108" s="21">
        <v>0.39297500000000002</v>
      </c>
      <c r="AL108">
        <f t="shared" si="18"/>
        <v>16.882592592592591</v>
      </c>
      <c r="AM108">
        <f t="shared" si="19"/>
        <v>6.6437053674074065</v>
      </c>
      <c r="AP108" s="9"/>
      <c r="AQ108" s="21">
        <v>1.15646</v>
      </c>
      <c r="AR108" s="21">
        <v>23.750699999999998</v>
      </c>
      <c r="AS108" s="21">
        <v>-1.2997399999999999E-2</v>
      </c>
      <c r="AT108" s="21">
        <v>98</v>
      </c>
      <c r="AU108" s="21">
        <v>1.1554</v>
      </c>
      <c r="AV108">
        <f t="shared" si="20"/>
        <v>16.04617283950617</v>
      </c>
      <c r="AW108">
        <f t="shared" si="21"/>
        <v>18.556757041975306</v>
      </c>
      <c r="AX108" s="9"/>
      <c r="AY108" s="21">
        <v>0.39352399999999998</v>
      </c>
      <c r="AZ108" s="21">
        <v>27.267800000000001</v>
      </c>
      <c r="BA108" s="21">
        <v>-1.36261E-2</v>
      </c>
      <c r="BB108" s="21">
        <v>98</v>
      </c>
      <c r="BC108" s="21">
        <v>0.39294400000000002</v>
      </c>
      <c r="BD108">
        <f t="shared" si="22"/>
        <v>16.822345679012344</v>
      </c>
      <c r="BE108">
        <f t="shared" si="23"/>
        <v>6.6199967609876529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1.15143</v>
      </c>
      <c r="H109" s="21">
        <v>6.2433500000000004</v>
      </c>
      <c r="I109" s="21">
        <v>-1.29333E-2</v>
      </c>
      <c r="J109" s="21">
        <v>99</v>
      </c>
      <c r="K109" s="21">
        <v>1.1505099999999999</v>
      </c>
      <c r="L109">
        <f t="shared" si="12"/>
        <v>15.967037037037036</v>
      </c>
      <c r="M109">
        <f t="shared" si="13"/>
        <v>18.384925455555553</v>
      </c>
      <c r="N109" s="9"/>
      <c r="O109" s="21">
        <v>0.39856000000000003</v>
      </c>
      <c r="P109" s="21">
        <v>9.7604100000000003</v>
      </c>
      <c r="Q109" s="21">
        <v>-1.3632200000000001E-2</v>
      </c>
      <c r="R109" s="21">
        <v>99</v>
      </c>
      <c r="S109" s="21">
        <v>0.39791900000000002</v>
      </c>
      <c r="T109">
        <f t="shared" si="14"/>
        <v>16.829876543209878</v>
      </c>
      <c r="U109">
        <f t="shared" si="15"/>
        <v>6.7077155950617291</v>
      </c>
      <c r="X109" s="9"/>
      <c r="Y109" s="21">
        <v>1.15143</v>
      </c>
      <c r="Z109" s="21">
        <v>15.002599999999999</v>
      </c>
      <c r="AA109" s="21">
        <v>-1.30463E-2</v>
      </c>
      <c r="AB109" s="21">
        <v>99</v>
      </c>
      <c r="AC109" s="21">
        <v>1.15021</v>
      </c>
      <c r="AD109">
        <f t="shared" si="16"/>
        <v>16.106543209876545</v>
      </c>
      <c r="AE109">
        <f t="shared" si="17"/>
        <v>18.545557048148151</v>
      </c>
      <c r="AF109" s="9"/>
      <c r="AG109" s="21">
        <v>0.39856000000000003</v>
      </c>
      <c r="AH109" s="21">
        <v>18.519600000000001</v>
      </c>
      <c r="AI109" s="21">
        <v>-1.3677999999999999E-2</v>
      </c>
      <c r="AJ109" s="21">
        <v>99</v>
      </c>
      <c r="AK109" s="21">
        <v>0.39800999999999997</v>
      </c>
      <c r="AL109">
        <f t="shared" si="18"/>
        <v>16.886419753086418</v>
      </c>
      <c r="AM109">
        <f t="shared" si="19"/>
        <v>6.730251456790123</v>
      </c>
      <c r="AP109" s="9"/>
      <c r="AQ109" s="21">
        <v>1.15143</v>
      </c>
      <c r="AR109" s="21">
        <v>23.7608</v>
      </c>
      <c r="AS109" s="21">
        <v>-1.30066E-2</v>
      </c>
      <c r="AT109" s="21">
        <v>99</v>
      </c>
      <c r="AU109" s="21">
        <v>1.1511199999999999</v>
      </c>
      <c r="AV109">
        <f t="shared" si="20"/>
        <v>16.057530864197531</v>
      </c>
      <c r="AW109">
        <f t="shared" si="21"/>
        <v>18.489122762962964</v>
      </c>
      <c r="AX109" s="9"/>
      <c r="AY109" s="21">
        <v>0.39856000000000003</v>
      </c>
      <c r="AZ109" s="21">
        <v>27.277899999999999</v>
      </c>
      <c r="BA109" s="21">
        <v>-1.3629199999999999E-2</v>
      </c>
      <c r="BB109" s="21">
        <v>99</v>
      </c>
      <c r="BC109" s="21">
        <v>0.39798</v>
      </c>
      <c r="BD109">
        <f t="shared" si="22"/>
        <v>16.826172839506171</v>
      </c>
      <c r="BE109">
        <f t="shared" si="23"/>
        <v>6.70623944691358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1.14639</v>
      </c>
      <c r="H110" s="21">
        <v>6.2534200000000002</v>
      </c>
      <c r="I110" s="21">
        <v>-1.2936400000000001E-2</v>
      </c>
      <c r="J110" s="21">
        <v>100</v>
      </c>
      <c r="K110" s="21">
        <v>1.14594</v>
      </c>
      <c r="L110">
        <f t="shared" si="12"/>
        <v>15.970864197530865</v>
      </c>
      <c r="M110">
        <f t="shared" si="13"/>
        <v>18.308839007407411</v>
      </c>
      <c r="N110" s="9"/>
      <c r="O110" s="21">
        <v>0.40359499999999998</v>
      </c>
      <c r="P110" s="21">
        <v>9.7704799999999992</v>
      </c>
      <c r="Q110" s="21">
        <v>-1.36261E-2</v>
      </c>
      <c r="R110" s="21">
        <v>100</v>
      </c>
      <c r="S110" s="21">
        <v>0.40301500000000001</v>
      </c>
      <c r="T110">
        <f t="shared" si="14"/>
        <v>16.822345679012344</v>
      </c>
      <c r="U110">
        <f t="shared" si="15"/>
        <v>6.7894146043209869</v>
      </c>
      <c r="X110" s="9"/>
      <c r="Y110" s="21">
        <v>1.14639</v>
      </c>
      <c r="Z110" s="21">
        <v>15.012600000000001</v>
      </c>
      <c r="AA110" s="21">
        <v>-1.30615E-2</v>
      </c>
      <c r="AB110" s="21">
        <v>100</v>
      </c>
      <c r="AC110" s="21">
        <v>1.1453199999999999</v>
      </c>
      <c r="AD110">
        <f t="shared" si="16"/>
        <v>16.125308641975309</v>
      </c>
      <c r="AE110">
        <f t="shared" si="17"/>
        <v>18.485892574074075</v>
      </c>
      <c r="AF110" s="9"/>
      <c r="AG110" s="21">
        <v>0.40359499999999998</v>
      </c>
      <c r="AH110" s="21">
        <v>18.529699999999998</v>
      </c>
      <c r="AI110" s="21">
        <v>-1.3677999999999999E-2</v>
      </c>
      <c r="AJ110" s="21">
        <v>100</v>
      </c>
      <c r="AK110" s="21">
        <v>0.40304600000000002</v>
      </c>
      <c r="AL110">
        <f t="shared" si="18"/>
        <v>16.886419753086418</v>
      </c>
      <c r="AM110">
        <f t="shared" si="19"/>
        <v>6.8152745802469124</v>
      </c>
      <c r="AP110" s="9"/>
      <c r="AQ110" s="21">
        <v>1.14639</v>
      </c>
      <c r="AR110" s="21">
        <v>23.770900000000001</v>
      </c>
      <c r="AS110" s="21">
        <v>-1.3024900000000001E-2</v>
      </c>
      <c r="AT110" s="21">
        <v>100</v>
      </c>
      <c r="AU110" s="21">
        <v>1.14655</v>
      </c>
      <c r="AV110">
        <f t="shared" si="20"/>
        <v>16.080123456790126</v>
      </c>
      <c r="AW110">
        <f t="shared" si="21"/>
        <v>18.434092729629633</v>
      </c>
      <c r="AX110" s="9"/>
      <c r="AY110" s="21">
        <v>0.40359499999999998</v>
      </c>
      <c r="AZ110" s="21">
        <v>27.288</v>
      </c>
      <c r="BA110" s="21">
        <v>-1.36261E-2</v>
      </c>
      <c r="BB110" s="21">
        <v>100</v>
      </c>
      <c r="BC110" s="21">
        <v>0.40304600000000002</v>
      </c>
      <c r="BD110">
        <f t="shared" si="22"/>
        <v>16.822345679012344</v>
      </c>
      <c r="BE110">
        <f t="shared" si="23"/>
        <v>6.7894146043209869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1.1413599999999999</v>
      </c>
      <c r="H111" s="21">
        <v>6.26349</v>
      </c>
      <c r="I111" s="21">
        <v>-1.29395E-2</v>
      </c>
      <c r="J111" s="21">
        <v>101</v>
      </c>
      <c r="K111" s="21">
        <v>1.1401399999999999</v>
      </c>
      <c r="L111">
        <f t="shared" si="12"/>
        <v>15.974691358024689</v>
      </c>
      <c r="M111">
        <f t="shared" si="13"/>
        <v>18.232873728395059</v>
      </c>
      <c r="N111" s="9"/>
      <c r="O111" s="21">
        <v>0.40862999999999999</v>
      </c>
      <c r="P111" s="21">
        <v>9.7805499999999999</v>
      </c>
      <c r="Q111" s="21">
        <v>-1.3604700000000001E-2</v>
      </c>
      <c r="R111" s="21">
        <v>101</v>
      </c>
      <c r="S111" s="21">
        <v>0.40808100000000003</v>
      </c>
      <c r="T111">
        <f t="shared" si="14"/>
        <v>16.795925925925925</v>
      </c>
      <c r="U111">
        <f t="shared" si="15"/>
        <v>6.8633192111111105</v>
      </c>
      <c r="X111" s="9"/>
      <c r="Y111" s="21">
        <v>1.1413599999999999</v>
      </c>
      <c r="Z111" s="21">
        <v>15.0227</v>
      </c>
      <c r="AA111" s="21">
        <v>-1.3073700000000001E-2</v>
      </c>
      <c r="AB111" s="21">
        <v>101</v>
      </c>
      <c r="AC111" s="21">
        <v>1.1404399999999999</v>
      </c>
      <c r="AD111">
        <f t="shared" si="16"/>
        <v>16.14037037037037</v>
      </c>
      <c r="AE111">
        <f t="shared" si="17"/>
        <v>18.421973125925923</v>
      </c>
      <c r="AF111" s="9"/>
      <c r="AG111" s="21">
        <v>0.40862999999999999</v>
      </c>
      <c r="AH111" s="21">
        <v>18.5398</v>
      </c>
      <c r="AI111" s="21">
        <v>-1.3671900000000001E-2</v>
      </c>
      <c r="AJ111" s="21">
        <v>101</v>
      </c>
      <c r="AK111" s="21">
        <v>0.40817300000000001</v>
      </c>
      <c r="AL111">
        <f t="shared" si="18"/>
        <v>16.878888888888888</v>
      </c>
      <c r="AM111">
        <f t="shared" si="19"/>
        <v>6.8972203666666658</v>
      </c>
      <c r="AP111" s="9"/>
      <c r="AQ111" s="21">
        <v>1.1413599999999999</v>
      </c>
      <c r="AR111" s="21">
        <v>23.780899999999999</v>
      </c>
      <c r="AS111" s="21">
        <v>-1.3030999999999999E-2</v>
      </c>
      <c r="AT111" s="21">
        <v>101</v>
      </c>
      <c r="AU111" s="21">
        <v>1.1401399999999999</v>
      </c>
      <c r="AV111">
        <f t="shared" si="20"/>
        <v>16.087654320987653</v>
      </c>
      <c r="AW111">
        <f t="shared" si="21"/>
        <v>18.361805135802467</v>
      </c>
      <c r="AX111" s="9"/>
      <c r="AY111" s="21">
        <v>0.40862999999999999</v>
      </c>
      <c r="AZ111" s="21">
        <v>27.298100000000002</v>
      </c>
      <c r="BA111" s="21">
        <v>-1.3616899999999999E-2</v>
      </c>
      <c r="BB111" s="21">
        <v>101</v>
      </c>
      <c r="BC111" s="21">
        <v>0.40795900000000002</v>
      </c>
      <c r="BD111">
        <f t="shared" si="22"/>
        <v>16.810987654320986</v>
      </c>
      <c r="BE111">
        <f t="shared" si="23"/>
        <v>6.869473885185184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1.13632</v>
      </c>
      <c r="H112" s="21">
        <v>6.2735700000000003</v>
      </c>
      <c r="I112" s="21">
        <v>-1.29517E-2</v>
      </c>
      <c r="J112" s="21">
        <v>102</v>
      </c>
      <c r="K112" s="21">
        <v>1.1358600000000001</v>
      </c>
      <c r="L112">
        <f t="shared" si="12"/>
        <v>15.989753086419752</v>
      </c>
      <c r="M112">
        <f t="shared" si="13"/>
        <v>18.169476227160491</v>
      </c>
      <c r="N112" s="9"/>
      <c r="O112" s="21">
        <v>0.41366599999999998</v>
      </c>
      <c r="P112" s="21">
        <v>9.7906200000000005</v>
      </c>
      <c r="Q112" s="21">
        <v>-1.3598600000000001E-2</v>
      </c>
      <c r="R112" s="21">
        <v>102</v>
      </c>
      <c r="S112" s="21">
        <v>0.41311599999999998</v>
      </c>
      <c r="T112">
        <f t="shared" si="14"/>
        <v>16.788395061728394</v>
      </c>
      <c r="U112">
        <f t="shared" si="15"/>
        <v>6.9447882316049379</v>
      </c>
      <c r="X112" s="9"/>
      <c r="Y112" s="21">
        <v>1.13632</v>
      </c>
      <c r="Z112" s="21">
        <v>15.0328</v>
      </c>
      <c r="AA112" s="21">
        <v>-1.3085899999999999E-2</v>
      </c>
      <c r="AB112" s="21">
        <v>102</v>
      </c>
      <c r="AC112" s="21">
        <v>1.1355599999999999</v>
      </c>
      <c r="AD112">
        <f t="shared" si="16"/>
        <v>16.155432098765431</v>
      </c>
      <c r="AE112">
        <f t="shared" si="17"/>
        <v>18.357740602469136</v>
      </c>
      <c r="AF112" s="9"/>
      <c r="AG112" s="21">
        <v>0.41366599999999998</v>
      </c>
      <c r="AH112" s="21">
        <v>18.549800000000001</v>
      </c>
      <c r="AI112" s="21">
        <v>-1.36627E-2</v>
      </c>
      <c r="AJ112" s="21">
        <v>102</v>
      </c>
      <c r="AK112" s="21">
        <v>0.41305500000000001</v>
      </c>
      <c r="AL112">
        <f t="shared" si="18"/>
        <v>16.86753086419753</v>
      </c>
      <c r="AM112">
        <f t="shared" si="19"/>
        <v>6.9775240224691348</v>
      </c>
      <c r="AP112" s="9"/>
      <c r="AQ112" s="21">
        <v>1.13632</v>
      </c>
      <c r="AR112" s="21">
        <v>23.791</v>
      </c>
      <c r="AS112" s="21">
        <v>-1.30341E-2</v>
      </c>
      <c r="AT112" s="21">
        <v>102</v>
      </c>
      <c r="AU112" s="21">
        <v>1.1355599999999999</v>
      </c>
      <c r="AV112">
        <f t="shared" si="20"/>
        <v>16.09148148148148</v>
      </c>
      <c r="AW112">
        <f t="shared" si="21"/>
        <v>18.285072237037035</v>
      </c>
      <c r="AX112" s="9"/>
      <c r="AY112" s="21">
        <v>0.41366599999999998</v>
      </c>
      <c r="AZ112" s="21">
        <v>27.3081</v>
      </c>
      <c r="BA112" s="21">
        <v>-1.36139E-2</v>
      </c>
      <c r="BB112" s="21">
        <v>102</v>
      </c>
      <c r="BC112" s="21">
        <v>0.41299400000000003</v>
      </c>
      <c r="BD112">
        <f t="shared" si="22"/>
        <v>16.807283950617283</v>
      </c>
      <c r="BE112">
        <f t="shared" si="23"/>
        <v>6.952601922716048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1.1312899999999999</v>
      </c>
      <c r="H113" s="21">
        <v>6.2836400000000001</v>
      </c>
      <c r="I113" s="21">
        <v>-1.29669E-2</v>
      </c>
      <c r="J113" s="21">
        <v>103</v>
      </c>
      <c r="K113" s="21">
        <v>1.1303700000000001</v>
      </c>
      <c r="L113">
        <f t="shared" si="12"/>
        <v>16.008518518518514</v>
      </c>
      <c r="M113">
        <f t="shared" si="13"/>
        <v>18.110276914814808</v>
      </c>
      <c r="N113" s="9"/>
      <c r="O113" s="21">
        <v>0.41870099999999999</v>
      </c>
      <c r="P113" s="21">
        <v>9.8006899999999995</v>
      </c>
      <c r="Q113" s="21">
        <v>-1.36078E-2</v>
      </c>
      <c r="R113" s="21">
        <v>103</v>
      </c>
      <c r="S113" s="21">
        <v>0.41803000000000001</v>
      </c>
      <c r="T113">
        <f t="shared" si="14"/>
        <v>16.799753086419752</v>
      </c>
      <c r="U113">
        <f t="shared" si="15"/>
        <v>7.0340734170370363</v>
      </c>
      <c r="X113" s="9"/>
      <c r="Y113" s="21">
        <v>1.1312899999999999</v>
      </c>
      <c r="Z113" s="21">
        <v>15.0428</v>
      </c>
      <c r="AA113" s="21">
        <v>-1.30981E-2</v>
      </c>
      <c r="AB113" s="21">
        <v>103</v>
      </c>
      <c r="AC113" s="21">
        <v>1.1300699999999999</v>
      </c>
      <c r="AD113">
        <f t="shared" si="16"/>
        <v>16.170493827160495</v>
      </c>
      <c r="AE113">
        <f t="shared" si="17"/>
        <v>18.293517961728394</v>
      </c>
      <c r="AF113" s="9"/>
      <c r="AG113" s="21">
        <v>0.41870099999999999</v>
      </c>
      <c r="AH113" s="21">
        <v>18.559899999999999</v>
      </c>
      <c r="AI113" s="21">
        <v>-1.36536E-2</v>
      </c>
      <c r="AJ113" s="21">
        <v>103</v>
      </c>
      <c r="AK113" s="21">
        <v>0.41815200000000002</v>
      </c>
      <c r="AL113">
        <f t="shared" si="18"/>
        <v>16.856296296296296</v>
      </c>
      <c r="AM113">
        <f t="shared" si="19"/>
        <v>7.0577481155555555</v>
      </c>
      <c r="AP113" s="9"/>
      <c r="AQ113" s="21">
        <v>1.1312899999999999</v>
      </c>
      <c r="AR113" s="21">
        <v>23.801100000000002</v>
      </c>
      <c r="AS113" s="21">
        <v>-1.3030999999999999E-2</v>
      </c>
      <c r="AT113" s="21">
        <v>103</v>
      </c>
      <c r="AU113" s="21">
        <v>1.1294599999999999</v>
      </c>
      <c r="AV113">
        <f t="shared" si="20"/>
        <v>16.087654320987653</v>
      </c>
      <c r="AW113">
        <f t="shared" si="21"/>
        <v>18.19980245679012</v>
      </c>
      <c r="AX113" s="9"/>
      <c r="AY113" s="21">
        <v>0.41870099999999999</v>
      </c>
      <c r="AZ113" s="21">
        <v>27.318200000000001</v>
      </c>
      <c r="BA113" s="21">
        <v>-1.3610799999999999E-2</v>
      </c>
      <c r="BB113" s="21">
        <v>103</v>
      </c>
      <c r="BC113" s="21">
        <v>0.41809099999999999</v>
      </c>
      <c r="BD113">
        <f t="shared" si="22"/>
        <v>16.803456790123455</v>
      </c>
      <c r="BE113">
        <f t="shared" si="23"/>
        <v>7.035624161481481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1.12625</v>
      </c>
      <c r="H114" s="21">
        <v>6.2937099999999999</v>
      </c>
      <c r="I114" s="21">
        <v>-1.2985200000000001E-2</v>
      </c>
      <c r="J114" s="21">
        <v>104</v>
      </c>
      <c r="K114" s="21">
        <v>1.1254900000000001</v>
      </c>
      <c r="L114">
        <f t="shared" si="12"/>
        <v>16.031111111111109</v>
      </c>
      <c r="M114">
        <f t="shared" si="13"/>
        <v>18.055038888888888</v>
      </c>
      <c r="N114" s="9"/>
      <c r="O114" s="21">
        <v>0.42373699999999997</v>
      </c>
      <c r="P114" s="21">
        <v>9.8107699999999998</v>
      </c>
      <c r="Q114" s="21">
        <v>-1.3616899999999999E-2</v>
      </c>
      <c r="R114" s="21">
        <v>104</v>
      </c>
      <c r="S114" s="21">
        <v>0.42315700000000001</v>
      </c>
      <c r="T114">
        <f t="shared" si="14"/>
        <v>16.810987654320986</v>
      </c>
      <c r="U114">
        <f t="shared" si="15"/>
        <v>7.1234374756790109</v>
      </c>
      <c r="X114" s="9"/>
      <c r="Y114" s="21">
        <v>1.12625</v>
      </c>
      <c r="Z114" s="21">
        <v>15.052899999999999</v>
      </c>
      <c r="AA114" s="21">
        <v>-1.31042E-2</v>
      </c>
      <c r="AB114" s="21">
        <v>104</v>
      </c>
      <c r="AC114" s="21">
        <v>1.1248800000000001</v>
      </c>
      <c r="AD114">
        <f t="shared" si="16"/>
        <v>16.178024691358022</v>
      </c>
      <c r="AE114">
        <f t="shared" si="17"/>
        <v>18.220500308641974</v>
      </c>
      <c r="AF114" s="9"/>
      <c r="AG114" s="21">
        <v>0.42373699999999997</v>
      </c>
      <c r="AH114" s="21">
        <v>18.57</v>
      </c>
      <c r="AI114" s="21">
        <v>-1.36536E-2</v>
      </c>
      <c r="AJ114" s="21">
        <v>104</v>
      </c>
      <c r="AK114" s="21">
        <v>0.42309600000000003</v>
      </c>
      <c r="AL114">
        <f t="shared" si="18"/>
        <v>16.856296296296296</v>
      </c>
      <c r="AM114">
        <f t="shared" si="19"/>
        <v>7.1426364237037037</v>
      </c>
      <c r="AP114" s="9"/>
      <c r="AQ114" s="21">
        <v>1.12625</v>
      </c>
      <c r="AR114" s="21">
        <v>23.8111</v>
      </c>
      <c r="AS114" s="21">
        <v>-1.3037099999999999E-2</v>
      </c>
      <c r="AT114" s="21">
        <v>104</v>
      </c>
      <c r="AU114" s="21">
        <v>1.1251800000000001</v>
      </c>
      <c r="AV114">
        <f t="shared" si="20"/>
        <v>16.095185185185183</v>
      </c>
      <c r="AW114">
        <f t="shared" si="21"/>
        <v>18.127202314814813</v>
      </c>
      <c r="AX114" s="9"/>
      <c r="AY114" s="21">
        <v>0.42373699999999997</v>
      </c>
      <c r="AZ114" s="21">
        <v>27.328299999999999</v>
      </c>
      <c r="BA114" s="21">
        <v>-1.3604700000000001E-2</v>
      </c>
      <c r="BB114" s="21">
        <v>104</v>
      </c>
      <c r="BC114" s="21">
        <v>0.42306500000000002</v>
      </c>
      <c r="BD114">
        <f t="shared" si="22"/>
        <v>16.795925925925925</v>
      </c>
      <c r="BE114">
        <f t="shared" si="23"/>
        <v>7.1170552640740734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1.1212200000000001</v>
      </c>
      <c r="H115" s="21">
        <v>6.3037799999999997</v>
      </c>
      <c r="I115" s="21">
        <v>-1.2997399999999999E-2</v>
      </c>
      <c r="J115" s="21">
        <v>105</v>
      </c>
      <c r="K115" s="21">
        <v>1.1209100000000001</v>
      </c>
      <c r="L115">
        <f t="shared" si="12"/>
        <v>16.04617283950617</v>
      </c>
      <c r="M115">
        <f t="shared" si="13"/>
        <v>17.99128991111111</v>
      </c>
      <c r="N115" s="9"/>
      <c r="O115" s="21">
        <v>0.42877199999999999</v>
      </c>
      <c r="P115" s="21">
        <v>9.8208400000000005</v>
      </c>
      <c r="Q115" s="21">
        <v>-1.36139E-2</v>
      </c>
      <c r="R115" s="21">
        <v>105</v>
      </c>
      <c r="S115" s="21">
        <v>0.42822300000000002</v>
      </c>
      <c r="T115">
        <f t="shared" si="14"/>
        <v>16.807283950617283</v>
      </c>
      <c r="U115">
        <f t="shared" si="15"/>
        <v>7.2064927540740733</v>
      </c>
      <c r="X115" s="9"/>
      <c r="Y115" s="21">
        <v>1.1212200000000001</v>
      </c>
      <c r="Z115" s="21">
        <v>15.063000000000001</v>
      </c>
      <c r="AA115" s="21">
        <v>-1.31042E-2</v>
      </c>
      <c r="AB115" s="21">
        <v>105</v>
      </c>
      <c r="AC115" s="21">
        <v>1.1203000000000001</v>
      </c>
      <c r="AD115">
        <f t="shared" si="16"/>
        <v>16.178024691358022</v>
      </c>
      <c r="AE115">
        <f t="shared" si="17"/>
        <v>18.139124844444442</v>
      </c>
      <c r="AF115" s="9"/>
      <c r="AG115" s="21">
        <v>0.42877199999999999</v>
      </c>
      <c r="AH115" s="21">
        <v>18.579999999999998</v>
      </c>
      <c r="AI115" s="21">
        <v>-1.36414E-2</v>
      </c>
      <c r="AJ115" s="21">
        <v>105</v>
      </c>
      <c r="AK115" s="21">
        <v>0.42819200000000002</v>
      </c>
      <c r="AL115">
        <f t="shared" si="18"/>
        <v>16.841234567901232</v>
      </c>
      <c r="AM115">
        <f t="shared" si="19"/>
        <v>7.2210498281481463</v>
      </c>
      <c r="AP115" s="9"/>
      <c r="AQ115" s="21">
        <v>1.1212200000000001</v>
      </c>
      <c r="AR115" s="21">
        <v>23.821200000000001</v>
      </c>
      <c r="AS115" s="21">
        <v>-1.30432E-2</v>
      </c>
      <c r="AT115" s="21">
        <v>105</v>
      </c>
      <c r="AU115" s="21">
        <v>1.1206100000000001</v>
      </c>
      <c r="AV115">
        <f t="shared" si="20"/>
        <v>16.102716049382714</v>
      </c>
      <c r="AW115">
        <f t="shared" si="21"/>
        <v>18.054687288888889</v>
      </c>
      <c r="AX115" s="9"/>
      <c r="AY115" s="21">
        <v>0.42877199999999999</v>
      </c>
      <c r="AZ115" s="21">
        <v>27.3383</v>
      </c>
      <c r="BA115" s="21">
        <v>-1.36017E-2</v>
      </c>
      <c r="BB115" s="21">
        <v>105</v>
      </c>
      <c r="BC115" s="21">
        <v>0.42810100000000001</v>
      </c>
      <c r="BD115">
        <f t="shared" si="22"/>
        <v>16.792222222222222</v>
      </c>
      <c r="BE115">
        <f t="shared" si="23"/>
        <v>7.2000347066666661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1.1161799999999999</v>
      </c>
      <c r="H116" s="21">
        <v>6.3138500000000004</v>
      </c>
      <c r="I116" s="21">
        <v>-1.30157E-2</v>
      </c>
      <c r="J116" s="21">
        <v>106</v>
      </c>
      <c r="K116" s="21">
        <v>1.1148100000000001</v>
      </c>
      <c r="L116">
        <f t="shared" si="12"/>
        <v>16.068765432098765</v>
      </c>
      <c r="M116">
        <f t="shared" si="13"/>
        <v>17.935634599999997</v>
      </c>
      <c r="N116" s="9"/>
      <c r="O116" s="21">
        <v>0.433807</v>
      </c>
      <c r="P116" s="21">
        <v>9.8309099999999994</v>
      </c>
      <c r="Q116" s="21">
        <v>-1.3604700000000001E-2</v>
      </c>
      <c r="R116" s="21">
        <v>106</v>
      </c>
      <c r="S116" s="21">
        <v>0.433228</v>
      </c>
      <c r="T116">
        <f t="shared" si="14"/>
        <v>16.795925925925925</v>
      </c>
      <c r="U116">
        <f t="shared" si="15"/>
        <v>7.2861902381481478</v>
      </c>
      <c r="X116" s="9"/>
      <c r="Y116" s="21">
        <v>1.1161799999999999</v>
      </c>
      <c r="Z116" s="21">
        <v>15.0731</v>
      </c>
      <c r="AA116" s="21">
        <v>-1.31012E-2</v>
      </c>
      <c r="AB116" s="21">
        <v>106</v>
      </c>
      <c r="AC116" s="21">
        <v>1.1154200000000001</v>
      </c>
      <c r="AD116">
        <f t="shared" si="16"/>
        <v>16.174320987654323</v>
      </c>
      <c r="AE116">
        <f t="shared" si="17"/>
        <v>18.053453600000001</v>
      </c>
      <c r="AF116" s="9"/>
      <c r="AG116" s="21">
        <v>0.433807</v>
      </c>
      <c r="AH116" s="21">
        <v>18.5901</v>
      </c>
      <c r="AI116" s="21">
        <v>-1.3629199999999999E-2</v>
      </c>
      <c r="AJ116" s="21">
        <v>106</v>
      </c>
      <c r="AK116" s="21">
        <v>0.43337999999999999</v>
      </c>
      <c r="AL116">
        <f t="shared" si="18"/>
        <v>16.826172839506171</v>
      </c>
      <c r="AM116">
        <f t="shared" si="19"/>
        <v>7.2993115609876531</v>
      </c>
      <c r="AP116" s="9"/>
      <c r="AQ116" s="21">
        <v>1.1161799999999999</v>
      </c>
      <c r="AR116" s="21">
        <v>23.831299999999999</v>
      </c>
      <c r="AS116" s="21">
        <v>-1.3058500000000001E-2</v>
      </c>
      <c r="AT116" s="21">
        <v>106</v>
      </c>
      <c r="AU116" s="21">
        <v>1.1154200000000001</v>
      </c>
      <c r="AV116">
        <f t="shared" si="20"/>
        <v>16.121604938271602</v>
      </c>
      <c r="AW116">
        <f t="shared" si="21"/>
        <v>17.994612999999998</v>
      </c>
      <c r="AX116" s="9"/>
      <c r="AY116" s="21">
        <v>0.433807</v>
      </c>
      <c r="AZ116" s="21">
        <v>27.348400000000002</v>
      </c>
      <c r="BA116" s="21">
        <v>-1.36078E-2</v>
      </c>
      <c r="BB116" s="21">
        <v>106</v>
      </c>
      <c r="BC116" s="21">
        <v>0.433228</v>
      </c>
      <c r="BD116">
        <f t="shared" si="22"/>
        <v>16.799753086419752</v>
      </c>
      <c r="BE116">
        <f t="shared" si="23"/>
        <v>7.287850487160493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1.1111500000000001</v>
      </c>
      <c r="H117" s="21">
        <v>6.3239200000000002</v>
      </c>
      <c r="I117" s="21">
        <v>-1.3028E-2</v>
      </c>
      <c r="J117" s="21">
        <v>107</v>
      </c>
      <c r="K117" s="21">
        <v>1.1102300000000001</v>
      </c>
      <c r="L117">
        <f t="shared" si="12"/>
        <v>16.08395061728395</v>
      </c>
      <c r="M117">
        <f t="shared" si="13"/>
        <v>17.871681728395064</v>
      </c>
      <c r="N117" s="9"/>
      <c r="O117" s="21">
        <v>0.43884299999999998</v>
      </c>
      <c r="P117" s="21">
        <v>9.8409800000000001</v>
      </c>
      <c r="Q117" s="21">
        <v>-1.36017E-2</v>
      </c>
      <c r="R117" s="21">
        <v>107</v>
      </c>
      <c r="S117" s="21">
        <v>0.43811</v>
      </c>
      <c r="T117">
        <f t="shared" si="14"/>
        <v>16.792222222222222</v>
      </c>
      <c r="U117">
        <f t="shared" si="15"/>
        <v>7.3691491766666664</v>
      </c>
      <c r="X117" s="9"/>
      <c r="Y117" s="21">
        <v>1.1111500000000001</v>
      </c>
      <c r="Z117" s="21">
        <v>15.0831</v>
      </c>
      <c r="AA117" s="21">
        <v>-1.3107300000000001E-2</v>
      </c>
      <c r="AB117" s="21">
        <v>107</v>
      </c>
      <c r="AC117" s="21">
        <v>1.11084</v>
      </c>
      <c r="AD117">
        <f t="shared" si="16"/>
        <v>16.181851851851849</v>
      </c>
      <c r="AE117">
        <f t="shared" si="17"/>
        <v>17.980464685185183</v>
      </c>
      <c r="AF117" s="9"/>
      <c r="AG117" s="21">
        <v>0.43884299999999998</v>
      </c>
      <c r="AH117" s="21">
        <v>18.600200000000001</v>
      </c>
      <c r="AI117" s="21">
        <v>-1.362E-2</v>
      </c>
      <c r="AJ117" s="21">
        <v>107</v>
      </c>
      <c r="AK117" s="21">
        <v>0.43823200000000001</v>
      </c>
      <c r="AL117">
        <f t="shared" si="18"/>
        <v>16.814814814814813</v>
      </c>
      <c r="AM117">
        <f t="shared" si="19"/>
        <v>7.3790637777777768</v>
      </c>
      <c r="AP117" s="9"/>
      <c r="AQ117" s="21">
        <v>1.1111500000000001</v>
      </c>
      <c r="AR117" s="21">
        <v>23.8413</v>
      </c>
      <c r="AS117" s="21">
        <v>-1.3064600000000001E-2</v>
      </c>
      <c r="AT117" s="21">
        <v>107</v>
      </c>
      <c r="AU117" s="21">
        <v>1.10992</v>
      </c>
      <c r="AV117">
        <f t="shared" si="20"/>
        <v>16.129135802469136</v>
      </c>
      <c r="AW117">
        <f t="shared" si="21"/>
        <v>17.921889246913583</v>
      </c>
      <c r="AX117" s="9"/>
      <c r="AY117" s="21">
        <v>0.43884299999999998</v>
      </c>
      <c r="AZ117" s="21">
        <v>27.358499999999999</v>
      </c>
      <c r="BA117" s="21">
        <v>-1.3610799999999999E-2</v>
      </c>
      <c r="BB117" s="21">
        <v>107</v>
      </c>
      <c r="BC117" s="21">
        <v>0.43820199999999998</v>
      </c>
      <c r="BD117">
        <f t="shared" si="22"/>
        <v>16.803456790123455</v>
      </c>
      <c r="BE117">
        <f t="shared" si="23"/>
        <v>7.3740793881481475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1.1061099999999999</v>
      </c>
      <c r="H118" s="21">
        <v>6.33399</v>
      </c>
      <c r="I118" s="21">
        <v>-1.30402E-2</v>
      </c>
      <c r="J118" s="21">
        <v>108</v>
      </c>
      <c r="K118" s="21">
        <v>1.10565</v>
      </c>
      <c r="L118">
        <f t="shared" si="12"/>
        <v>16.099012345679011</v>
      </c>
      <c r="M118">
        <f t="shared" si="13"/>
        <v>17.807278545679008</v>
      </c>
      <c r="N118" s="9"/>
      <c r="O118" s="21">
        <v>0.44387799999999999</v>
      </c>
      <c r="P118" s="21">
        <v>9.8510500000000008</v>
      </c>
      <c r="Q118" s="21">
        <v>-1.36017E-2</v>
      </c>
      <c r="R118" s="21">
        <v>108</v>
      </c>
      <c r="S118" s="21">
        <v>0.443359</v>
      </c>
      <c r="T118">
        <f t="shared" si="14"/>
        <v>16.792222222222222</v>
      </c>
      <c r="U118">
        <f t="shared" si="15"/>
        <v>7.4536980155555552</v>
      </c>
      <c r="X118" s="9"/>
      <c r="Y118" s="21">
        <v>1.1061099999999999</v>
      </c>
      <c r="Z118" s="21">
        <v>15.0932</v>
      </c>
      <c r="AA118" s="21">
        <v>-1.3113400000000001E-2</v>
      </c>
      <c r="AB118" s="21">
        <v>108</v>
      </c>
      <c r="AC118" s="21">
        <v>1.10504</v>
      </c>
      <c r="AD118">
        <f t="shared" si="16"/>
        <v>16.18938271604938</v>
      </c>
      <c r="AE118">
        <f t="shared" si="17"/>
        <v>17.907238116049378</v>
      </c>
      <c r="AF118" s="9"/>
      <c r="AG118" s="21">
        <v>0.44387799999999999</v>
      </c>
      <c r="AH118" s="21">
        <v>18.610299999999999</v>
      </c>
      <c r="AI118" s="21">
        <v>-1.36139E-2</v>
      </c>
      <c r="AJ118" s="21">
        <v>108</v>
      </c>
      <c r="AK118" s="21">
        <v>0.44329800000000003</v>
      </c>
      <c r="AL118">
        <f t="shared" si="18"/>
        <v>16.807283950617283</v>
      </c>
      <c r="AM118">
        <f t="shared" si="19"/>
        <v>7.4603835854320977</v>
      </c>
      <c r="AP118" s="9"/>
      <c r="AQ118" s="21">
        <v>1.1061099999999999</v>
      </c>
      <c r="AR118" s="21">
        <v>23.851400000000002</v>
      </c>
      <c r="AS118" s="21">
        <v>-1.3073700000000001E-2</v>
      </c>
      <c r="AT118" s="21">
        <v>108</v>
      </c>
      <c r="AU118" s="21">
        <v>1.10565</v>
      </c>
      <c r="AV118">
        <f t="shared" si="20"/>
        <v>16.14037037037037</v>
      </c>
      <c r="AW118">
        <f t="shared" si="21"/>
        <v>17.853025070370368</v>
      </c>
      <c r="AX118" s="9"/>
      <c r="AY118" s="21">
        <v>0.44387799999999999</v>
      </c>
      <c r="AZ118" s="21">
        <v>27.368600000000001</v>
      </c>
      <c r="BA118" s="21">
        <v>-1.3604700000000001E-2</v>
      </c>
      <c r="BB118" s="21">
        <v>108</v>
      </c>
      <c r="BC118" s="21">
        <v>0.44323699999999999</v>
      </c>
      <c r="BD118">
        <f t="shared" si="22"/>
        <v>16.795925925925925</v>
      </c>
      <c r="BE118">
        <f t="shared" si="23"/>
        <v>7.4553420081481478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1.10107</v>
      </c>
      <c r="H119" s="21">
        <v>6.3440599999999998</v>
      </c>
      <c r="I119" s="21">
        <v>-1.30432E-2</v>
      </c>
      <c r="J119" s="21">
        <v>109</v>
      </c>
      <c r="K119" s="21">
        <v>1.09985</v>
      </c>
      <c r="L119">
        <f t="shared" si="12"/>
        <v>16.102716049382714</v>
      </c>
      <c r="M119">
        <f t="shared" si="13"/>
        <v>17.730217560493823</v>
      </c>
      <c r="N119" s="9"/>
      <c r="O119" s="21">
        <v>0.44891399999999998</v>
      </c>
      <c r="P119" s="21">
        <v>9.8611199999999997</v>
      </c>
      <c r="Q119" s="21">
        <v>-1.3604700000000001E-2</v>
      </c>
      <c r="R119" s="21">
        <v>109</v>
      </c>
      <c r="S119" s="21">
        <v>0.44836399999999998</v>
      </c>
      <c r="T119">
        <f t="shared" si="14"/>
        <v>16.795925925925925</v>
      </c>
      <c r="U119">
        <f t="shared" si="15"/>
        <v>7.5399262911111107</v>
      </c>
      <c r="X119" s="9"/>
      <c r="Y119" s="21">
        <v>1.10107</v>
      </c>
      <c r="Z119" s="21">
        <v>15.103300000000001</v>
      </c>
      <c r="AA119" s="21">
        <v>-1.31226E-2</v>
      </c>
      <c r="AB119" s="21">
        <v>109</v>
      </c>
      <c r="AC119" s="21">
        <v>1.09985</v>
      </c>
      <c r="AD119">
        <f t="shared" si="16"/>
        <v>16.200740740740741</v>
      </c>
      <c r="AE119">
        <f t="shared" si="17"/>
        <v>17.838149607407409</v>
      </c>
      <c r="AF119" s="9"/>
      <c r="AG119" s="21">
        <v>0.44891399999999998</v>
      </c>
      <c r="AH119" s="21">
        <v>18.6203</v>
      </c>
      <c r="AI119" s="21">
        <v>-1.36139E-2</v>
      </c>
      <c r="AJ119" s="21">
        <v>109</v>
      </c>
      <c r="AK119" s="21">
        <v>0.44830300000000001</v>
      </c>
      <c r="AL119">
        <f t="shared" si="18"/>
        <v>16.807283950617283</v>
      </c>
      <c r="AM119">
        <f t="shared" si="19"/>
        <v>7.5450250674074066</v>
      </c>
      <c r="AP119" s="9"/>
      <c r="AQ119" s="21">
        <v>1.10107</v>
      </c>
      <c r="AR119" s="21">
        <v>23.861499999999999</v>
      </c>
      <c r="AS119" s="21">
        <v>-1.3089E-2</v>
      </c>
      <c r="AT119" s="21">
        <v>109</v>
      </c>
      <c r="AU119" s="21">
        <v>1.10016</v>
      </c>
      <c r="AV119">
        <f t="shared" si="20"/>
        <v>16.159259259259258</v>
      </c>
      <c r="AW119">
        <f t="shared" si="21"/>
        <v>17.792475592592591</v>
      </c>
      <c r="AX119" s="9"/>
      <c r="AY119" s="21">
        <v>0.44891399999999998</v>
      </c>
      <c r="AZ119" s="21">
        <v>27.378599999999999</v>
      </c>
      <c r="BA119" s="21">
        <v>-1.36017E-2</v>
      </c>
      <c r="BB119" s="21">
        <v>109</v>
      </c>
      <c r="BC119" s="21">
        <v>0.44827299999999998</v>
      </c>
      <c r="BD119">
        <f t="shared" si="22"/>
        <v>16.792222222222222</v>
      </c>
      <c r="BE119">
        <f t="shared" si="23"/>
        <v>7.5382636466666657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1.0960399999999999</v>
      </c>
      <c r="H120" s="21">
        <v>6.3541299999999996</v>
      </c>
      <c r="I120" s="21">
        <v>-1.3058500000000001E-2</v>
      </c>
      <c r="J120" s="21">
        <v>110</v>
      </c>
      <c r="K120" s="21">
        <v>1.09528</v>
      </c>
      <c r="L120">
        <f t="shared" si="12"/>
        <v>16.121604938271602</v>
      </c>
      <c r="M120">
        <f t="shared" si="13"/>
        <v>17.669923876543205</v>
      </c>
      <c r="N120" s="9"/>
      <c r="O120" s="21">
        <v>0.45394899999999999</v>
      </c>
      <c r="P120" s="21">
        <v>9.8711900000000004</v>
      </c>
      <c r="Q120" s="21">
        <v>-1.3604700000000001E-2</v>
      </c>
      <c r="R120" s="21">
        <v>110</v>
      </c>
      <c r="S120" s="21">
        <v>0.45333899999999999</v>
      </c>
      <c r="T120">
        <f t="shared" si="14"/>
        <v>16.795925925925925</v>
      </c>
      <c r="U120">
        <f t="shared" si="15"/>
        <v>7.6244937781481479</v>
      </c>
      <c r="X120" s="9"/>
      <c r="Y120" s="21">
        <v>1.0960399999999999</v>
      </c>
      <c r="Z120" s="21">
        <v>15.113300000000001</v>
      </c>
      <c r="AA120" s="21">
        <v>-1.31409E-2</v>
      </c>
      <c r="AB120" s="21">
        <v>110</v>
      </c>
      <c r="AC120" s="21">
        <v>1.09528</v>
      </c>
      <c r="AD120">
        <f t="shared" si="16"/>
        <v>16.223333333333333</v>
      </c>
      <c r="AE120">
        <f t="shared" si="17"/>
        <v>17.781422266666663</v>
      </c>
      <c r="AF120" s="9"/>
      <c r="AG120" s="21">
        <v>0.45394899999999999</v>
      </c>
      <c r="AH120" s="21">
        <v>18.630400000000002</v>
      </c>
      <c r="AI120" s="21">
        <v>-1.3616899999999999E-2</v>
      </c>
      <c r="AJ120" s="21">
        <v>110</v>
      </c>
      <c r="AK120" s="21">
        <v>0.45333899999999999</v>
      </c>
      <c r="AL120">
        <f t="shared" si="18"/>
        <v>16.810987654320986</v>
      </c>
      <c r="AM120">
        <f t="shared" si="19"/>
        <v>7.6313310346913568</v>
      </c>
      <c r="AP120" s="9"/>
      <c r="AQ120" s="21">
        <v>1.0960399999999999</v>
      </c>
      <c r="AR120" s="21">
        <v>23.871600000000001</v>
      </c>
      <c r="AS120" s="21">
        <v>-1.30951E-2</v>
      </c>
      <c r="AT120" s="21">
        <v>110</v>
      </c>
      <c r="AU120" s="21">
        <v>1.09497</v>
      </c>
      <c r="AV120">
        <f t="shared" si="20"/>
        <v>16.166790123456789</v>
      </c>
      <c r="AW120">
        <f t="shared" si="21"/>
        <v>17.719448646913577</v>
      </c>
      <c r="AX120" s="9"/>
      <c r="AY120" s="21">
        <v>0.45394899999999999</v>
      </c>
      <c r="AZ120" s="21">
        <v>27.3887</v>
      </c>
      <c r="BA120" s="21">
        <v>-1.3598600000000001E-2</v>
      </c>
      <c r="BB120" s="21">
        <v>110</v>
      </c>
      <c r="BC120" s="21">
        <v>0.45333899999999999</v>
      </c>
      <c r="BD120">
        <f t="shared" si="22"/>
        <v>16.788395061728394</v>
      </c>
      <c r="BE120">
        <f t="shared" si="23"/>
        <v>7.6210751498765426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1.091</v>
      </c>
      <c r="H121" s="21">
        <v>6.3642000000000003</v>
      </c>
      <c r="I121" s="21">
        <v>-1.3070699999999999E-2</v>
      </c>
      <c r="J121" s="21">
        <v>111</v>
      </c>
      <c r="K121" s="21">
        <v>1.08948</v>
      </c>
      <c r="L121">
        <f t="shared" si="12"/>
        <v>16.136666666666663</v>
      </c>
      <c r="M121">
        <f t="shared" si="13"/>
        <v>17.605103333333329</v>
      </c>
      <c r="N121" s="9"/>
      <c r="O121" s="21">
        <v>0.458984</v>
      </c>
      <c r="P121" s="21">
        <v>9.8812599999999993</v>
      </c>
      <c r="Q121" s="21">
        <v>-1.36017E-2</v>
      </c>
      <c r="R121" s="21">
        <v>111</v>
      </c>
      <c r="S121" s="21">
        <v>0.45840500000000001</v>
      </c>
      <c r="T121">
        <f t="shared" si="14"/>
        <v>16.792222222222222</v>
      </c>
      <c r="U121">
        <f t="shared" si="15"/>
        <v>7.7073613244444443</v>
      </c>
      <c r="X121" s="9"/>
      <c r="Y121" s="21">
        <v>1.091</v>
      </c>
      <c r="Z121" s="21">
        <v>15.1234</v>
      </c>
      <c r="AA121" s="21">
        <v>-1.3159199999999999E-2</v>
      </c>
      <c r="AB121" s="21">
        <v>111</v>
      </c>
      <c r="AC121" s="21">
        <v>1.09009</v>
      </c>
      <c r="AD121">
        <f t="shared" si="16"/>
        <v>16.245925925925924</v>
      </c>
      <c r="AE121">
        <f t="shared" si="17"/>
        <v>17.724305185185184</v>
      </c>
      <c r="AF121" s="9"/>
      <c r="AG121" s="21">
        <v>0.458984</v>
      </c>
      <c r="AH121" s="21">
        <v>18.640499999999999</v>
      </c>
      <c r="AI121" s="21">
        <v>-1.3629199999999999E-2</v>
      </c>
      <c r="AJ121" s="21">
        <v>111</v>
      </c>
      <c r="AK121" s="21">
        <v>0.45840500000000001</v>
      </c>
      <c r="AL121">
        <f t="shared" si="18"/>
        <v>16.826172839506171</v>
      </c>
      <c r="AM121">
        <f t="shared" si="19"/>
        <v>7.7229441145679001</v>
      </c>
      <c r="AP121" s="9"/>
      <c r="AQ121" s="21">
        <v>1.091</v>
      </c>
      <c r="AR121" s="21">
        <v>23.881599999999999</v>
      </c>
      <c r="AS121" s="21">
        <v>-1.30981E-2</v>
      </c>
      <c r="AT121" s="21">
        <v>111</v>
      </c>
      <c r="AU121" s="21">
        <v>1.0907</v>
      </c>
      <c r="AV121">
        <f t="shared" si="20"/>
        <v>16.170493827160495</v>
      </c>
      <c r="AW121">
        <f t="shared" si="21"/>
        <v>17.642008765432099</v>
      </c>
      <c r="AX121" s="9"/>
      <c r="AY121" s="21">
        <v>0.458984</v>
      </c>
      <c r="AZ121" s="21">
        <v>27.398800000000001</v>
      </c>
      <c r="BA121" s="21">
        <v>-1.3595599999999999E-2</v>
      </c>
      <c r="BB121" s="21">
        <v>111</v>
      </c>
      <c r="BC121" s="21">
        <v>0.45831300000000003</v>
      </c>
      <c r="BD121">
        <f t="shared" si="22"/>
        <v>16.784691358024691</v>
      </c>
      <c r="BE121">
        <f t="shared" si="23"/>
        <v>7.703904778271605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1.0859700000000001</v>
      </c>
      <c r="H122" s="21">
        <v>6.3742799999999997</v>
      </c>
      <c r="I122" s="21">
        <v>-1.30829E-2</v>
      </c>
      <c r="J122" s="21">
        <v>112</v>
      </c>
      <c r="K122" s="21">
        <v>1.08551</v>
      </c>
      <c r="L122">
        <f t="shared" si="12"/>
        <v>16.151728395061728</v>
      </c>
      <c r="M122">
        <f t="shared" si="13"/>
        <v>17.540292485185187</v>
      </c>
      <c r="N122" s="9"/>
      <c r="O122" s="21">
        <v>0.46401999999999999</v>
      </c>
      <c r="P122" s="21">
        <v>9.89133</v>
      </c>
      <c r="Q122" s="21">
        <v>-1.3595599999999999E-2</v>
      </c>
      <c r="R122" s="21">
        <v>112</v>
      </c>
      <c r="S122" s="21">
        <v>0.46340900000000002</v>
      </c>
      <c r="T122">
        <f t="shared" si="14"/>
        <v>16.784691358024691</v>
      </c>
      <c r="U122">
        <f t="shared" si="15"/>
        <v>7.7884324839506167</v>
      </c>
      <c r="X122" s="9"/>
      <c r="Y122" s="21">
        <v>1.0859700000000001</v>
      </c>
      <c r="Z122" s="21">
        <v>15.1335</v>
      </c>
      <c r="AA122" s="21">
        <v>-1.31653E-2</v>
      </c>
      <c r="AB122" s="21">
        <v>112</v>
      </c>
      <c r="AC122" s="21">
        <v>1.08551</v>
      </c>
      <c r="AD122">
        <f t="shared" si="16"/>
        <v>16.253456790123455</v>
      </c>
      <c r="AE122">
        <f t="shared" si="17"/>
        <v>17.650766470370371</v>
      </c>
      <c r="AF122" s="9"/>
      <c r="AG122" s="21">
        <v>0.46401999999999999</v>
      </c>
      <c r="AH122" s="21">
        <v>18.650500000000001</v>
      </c>
      <c r="AI122" s="21">
        <v>-1.3638300000000001E-2</v>
      </c>
      <c r="AJ122" s="21">
        <v>112</v>
      </c>
      <c r="AK122" s="21">
        <v>0.46340900000000002</v>
      </c>
      <c r="AL122">
        <f t="shared" si="18"/>
        <v>16.837407407407408</v>
      </c>
      <c r="AM122">
        <f t="shared" si="19"/>
        <v>7.8128937851851852</v>
      </c>
      <c r="AP122" s="9"/>
      <c r="AQ122" s="21">
        <v>1.0859700000000001</v>
      </c>
      <c r="AR122" s="21">
        <v>23.8917</v>
      </c>
      <c r="AS122" s="21">
        <v>-1.3110399999999999E-2</v>
      </c>
      <c r="AT122" s="21">
        <v>112</v>
      </c>
      <c r="AU122" s="21">
        <v>1.0839799999999999</v>
      </c>
      <c r="AV122">
        <f t="shared" si="20"/>
        <v>16.185679012345677</v>
      </c>
      <c r="AW122">
        <f t="shared" si="21"/>
        <v>17.577161837037035</v>
      </c>
      <c r="AX122" s="9"/>
      <c r="AY122" s="21">
        <v>0.46401999999999999</v>
      </c>
      <c r="AZ122" s="21">
        <v>27.408799999999999</v>
      </c>
      <c r="BA122" s="21">
        <v>-1.36017E-2</v>
      </c>
      <c r="BB122" s="21">
        <v>112</v>
      </c>
      <c r="BC122" s="21">
        <v>0.46331800000000001</v>
      </c>
      <c r="BD122">
        <f t="shared" si="22"/>
        <v>16.792222222222222</v>
      </c>
      <c r="BE122">
        <f t="shared" si="23"/>
        <v>7.7919269555555548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1.0809299999999999</v>
      </c>
      <c r="H123" s="21">
        <v>6.3843500000000004</v>
      </c>
      <c r="I123" s="21">
        <v>-1.3091999999999999E-2</v>
      </c>
      <c r="J123" s="21">
        <v>113</v>
      </c>
      <c r="K123" s="21">
        <v>1.0790999999999999</v>
      </c>
      <c r="L123">
        <f t="shared" si="12"/>
        <v>16.162962962962961</v>
      </c>
      <c r="M123">
        <f t="shared" si="13"/>
        <v>17.471031555555552</v>
      </c>
      <c r="N123" s="9"/>
      <c r="O123" s="21">
        <v>0.469055</v>
      </c>
      <c r="P123" s="21">
        <v>9.9014000000000006</v>
      </c>
      <c r="Q123" s="21">
        <v>-1.3583400000000001E-2</v>
      </c>
      <c r="R123" s="21">
        <v>113</v>
      </c>
      <c r="S123" s="21">
        <v>0.46838400000000002</v>
      </c>
      <c r="T123">
        <f t="shared" si="14"/>
        <v>16.76962962962963</v>
      </c>
      <c r="U123">
        <f t="shared" si="15"/>
        <v>7.8658786259259266</v>
      </c>
      <c r="X123" s="9"/>
      <c r="Y123" s="21">
        <v>1.0809299999999999</v>
      </c>
      <c r="Z123" s="21">
        <v>15.143599999999999</v>
      </c>
      <c r="AA123" s="21">
        <v>-1.31653E-2</v>
      </c>
      <c r="AB123" s="21">
        <v>113</v>
      </c>
      <c r="AC123" s="21">
        <v>1.0790999999999999</v>
      </c>
      <c r="AD123">
        <f t="shared" si="16"/>
        <v>16.253456790123455</v>
      </c>
      <c r="AE123">
        <f t="shared" si="17"/>
        <v>17.568849048148145</v>
      </c>
      <c r="AF123" s="9"/>
      <c r="AG123" s="21">
        <v>0.469055</v>
      </c>
      <c r="AH123" s="21">
        <v>18.660599999999999</v>
      </c>
      <c r="AI123" s="21">
        <v>-1.3632200000000001E-2</v>
      </c>
      <c r="AJ123" s="21">
        <v>113</v>
      </c>
      <c r="AK123" s="21">
        <v>0.468414</v>
      </c>
      <c r="AL123">
        <f t="shared" si="18"/>
        <v>16.829876543209878</v>
      </c>
      <c r="AM123">
        <f t="shared" si="19"/>
        <v>7.8941377419753094</v>
      </c>
      <c r="AP123" s="9"/>
      <c r="AQ123" s="21">
        <v>1.0809299999999999</v>
      </c>
      <c r="AR123" s="21">
        <v>23.901800000000001</v>
      </c>
      <c r="AS123" s="21">
        <v>-1.3119499999999999E-2</v>
      </c>
      <c r="AT123" s="21">
        <v>113</v>
      </c>
      <c r="AU123" s="21">
        <v>1.08002</v>
      </c>
      <c r="AV123">
        <f t="shared" si="20"/>
        <v>16.19691358024691</v>
      </c>
      <c r="AW123">
        <f t="shared" si="21"/>
        <v>17.507729796296292</v>
      </c>
      <c r="AX123" s="9"/>
      <c r="AY123" s="21">
        <v>0.469055</v>
      </c>
      <c r="AZ123" s="21">
        <v>27.418900000000001</v>
      </c>
      <c r="BA123" s="21">
        <v>-1.36017E-2</v>
      </c>
      <c r="BB123" s="21">
        <v>113</v>
      </c>
      <c r="BC123" s="21">
        <v>0.46847499999999997</v>
      </c>
      <c r="BD123">
        <f t="shared" si="22"/>
        <v>16.792222222222222</v>
      </c>
      <c r="BE123">
        <f t="shared" si="23"/>
        <v>7.8764757944444446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1.0759000000000001</v>
      </c>
      <c r="H124" s="21">
        <v>6.3944200000000002</v>
      </c>
      <c r="I124" s="21">
        <v>-1.30981E-2</v>
      </c>
      <c r="J124" s="21">
        <v>114</v>
      </c>
      <c r="K124" s="21">
        <v>1.0745199999999999</v>
      </c>
      <c r="L124">
        <f t="shared" si="12"/>
        <v>16.170493827160495</v>
      </c>
      <c r="M124">
        <f t="shared" si="13"/>
        <v>17.397834308641979</v>
      </c>
      <c r="N124" s="9"/>
      <c r="O124" s="21">
        <v>0.47409099999999998</v>
      </c>
      <c r="P124" s="21">
        <v>9.9114799999999992</v>
      </c>
      <c r="Q124" s="21">
        <v>-1.35712E-2</v>
      </c>
      <c r="R124" s="21">
        <v>114</v>
      </c>
      <c r="S124" s="21">
        <v>0.47329700000000002</v>
      </c>
      <c r="T124">
        <f t="shared" si="14"/>
        <v>16.754567901234566</v>
      </c>
      <c r="U124">
        <f t="shared" si="15"/>
        <v>7.9431898508641963</v>
      </c>
      <c r="X124" s="9"/>
      <c r="Y124" s="21">
        <v>1.0759000000000001</v>
      </c>
      <c r="Z124" s="21">
        <v>15.153600000000001</v>
      </c>
      <c r="AA124" s="21">
        <v>-1.3159199999999999E-2</v>
      </c>
      <c r="AB124" s="21">
        <v>114</v>
      </c>
      <c r="AC124" s="21">
        <v>1.0751299999999999</v>
      </c>
      <c r="AD124">
        <f t="shared" si="16"/>
        <v>16.245925925925924</v>
      </c>
      <c r="AE124">
        <f t="shared" si="17"/>
        <v>17.478991703703702</v>
      </c>
      <c r="AF124" s="9"/>
      <c r="AG124" s="21">
        <v>0.47409099999999998</v>
      </c>
      <c r="AH124" s="21">
        <v>18.6707</v>
      </c>
      <c r="AI124" s="21">
        <v>-1.3629199999999999E-2</v>
      </c>
      <c r="AJ124" s="21">
        <v>114</v>
      </c>
      <c r="AK124" s="21">
        <v>0.47348000000000001</v>
      </c>
      <c r="AL124">
        <f t="shared" si="18"/>
        <v>16.826172839506171</v>
      </c>
      <c r="AM124">
        <f t="shared" si="19"/>
        <v>7.97713710765432</v>
      </c>
      <c r="AP124" s="9"/>
      <c r="AQ124" s="21">
        <v>1.0759000000000001</v>
      </c>
      <c r="AR124" s="21">
        <v>23.911799999999999</v>
      </c>
      <c r="AS124" s="21">
        <v>-1.31287E-2</v>
      </c>
      <c r="AT124" s="21">
        <v>114</v>
      </c>
      <c r="AU124" s="21">
        <v>1.07483</v>
      </c>
      <c r="AV124">
        <f t="shared" si="20"/>
        <v>16.208271604938268</v>
      </c>
      <c r="AW124">
        <f t="shared" si="21"/>
        <v>17.438479419753083</v>
      </c>
      <c r="AX124" s="9"/>
      <c r="AY124" s="21">
        <v>0.47409099999999998</v>
      </c>
      <c r="AZ124" s="21">
        <v>27.428999999999998</v>
      </c>
      <c r="BA124" s="21">
        <v>-1.36078E-2</v>
      </c>
      <c r="BB124" s="21">
        <v>114</v>
      </c>
      <c r="BC124" s="21">
        <v>0.47348000000000001</v>
      </c>
      <c r="BD124">
        <f t="shared" si="22"/>
        <v>16.799753086419752</v>
      </c>
      <c r="BE124">
        <f t="shared" si="23"/>
        <v>7.9646117404938268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1.0708599999999999</v>
      </c>
      <c r="H125" s="21">
        <v>6.40449</v>
      </c>
      <c r="I125" s="21">
        <v>-1.31012E-2</v>
      </c>
      <c r="J125" s="21">
        <v>115</v>
      </c>
      <c r="K125" s="21">
        <v>1.0702499999999999</v>
      </c>
      <c r="L125">
        <f t="shared" si="12"/>
        <v>16.174320987654323</v>
      </c>
      <c r="M125">
        <f t="shared" si="13"/>
        <v>17.320433372839506</v>
      </c>
      <c r="N125" s="9"/>
      <c r="O125" s="21">
        <v>0.479126</v>
      </c>
      <c r="P125" s="21">
        <v>9.9215499999999999</v>
      </c>
      <c r="Q125" s="21">
        <v>-1.35712E-2</v>
      </c>
      <c r="R125" s="21">
        <v>115</v>
      </c>
      <c r="S125" s="21">
        <v>0.47848499999999999</v>
      </c>
      <c r="T125">
        <f t="shared" si="14"/>
        <v>16.754567901234566</v>
      </c>
      <c r="U125">
        <f t="shared" si="15"/>
        <v>8.0275491002469117</v>
      </c>
      <c r="X125" s="9"/>
      <c r="Y125" s="21">
        <v>1.0708599999999999</v>
      </c>
      <c r="Z125" s="21">
        <v>15.1637</v>
      </c>
      <c r="AA125" s="21">
        <v>-1.31561E-2</v>
      </c>
      <c r="AB125" s="21">
        <v>115</v>
      </c>
      <c r="AC125" s="21">
        <v>1.06995</v>
      </c>
      <c r="AD125">
        <f t="shared" si="16"/>
        <v>16.2420987654321</v>
      </c>
      <c r="AE125">
        <f t="shared" si="17"/>
        <v>17.393013883950619</v>
      </c>
      <c r="AF125" s="9"/>
      <c r="AG125" s="21">
        <v>0.479126</v>
      </c>
      <c r="AH125" s="21">
        <v>18.680800000000001</v>
      </c>
      <c r="AI125" s="21">
        <v>-1.3629199999999999E-2</v>
      </c>
      <c r="AJ125" s="21">
        <v>115</v>
      </c>
      <c r="AK125" s="21">
        <v>0.47845500000000002</v>
      </c>
      <c r="AL125">
        <f t="shared" si="18"/>
        <v>16.826172839506171</v>
      </c>
      <c r="AM125">
        <f t="shared" si="19"/>
        <v>8.061856887901234</v>
      </c>
      <c r="AP125" s="9"/>
      <c r="AQ125" s="21">
        <v>1.0708599999999999</v>
      </c>
      <c r="AR125" s="21">
        <v>23.921900000000001</v>
      </c>
      <c r="AS125" s="21">
        <v>-1.31226E-2</v>
      </c>
      <c r="AT125" s="21">
        <v>115</v>
      </c>
      <c r="AU125" s="21">
        <v>1.0696399999999999</v>
      </c>
      <c r="AV125">
        <f t="shared" si="20"/>
        <v>16.200740740740741</v>
      </c>
      <c r="AW125">
        <f t="shared" si="21"/>
        <v>17.348725229629629</v>
      </c>
      <c r="AX125" s="9"/>
      <c r="AY125" s="21">
        <v>0.479126</v>
      </c>
      <c r="AZ125" s="21">
        <v>27.4391</v>
      </c>
      <c r="BA125" s="21">
        <v>-1.36139E-2</v>
      </c>
      <c r="BB125" s="21">
        <v>115</v>
      </c>
      <c r="BC125" s="21">
        <v>0.47845500000000002</v>
      </c>
      <c r="BD125">
        <f t="shared" si="22"/>
        <v>16.807283950617283</v>
      </c>
      <c r="BE125">
        <f t="shared" si="23"/>
        <v>8.0528067301234554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1.0658300000000001</v>
      </c>
      <c r="H126" s="21">
        <v>6.4145599999999998</v>
      </c>
      <c r="I126" s="21">
        <v>-1.3113400000000001E-2</v>
      </c>
      <c r="J126" s="21">
        <v>116</v>
      </c>
      <c r="K126" s="21">
        <v>1.0647599999999999</v>
      </c>
      <c r="L126">
        <f t="shared" si="12"/>
        <v>16.18938271604938</v>
      </c>
      <c r="M126">
        <f t="shared" si="13"/>
        <v>17.255129780246911</v>
      </c>
      <c r="N126" s="9"/>
      <c r="O126" s="21">
        <v>0.48416100000000001</v>
      </c>
      <c r="P126" s="21">
        <v>9.9316200000000006</v>
      </c>
      <c r="Q126" s="21">
        <v>-1.35773E-2</v>
      </c>
      <c r="R126" s="21">
        <v>116</v>
      </c>
      <c r="S126" s="21">
        <v>0.483429</v>
      </c>
      <c r="T126">
        <f t="shared" si="14"/>
        <v>16.7620987654321</v>
      </c>
      <c r="U126">
        <f t="shared" si="15"/>
        <v>8.1155545003703704</v>
      </c>
      <c r="X126" s="9"/>
      <c r="Y126" s="21">
        <v>1.0658300000000001</v>
      </c>
      <c r="Z126" s="21">
        <v>15.1738</v>
      </c>
      <c r="AA126" s="21">
        <v>-1.3147000000000001E-2</v>
      </c>
      <c r="AB126" s="21">
        <v>116</v>
      </c>
      <c r="AC126" s="21">
        <v>1.0653699999999999</v>
      </c>
      <c r="AD126">
        <f t="shared" si="16"/>
        <v>16.230864197530863</v>
      </c>
      <c r="AE126">
        <f t="shared" si="17"/>
        <v>17.299341987654319</v>
      </c>
      <c r="AF126" s="9"/>
      <c r="AG126" s="21">
        <v>0.48416100000000001</v>
      </c>
      <c r="AH126" s="21">
        <v>18.690799999999999</v>
      </c>
      <c r="AI126" s="21">
        <v>-1.36261E-2</v>
      </c>
      <c r="AJ126" s="21">
        <v>116</v>
      </c>
      <c r="AK126" s="21">
        <v>0.48345900000000003</v>
      </c>
      <c r="AL126">
        <f t="shared" si="18"/>
        <v>16.822345679012344</v>
      </c>
      <c r="AM126">
        <f t="shared" si="19"/>
        <v>8.1447237062962952</v>
      </c>
      <c r="AP126" s="9"/>
      <c r="AQ126" s="21">
        <v>1.0658300000000001</v>
      </c>
      <c r="AR126" s="21">
        <v>23.931999999999999</v>
      </c>
      <c r="AS126" s="21">
        <v>-1.31287E-2</v>
      </c>
      <c r="AT126" s="21">
        <v>116</v>
      </c>
      <c r="AU126" s="21">
        <v>1.0650599999999999</v>
      </c>
      <c r="AV126">
        <f t="shared" si="20"/>
        <v>16.208271604938268</v>
      </c>
      <c r="AW126">
        <f t="shared" si="21"/>
        <v>17.275262124691356</v>
      </c>
      <c r="AX126" s="9"/>
      <c r="AY126" s="21">
        <v>0.48416100000000001</v>
      </c>
      <c r="AZ126" s="21">
        <v>27.449100000000001</v>
      </c>
      <c r="BA126" s="21">
        <v>-1.36139E-2</v>
      </c>
      <c r="BB126" s="21">
        <v>116</v>
      </c>
      <c r="BC126" s="21">
        <v>0.48348999999999998</v>
      </c>
      <c r="BD126">
        <f t="shared" si="22"/>
        <v>16.807283950617283</v>
      </c>
      <c r="BE126">
        <f t="shared" si="23"/>
        <v>8.137431404814814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1.0607899999999999</v>
      </c>
      <c r="H127" s="21">
        <v>6.4246299999999996</v>
      </c>
      <c r="I127" s="21">
        <v>-1.3119499999999999E-2</v>
      </c>
      <c r="J127" s="21">
        <v>117</v>
      </c>
      <c r="K127" s="21">
        <v>1.0592699999999999</v>
      </c>
      <c r="L127">
        <f t="shared" si="12"/>
        <v>16.19691358024691</v>
      </c>
      <c r="M127">
        <f t="shared" si="13"/>
        <v>17.181523956790119</v>
      </c>
      <c r="N127" s="9"/>
      <c r="O127" s="21">
        <v>0.48919699999999999</v>
      </c>
      <c r="P127" s="21">
        <v>9.9416899999999995</v>
      </c>
      <c r="Q127" s="21">
        <v>-1.35712E-2</v>
      </c>
      <c r="R127" s="21">
        <v>117</v>
      </c>
      <c r="S127" s="21">
        <v>0.48861700000000002</v>
      </c>
      <c r="T127">
        <f t="shared" si="14"/>
        <v>16.754567901234566</v>
      </c>
      <c r="U127">
        <f t="shared" si="15"/>
        <v>8.1962843535802463</v>
      </c>
      <c r="X127" s="9"/>
      <c r="Y127" s="21">
        <v>1.0607899999999999</v>
      </c>
      <c r="Z127" s="21">
        <v>15.1838</v>
      </c>
      <c r="AA127" s="21">
        <v>-1.31409E-2</v>
      </c>
      <c r="AB127" s="21">
        <v>117</v>
      </c>
      <c r="AC127" s="21">
        <v>1.0598799999999999</v>
      </c>
      <c r="AD127">
        <f t="shared" si="16"/>
        <v>16.223333333333333</v>
      </c>
      <c r="AE127">
        <f t="shared" si="17"/>
        <v>17.209549766666665</v>
      </c>
      <c r="AF127" s="9"/>
      <c r="AG127" s="21">
        <v>0.48919699999999999</v>
      </c>
      <c r="AH127" s="21">
        <v>18.700900000000001</v>
      </c>
      <c r="AI127" s="21">
        <v>-1.3623E-2</v>
      </c>
      <c r="AJ127" s="21">
        <v>117</v>
      </c>
      <c r="AK127" s="21">
        <v>0.48849500000000001</v>
      </c>
      <c r="AL127">
        <f t="shared" si="18"/>
        <v>16.818518518518516</v>
      </c>
      <c r="AM127">
        <f t="shared" si="19"/>
        <v>8.2275688037037025</v>
      </c>
      <c r="AP127" s="9"/>
      <c r="AQ127" s="21">
        <v>1.0607899999999999</v>
      </c>
      <c r="AR127" s="21">
        <v>23.9421</v>
      </c>
      <c r="AS127" s="21">
        <v>-1.31317E-2</v>
      </c>
      <c r="AT127" s="21">
        <v>117</v>
      </c>
      <c r="AU127" s="21">
        <v>1.0601799999999999</v>
      </c>
      <c r="AV127">
        <f t="shared" si="20"/>
        <v>16.211975308641971</v>
      </c>
      <c r="AW127">
        <f t="shared" si="21"/>
        <v>17.197501287654315</v>
      </c>
      <c r="AX127" s="9"/>
      <c r="AY127" s="21">
        <v>0.48919699999999999</v>
      </c>
      <c r="AZ127" s="21">
        <v>27.459199999999999</v>
      </c>
      <c r="BA127" s="21">
        <v>-1.3623E-2</v>
      </c>
      <c r="BB127" s="21">
        <v>117</v>
      </c>
      <c r="BC127" s="21">
        <v>0.488647</v>
      </c>
      <c r="BD127">
        <f t="shared" si="22"/>
        <v>16.818518518518516</v>
      </c>
      <c r="BE127">
        <f t="shared" si="23"/>
        <v>8.2275688037037025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1.05576</v>
      </c>
      <c r="H128" s="21">
        <v>6.4347000000000003</v>
      </c>
      <c r="I128" s="21">
        <v>-1.31226E-2</v>
      </c>
      <c r="J128" s="21">
        <v>118</v>
      </c>
      <c r="K128" s="21">
        <v>1.0549900000000001</v>
      </c>
      <c r="L128">
        <f t="shared" si="12"/>
        <v>16.200740740740741</v>
      </c>
      <c r="M128">
        <f t="shared" si="13"/>
        <v>17.104094044444444</v>
      </c>
      <c r="N128" s="9"/>
      <c r="O128" s="21">
        <v>0.494232</v>
      </c>
      <c r="P128" s="21">
        <v>9.9517600000000002</v>
      </c>
      <c r="Q128" s="21">
        <v>-1.3559E-2</v>
      </c>
      <c r="R128" s="21">
        <v>118</v>
      </c>
      <c r="S128" s="21">
        <v>0.49362200000000001</v>
      </c>
      <c r="T128">
        <f t="shared" si="14"/>
        <v>16.739506172839505</v>
      </c>
      <c r="U128">
        <f t="shared" si="15"/>
        <v>8.2731996148148141</v>
      </c>
      <c r="X128" s="9"/>
      <c r="Y128" s="21">
        <v>1.05576</v>
      </c>
      <c r="Z128" s="21">
        <v>15.193899999999999</v>
      </c>
      <c r="AA128" s="21">
        <v>-1.31439E-2</v>
      </c>
      <c r="AB128" s="21">
        <v>118</v>
      </c>
      <c r="AC128" s="21">
        <v>1.0543800000000001</v>
      </c>
      <c r="AD128">
        <f t="shared" si="16"/>
        <v>16.227037037037036</v>
      </c>
      <c r="AE128">
        <f t="shared" si="17"/>
        <v>17.131856622222223</v>
      </c>
      <c r="AF128" s="9"/>
      <c r="AG128" s="21">
        <v>0.494232</v>
      </c>
      <c r="AH128" s="21">
        <v>18.710999999999999</v>
      </c>
      <c r="AI128" s="21">
        <v>-1.3623E-2</v>
      </c>
      <c r="AJ128" s="21">
        <v>118</v>
      </c>
      <c r="AK128" s="21">
        <v>0.49362200000000001</v>
      </c>
      <c r="AL128">
        <f t="shared" si="18"/>
        <v>16.818518518518516</v>
      </c>
      <c r="AM128">
        <f t="shared" si="19"/>
        <v>8.3122500444444434</v>
      </c>
      <c r="AP128" s="9"/>
      <c r="AQ128" s="21">
        <v>1.05576</v>
      </c>
      <c r="AR128" s="21">
        <v>23.952100000000002</v>
      </c>
      <c r="AS128" s="21">
        <v>-1.31439E-2</v>
      </c>
      <c r="AT128" s="21">
        <v>118</v>
      </c>
      <c r="AU128" s="21">
        <v>1.0543800000000001</v>
      </c>
      <c r="AV128">
        <f t="shared" si="20"/>
        <v>16.227037037037036</v>
      </c>
      <c r="AW128">
        <f t="shared" si="21"/>
        <v>17.131856622222223</v>
      </c>
      <c r="AX128" s="9"/>
      <c r="AY128" s="21">
        <v>0.494232</v>
      </c>
      <c r="AZ128" s="21">
        <v>27.4693</v>
      </c>
      <c r="BA128" s="21">
        <v>-1.36261E-2</v>
      </c>
      <c r="BB128" s="21">
        <v>118</v>
      </c>
      <c r="BC128" s="21">
        <v>0.493591</v>
      </c>
      <c r="BD128">
        <f t="shared" si="22"/>
        <v>16.822345679012344</v>
      </c>
      <c r="BE128">
        <f t="shared" si="23"/>
        <v>8.3141415496296283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1.0507200000000001</v>
      </c>
      <c r="H129" s="21">
        <v>6.4447700000000001</v>
      </c>
      <c r="I129" s="21">
        <v>-1.3125599999999999E-2</v>
      </c>
      <c r="J129" s="21">
        <v>119</v>
      </c>
      <c r="K129" s="21">
        <v>1.0498000000000001</v>
      </c>
      <c r="L129">
        <f t="shared" si="12"/>
        <v>16.204444444444441</v>
      </c>
      <c r="M129">
        <f t="shared" si="13"/>
        <v>17.026333866666665</v>
      </c>
      <c r="N129" s="9"/>
      <c r="O129" s="21">
        <v>0.49926799999999999</v>
      </c>
      <c r="P129" s="21">
        <v>9.9618300000000009</v>
      </c>
      <c r="Q129" s="21">
        <v>-1.3555899999999999E-2</v>
      </c>
      <c r="R129" s="21">
        <v>119</v>
      </c>
      <c r="S129" s="21">
        <v>0.49868800000000002</v>
      </c>
      <c r="T129">
        <f t="shared" si="14"/>
        <v>16.735679012345678</v>
      </c>
      <c r="U129">
        <f t="shared" si="15"/>
        <v>8.3555889891358017</v>
      </c>
      <c r="X129" s="9"/>
      <c r="Y129" s="21">
        <v>1.0507200000000001</v>
      </c>
      <c r="Z129" s="21">
        <v>15.204000000000001</v>
      </c>
      <c r="AA129" s="21">
        <v>-1.315E-2</v>
      </c>
      <c r="AB129" s="21">
        <v>119</v>
      </c>
      <c r="AC129" s="21">
        <v>1.0501100000000001</v>
      </c>
      <c r="AD129">
        <f t="shared" si="16"/>
        <v>16.234567901234566</v>
      </c>
      <c r="AE129">
        <f t="shared" si="17"/>
        <v>17.057985185185185</v>
      </c>
      <c r="AF129" s="9"/>
      <c r="AG129" s="21">
        <v>0.49926799999999999</v>
      </c>
      <c r="AH129" s="21">
        <v>18.721</v>
      </c>
      <c r="AI129" s="21">
        <v>-1.3616899999999999E-2</v>
      </c>
      <c r="AJ129" s="21">
        <v>119</v>
      </c>
      <c r="AK129" s="21">
        <v>0.49868800000000002</v>
      </c>
      <c r="AL129">
        <f t="shared" si="18"/>
        <v>16.810987654320986</v>
      </c>
      <c r="AM129">
        <f t="shared" si="19"/>
        <v>8.3931881841975304</v>
      </c>
      <c r="AP129" s="9"/>
      <c r="AQ129" s="21">
        <v>1.0507200000000001</v>
      </c>
      <c r="AR129" s="21">
        <v>23.962199999999999</v>
      </c>
      <c r="AS129" s="21">
        <v>-1.315E-2</v>
      </c>
      <c r="AT129" s="21">
        <v>119</v>
      </c>
      <c r="AU129" s="21">
        <v>1.0495000000000001</v>
      </c>
      <c r="AV129">
        <f t="shared" si="20"/>
        <v>16.234567901234566</v>
      </c>
      <c r="AW129">
        <f t="shared" si="21"/>
        <v>17.057985185185185</v>
      </c>
      <c r="AX129" s="9"/>
      <c r="AY129" s="21">
        <v>0.49926799999999999</v>
      </c>
      <c r="AZ129" s="21">
        <v>27.479299999999999</v>
      </c>
      <c r="BA129" s="21">
        <v>-1.3623E-2</v>
      </c>
      <c r="BB129" s="21">
        <v>119</v>
      </c>
      <c r="BC129" s="21">
        <v>0.49865700000000002</v>
      </c>
      <c r="BD129">
        <f t="shared" si="22"/>
        <v>16.818518518518516</v>
      </c>
      <c r="BE129">
        <f t="shared" si="23"/>
        <v>8.3969481037037017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1.0456799999999999</v>
      </c>
      <c r="H130" s="21">
        <v>6.4548399999999999</v>
      </c>
      <c r="I130" s="21">
        <v>-1.31409E-2</v>
      </c>
      <c r="J130" s="21">
        <v>120</v>
      </c>
      <c r="K130" s="21">
        <v>1.0446200000000001</v>
      </c>
      <c r="L130">
        <f t="shared" si="12"/>
        <v>16.223333333333333</v>
      </c>
      <c r="M130">
        <f t="shared" si="13"/>
        <v>16.964415199999998</v>
      </c>
      <c r="N130" s="9"/>
      <c r="O130" s="21">
        <v>0.50430299999999995</v>
      </c>
      <c r="P130" s="21">
        <v>9.9718999999999998</v>
      </c>
      <c r="Q130" s="21">
        <v>-1.35529E-2</v>
      </c>
      <c r="R130" s="21">
        <v>120</v>
      </c>
      <c r="S130" s="21">
        <v>0.50363199999999997</v>
      </c>
      <c r="T130">
        <f t="shared" si="14"/>
        <v>16.731975308641974</v>
      </c>
      <c r="U130">
        <f t="shared" si="15"/>
        <v>8.4379853440740735</v>
      </c>
      <c r="X130" s="9"/>
      <c r="Y130" s="21">
        <v>1.0456799999999999</v>
      </c>
      <c r="Z130" s="21">
        <v>15.2141</v>
      </c>
      <c r="AA130" s="21">
        <v>-1.31561E-2</v>
      </c>
      <c r="AB130" s="21">
        <v>120</v>
      </c>
      <c r="AC130" s="21">
        <v>1.0440100000000001</v>
      </c>
      <c r="AD130">
        <f t="shared" si="16"/>
        <v>16.2420987654321</v>
      </c>
      <c r="AE130">
        <f t="shared" si="17"/>
        <v>16.984037837037036</v>
      </c>
      <c r="AF130" s="9"/>
      <c r="AG130" s="21">
        <v>0.50430299999999995</v>
      </c>
      <c r="AH130" s="21">
        <v>18.731100000000001</v>
      </c>
      <c r="AI130" s="21">
        <v>-1.36139E-2</v>
      </c>
      <c r="AJ130" s="21">
        <v>120</v>
      </c>
      <c r="AK130" s="21">
        <v>0.50366200000000005</v>
      </c>
      <c r="AL130">
        <f t="shared" si="18"/>
        <v>16.807283950617283</v>
      </c>
      <c r="AM130">
        <f t="shared" si="19"/>
        <v>8.4759637181481473</v>
      </c>
      <c r="AP130" s="9"/>
      <c r="AQ130" s="21">
        <v>1.0456799999999999</v>
      </c>
      <c r="AR130" s="21">
        <v>23.972300000000001</v>
      </c>
      <c r="AS130" s="21">
        <v>-1.3147000000000001E-2</v>
      </c>
      <c r="AT130" s="21">
        <v>120</v>
      </c>
      <c r="AU130" s="21">
        <v>1.0446200000000001</v>
      </c>
      <c r="AV130">
        <f t="shared" si="20"/>
        <v>16.230864197530863</v>
      </c>
      <c r="AW130">
        <f t="shared" si="21"/>
        <v>16.972290074074071</v>
      </c>
      <c r="AX130" s="9"/>
      <c r="AY130" s="21">
        <v>0.50430299999999995</v>
      </c>
      <c r="AZ130" s="21">
        <v>27.4894</v>
      </c>
      <c r="BA130" s="21">
        <v>-1.36261E-2</v>
      </c>
      <c r="BB130" s="21">
        <v>120</v>
      </c>
      <c r="BC130" s="21">
        <v>0.50366200000000005</v>
      </c>
      <c r="BD130">
        <f t="shared" si="22"/>
        <v>16.822345679012344</v>
      </c>
      <c r="BE130">
        <f t="shared" si="23"/>
        <v>8.4835593929629614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1.0406500000000001</v>
      </c>
      <c r="H131" s="21">
        <v>6.4649099999999997</v>
      </c>
      <c r="I131" s="21">
        <v>-1.3147000000000001E-2</v>
      </c>
      <c r="J131" s="21">
        <v>121</v>
      </c>
      <c r="K131" s="21">
        <v>1.03973</v>
      </c>
      <c r="L131">
        <f t="shared" si="12"/>
        <v>16.230864197530863</v>
      </c>
      <c r="M131">
        <f t="shared" si="13"/>
        <v>16.890648827160494</v>
      </c>
      <c r="N131" s="9"/>
      <c r="O131" s="21">
        <v>0.50933799999999996</v>
      </c>
      <c r="P131" s="21">
        <v>9.9819700000000005</v>
      </c>
      <c r="Q131" s="21">
        <v>-1.3559E-2</v>
      </c>
      <c r="R131" s="21">
        <v>121</v>
      </c>
      <c r="S131" s="21">
        <v>0.50866699999999998</v>
      </c>
      <c r="T131">
        <f t="shared" si="14"/>
        <v>16.739506172839505</v>
      </c>
      <c r="U131">
        <f t="shared" si="15"/>
        <v>8.5260665950617263</v>
      </c>
      <c r="X131" s="9"/>
      <c r="Y131" s="21">
        <v>1.0406500000000001</v>
      </c>
      <c r="Z131" s="21">
        <v>15.2241</v>
      </c>
      <c r="AA131" s="21">
        <v>-1.3162200000000001E-2</v>
      </c>
      <c r="AB131" s="21">
        <v>121</v>
      </c>
      <c r="AC131" s="21">
        <v>1.03912</v>
      </c>
      <c r="AD131">
        <f t="shared" si="16"/>
        <v>16.249629629629627</v>
      </c>
      <c r="AE131">
        <f t="shared" si="17"/>
        <v>16.910177074074074</v>
      </c>
      <c r="AF131" s="9"/>
      <c r="AG131" s="21">
        <v>0.50933799999999996</v>
      </c>
      <c r="AH131" s="21">
        <v>18.741199999999999</v>
      </c>
      <c r="AI131" s="21">
        <v>-1.36139E-2</v>
      </c>
      <c r="AJ131" s="21">
        <v>121</v>
      </c>
      <c r="AK131" s="21">
        <v>0.50869799999999998</v>
      </c>
      <c r="AL131">
        <f t="shared" si="18"/>
        <v>16.807283950617283</v>
      </c>
      <c r="AM131">
        <f t="shared" si="19"/>
        <v>8.5605883928395041</v>
      </c>
      <c r="AP131" s="9"/>
      <c r="AQ131" s="21">
        <v>1.0406500000000001</v>
      </c>
      <c r="AR131" s="21">
        <v>23.982299999999999</v>
      </c>
      <c r="AS131" s="21">
        <v>-1.31439E-2</v>
      </c>
      <c r="AT131" s="21">
        <v>121</v>
      </c>
      <c r="AU131" s="21">
        <v>1.0394300000000001</v>
      </c>
      <c r="AV131">
        <f t="shared" si="20"/>
        <v>16.227037037037036</v>
      </c>
      <c r="AW131">
        <f t="shared" si="21"/>
        <v>16.886666092592591</v>
      </c>
      <c r="AX131" s="9"/>
      <c r="AY131" s="21">
        <v>0.50933799999999996</v>
      </c>
      <c r="AZ131" s="21">
        <v>27.499500000000001</v>
      </c>
      <c r="BA131" s="21">
        <v>-1.36078E-2</v>
      </c>
      <c r="BB131" s="21">
        <v>121</v>
      </c>
      <c r="BC131" s="21">
        <v>0.50869799999999998</v>
      </c>
      <c r="BD131">
        <f t="shared" si="22"/>
        <v>16.799753086419752</v>
      </c>
      <c r="BE131">
        <f t="shared" si="23"/>
        <v>8.5567526375308631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1.0356099999999999</v>
      </c>
      <c r="H132" s="21">
        <v>6.47499</v>
      </c>
      <c r="I132" s="21">
        <v>-1.315E-2</v>
      </c>
      <c r="J132" s="21">
        <v>122</v>
      </c>
      <c r="K132" s="21">
        <v>1.03424</v>
      </c>
      <c r="L132">
        <f t="shared" si="12"/>
        <v>16.234567901234566</v>
      </c>
      <c r="M132">
        <f t="shared" si="13"/>
        <v>16.812680864197528</v>
      </c>
      <c r="N132" s="9"/>
      <c r="O132" s="21">
        <v>0.514374</v>
      </c>
      <c r="P132" s="21">
        <v>9.9920399999999994</v>
      </c>
      <c r="Q132" s="21">
        <v>-1.35651E-2</v>
      </c>
      <c r="R132" s="21">
        <v>122</v>
      </c>
      <c r="S132" s="21">
        <v>0.51370199999999999</v>
      </c>
      <c r="T132">
        <f t="shared" si="14"/>
        <v>16.747037037037035</v>
      </c>
      <c r="U132">
        <f t="shared" si="15"/>
        <v>8.6142404288888876</v>
      </c>
      <c r="X132" s="9"/>
      <c r="Y132" s="21">
        <v>1.0356099999999999</v>
      </c>
      <c r="Z132" s="21">
        <v>15.2342</v>
      </c>
      <c r="AA132" s="21">
        <v>-1.31714E-2</v>
      </c>
      <c r="AB132" s="21">
        <v>122</v>
      </c>
      <c r="AC132" s="21">
        <v>1.03424</v>
      </c>
      <c r="AD132">
        <f t="shared" si="16"/>
        <v>16.260987654320989</v>
      </c>
      <c r="AE132">
        <f t="shared" si="17"/>
        <v>16.840041424691357</v>
      </c>
      <c r="AF132" s="9"/>
      <c r="AG132" s="21">
        <v>0.514374</v>
      </c>
      <c r="AH132" s="21">
        <v>18.751300000000001</v>
      </c>
      <c r="AI132" s="21">
        <v>-1.36078E-2</v>
      </c>
      <c r="AJ132" s="21">
        <v>122</v>
      </c>
      <c r="AK132" s="21">
        <v>0.51370199999999999</v>
      </c>
      <c r="AL132">
        <f t="shared" si="18"/>
        <v>16.799753086419752</v>
      </c>
      <c r="AM132">
        <f t="shared" si="19"/>
        <v>8.6413561940740742</v>
      </c>
      <c r="AP132" s="9"/>
      <c r="AQ132" s="21">
        <v>1.0356099999999999</v>
      </c>
      <c r="AR132" s="21">
        <v>23.9924</v>
      </c>
      <c r="AS132" s="21">
        <v>-1.31439E-2</v>
      </c>
      <c r="AT132" s="21">
        <v>122</v>
      </c>
      <c r="AU132" s="21">
        <v>1.03485</v>
      </c>
      <c r="AV132">
        <f t="shared" si="20"/>
        <v>16.227037037037036</v>
      </c>
      <c r="AW132">
        <f t="shared" si="21"/>
        <v>16.804881825925925</v>
      </c>
      <c r="AX132" s="9"/>
      <c r="AY132" s="21">
        <v>0.514374</v>
      </c>
      <c r="AZ132" s="21">
        <v>27.509499999999999</v>
      </c>
      <c r="BA132" s="21">
        <v>-1.3598600000000001E-2</v>
      </c>
      <c r="BB132" s="21">
        <v>122</v>
      </c>
      <c r="BC132" s="21">
        <v>0.51385499999999995</v>
      </c>
      <c r="BD132">
        <f t="shared" si="22"/>
        <v>16.788395061728394</v>
      </c>
      <c r="BE132">
        <f t="shared" si="23"/>
        <v>8.6355139214814809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1.0305800000000001</v>
      </c>
      <c r="H133" s="21">
        <v>6.4850599999999998</v>
      </c>
      <c r="I133" s="21">
        <v>-1.31653E-2</v>
      </c>
      <c r="J133" s="21">
        <v>123</v>
      </c>
      <c r="K133" s="21">
        <v>1.02966</v>
      </c>
      <c r="L133">
        <f t="shared" si="12"/>
        <v>16.253456790123455</v>
      </c>
      <c r="M133">
        <f t="shared" si="13"/>
        <v>16.75048749876543</v>
      </c>
      <c r="N133" s="9"/>
      <c r="O133" s="21">
        <v>0.51940900000000001</v>
      </c>
      <c r="P133" s="21">
        <v>10.0021</v>
      </c>
      <c r="Q133" s="21">
        <v>-1.35529E-2</v>
      </c>
      <c r="R133" s="21">
        <v>123</v>
      </c>
      <c r="S133" s="21">
        <v>0.51876800000000001</v>
      </c>
      <c r="T133">
        <f t="shared" si="14"/>
        <v>16.731975308641974</v>
      </c>
      <c r="U133">
        <f t="shared" si="15"/>
        <v>8.6907385630864198</v>
      </c>
      <c r="X133" s="9"/>
      <c r="Y133" s="21">
        <v>1.0305800000000001</v>
      </c>
      <c r="Z133" s="21">
        <v>15.244300000000001</v>
      </c>
      <c r="AA133" s="21">
        <v>-1.31805E-2</v>
      </c>
      <c r="AB133" s="21">
        <v>123</v>
      </c>
      <c r="AC133" s="21">
        <v>1.02966</v>
      </c>
      <c r="AD133">
        <f t="shared" si="16"/>
        <v>16.272222222222219</v>
      </c>
      <c r="AE133">
        <f t="shared" si="17"/>
        <v>16.769826777777777</v>
      </c>
      <c r="AF133" s="9"/>
      <c r="AG133" s="21">
        <v>0.51940900000000001</v>
      </c>
      <c r="AH133" s="21">
        <v>18.761299999999999</v>
      </c>
      <c r="AI133" s="21">
        <v>-1.36078E-2</v>
      </c>
      <c r="AJ133" s="21">
        <v>123</v>
      </c>
      <c r="AK133" s="21">
        <v>0.51882899999999998</v>
      </c>
      <c r="AL133">
        <f t="shared" si="18"/>
        <v>16.799753086419752</v>
      </c>
      <c r="AM133">
        <f t="shared" si="19"/>
        <v>8.7259429508641979</v>
      </c>
      <c r="AP133" s="9"/>
      <c r="AQ133" s="21">
        <v>1.0305800000000001</v>
      </c>
      <c r="AR133" s="21">
        <v>24.002500000000001</v>
      </c>
      <c r="AS133" s="21">
        <v>-1.31439E-2</v>
      </c>
      <c r="AT133" s="21">
        <v>123</v>
      </c>
      <c r="AU133" s="21">
        <v>1.02966</v>
      </c>
      <c r="AV133">
        <f t="shared" si="20"/>
        <v>16.227037037037036</v>
      </c>
      <c r="AW133">
        <f t="shared" si="21"/>
        <v>16.72325982962963</v>
      </c>
      <c r="AX133" s="9"/>
      <c r="AY133" s="21">
        <v>0.51940900000000001</v>
      </c>
      <c r="AZ133" s="21">
        <v>27.519600000000001</v>
      </c>
      <c r="BA133" s="21">
        <v>-1.3595599999999999E-2</v>
      </c>
      <c r="BB133" s="21">
        <v>123</v>
      </c>
      <c r="BC133" s="21">
        <v>0.51876800000000001</v>
      </c>
      <c r="BD133">
        <f t="shared" si="22"/>
        <v>16.784691358024691</v>
      </c>
      <c r="BE133">
        <f t="shared" si="23"/>
        <v>8.7181197535802468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1.0255399999999999</v>
      </c>
      <c r="H134" s="21">
        <v>6.4951299999999996</v>
      </c>
      <c r="I134" s="21">
        <v>-1.31714E-2</v>
      </c>
      <c r="J134" s="21">
        <v>124</v>
      </c>
      <c r="K134" s="21">
        <v>1.02478</v>
      </c>
      <c r="L134">
        <f t="shared" si="12"/>
        <v>16.260987654320989</v>
      </c>
      <c r="M134">
        <f t="shared" si="13"/>
        <v>16.676293279012345</v>
      </c>
      <c r="N134" s="9"/>
      <c r="O134" s="21">
        <v>0.52444500000000005</v>
      </c>
      <c r="P134" s="21">
        <v>10.0122</v>
      </c>
      <c r="Q134" s="21">
        <v>-1.3543700000000001E-2</v>
      </c>
      <c r="R134" s="21">
        <v>124</v>
      </c>
      <c r="S134" s="21">
        <v>0.52380400000000005</v>
      </c>
      <c r="T134">
        <f t="shared" si="14"/>
        <v>16.720617283950617</v>
      </c>
      <c r="U134">
        <f t="shared" si="15"/>
        <v>8.7690441314814827</v>
      </c>
      <c r="X134" s="9"/>
      <c r="Y134" s="21">
        <v>1.0255399999999999</v>
      </c>
      <c r="Z134" s="21">
        <v>15.254300000000001</v>
      </c>
      <c r="AA134" s="21">
        <v>-1.31927E-2</v>
      </c>
      <c r="AB134" s="21">
        <v>124</v>
      </c>
      <c r="AC134" s="21">
        <v>1.0244800000000001</v>
      </c>
      <c r="AD134">
        <f t="shared" si="16"/>
        <v>16.287283950617283</v>
      </c>
      <c r="AE134">
        <f t="shared" si="17"/>
        <v>16.703261182716048</v>
      </c>
      <c r="AF134" s="9"/>
      <c r="AG134" s="21">
        <v>0.52444500000000005</v>
      </c>
      <c r="AH134" s="21">
        <v>18.7714</v>
      </c>
      <c r="AI134" s="21">
        <v>-1.35925E-2</v>
      </c>
      <c r="AJ134" s="21">
        <v>124</v>
      </c>
      <c r="AK134" s="21">
        <v>0.52380400000000005</v>
      </c>
      <c r="AL134">
        <f t="shared" si="18"/>
        <v>16.780864197530864</v>
      </c>
      <c r="AM134">
        <f t="shared" si="19"/>
        <v>8.8006403240740756</v>
      </c>
      <c r="AP134" s="9"/>
      <c r="AQ134" s="21">
        <v>1.0255399999999999</v>
      </c>
      <c r="AR134" s="21">
        <v>24.012599999999999</v>
      </c>
      <c r="AS134" s="21">
        <v>-1.31409E-2</v>
      </c>
      <c r="AT134" s="21">
        <v>124</v>
      </c>
      <c r="AU134" s="21">
        <v>1.0244800000000001</v>
      </c>
      <c r="AV134">
        <f t="shared" si="20"/>
        <v>16.223333333333333</v>
      </c>
      <c r="AW134">
        <f t="shared" si="21"/>
        <v>16.637677266666664</v>
      </c>
      <c r="AX134" s="9"/>
      <c r="AY134" s="21">
        <v>0.52444500000000005</v>
      </c>
      <c r="AZ134" s="21">
        <v>27.529699999999998</v>
      </c>
      <c r="BA134" s="21">
        <v>-1.35925E-2</v>
      </c>
      <c r="BB134" s="21">
        <v>124</v>
      </c>
      <c r="BC134" s="21">
        <v>0.52374299999999996</v>
      </c>
      <c r="BD134">
        <f t="shared" si="22"/>
        <v>16.780864197530864</v>
      </c>
      <c r="BE134">
        <f t="shared" si="23"/>
        <v>8.8006403240740756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1.02051</v>
      </c>
      <c r="H135" s="21">
        <v>6.5052000000000003</v>
      </c>
      <c r="I135" s="21">
        <v>-1.3174399999999999E-2</v>
      </c>
      <c r="J135" s="21">
        <v>125</v>
      </c>
      <c r="K135" s="21">
        <v>1.01929</v>
      </c>
      <c r="L135">
        <f t="shared" si="12"/>
        <v>16.264691358024692</v>
      </c>
      <c r="M135">
        <f t="shared" si="13"/>
        <v>16.598280177777777</v>
      </c>
      <c r="N135" s="9"/>
      <c r="O135" s="21">
        <v>0.52947999999999995</v>
      </c>
      <c r="P135" s="21">
        <v>10.0223</v>
      </c>
      <c r="Q135" s="21">
        <v>-1.3543700000000001E-2</v>
      </c>
      <c r="R135" s="21">
        <v>125</v>
      </c>
      <c r="S135" s="21">
        <v>0.52896100000000001</v>
      </c>
      <c r="T135">
        <f t="shared" si="14"/>
        <v>16.720617283950617</v>
      </c>
      <c r="U135">
        <f t="shared" si="15"/>
        <v>8.8532324395061721</v>
      </c>
      <c r="X135" s="9"/>
      <c r="Y135" s="21">
        <v>1.02051</v>
      </c>
      <c r="Z135" s="21">
        <v>15.2644</v>
      </c>
      <c r="AA135" s="21">
        <v>-1.31989E-2</v>
      </c>
      <c r="AB135" s="21">
        <v>125</v>
      </c>
      <c r="AC135" s="21">
        <v>1.01929</v>
      </c>
      <c r="AD135">
        <f t="shared" si="16"/>
        <v>16.294938271604938</v>
      </c>
      <c r="AE135">
        <f t="shared" si="17"/>
        <v>16.629147455555554</v>
      </c>
      <c r="AF135" s="9"/>
      <c r="AG135" s="21">
        <v>0.52947999999999995</v>
      </c>
      <c r="AH135" s="21">
        <v>18.781500000000001</v>
      </c>
      <c r="AI135" s="21">
        <v>-1.3589499999999999E-2</v>
      </c>
      <c r="AJ135" s="21">
        <v>125</v>
      </c>
      <c r="AK135" s="21">
        <v>0.528748</v>
      </c>
      <c r="AL135">
        <f t="shared" si="18"/>
        <v>16.777160493827161</v>
      </c>
      <c r="AM135">
        <f t="shared" si="19"/>
        <v>8.8831709382716042</v>
      </c>
      <c r="AP135" s="9"/>
      <c r="AQ135" s="21">
        <v>1.02051</v>
      </c>
      <c r="AR135" s="21">
        <v>24.022600000000001</v>
      </c>
      <c r="AS135" s="21">
        <v>-1.315E-2</v>
      </c>
      <c r="AT135" s="21">
        <v>125</v>
      </c>
      <c r="AU135" s="21">
        <v>1.01898</v>
      </c>
      <c r="AV135">
        <f t="shared" si="20"/>
        <v>16.234567901234566</v>
      </c>
      <c r="AW135">
        <f t="shared" si="21"/>
        <v>16.567538888888887</v>
      </c>
      <c r="AX135" s="9"/>
      <c r="AY135" s="21">
        <v>0.52947999999999995</v>
      </c>
      <c r="AZ135" s="21">
        <v>27.5398</v>
      </c>
      <c r="BA135" s="21">
        <v>-1.3604700000000001E-2</v>
      </c>
      <c r="BB135" s="21">
        <v>125</v>
      </c>
      <c r="BC135" s="21">
        <v>0.52883899999999995</v>
      </c>
      <c r="BD135">
        <f t="shared" si="22"/>
        <v>16.795925925925925</v>
      </c>
      <c r="BE135">
        <f t="shared" si="23"/>
        <v>8.893106859259257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1.0154700000000001</v>
      </c>
      <c r="H136" s="21">
        <v>6.5152700000000001</v>
      </c>
      <c r="I136" s="21">
        <v>-1.31775E-2</v>
      </c>
      <c r="J136" s="21">
        <v>126</v>
      </c>
      <c r="K136" s="21">
        <v>1.0144</v>
      </c>
      <c r="L136">
        <f t="shared" si="12"/>
        <v>16.268518518518519</v>
      </c>
      <c r="M136">
        <f t="shared" si="13"/>
        <v>16.520192500000004</v>
      </c>
      <c r="N136" s="9"/>
      <c r="O136" s="21">
        <v>0.53451499999999996</v>
      </c>
      <c r="P136" s="21">
        <v>10.032299999999999</v>
      </c>
      <c r="Q136" s="21">
        <v>-1.3549800000000001E-2</v>
      </c>
      <c r="R136" s="21">
        <v>126</v>
      </c>
      <c r="S136" s="21">
        <v>0.533752</v>
      </c>
      <c r="T136">
        <f t="shared" si="14"/>
        <v>16.728148148148147</v>
      </c>
      <c r="U136">
        <f t="shared" si="15"/>
        <v>8.9414461074074065</v>
      </c>
      <c r="X136" s="9"/>
      <c r="Y136" s="21">
        <v>1.0154700000000001</v>
      </c>
      <c r="Z136" s="21">
        <v>15.2745</v>
      </c>
      <c r="AA136" s="21">
        <v>-1.31989E-2</v>
      </c>
      <c r="AB136" s="21">
        <v>126</v>
      </c>
      <c r="AC136" s="21">
        <v>1.0144</v>
      </c>
      <c r="AD136">
        <f t="shared" si="16"/>
        <v>16.294938271604938</v>
      </c>
      <c r="AE136">
        <f t="shared" si="17"/>
        <v>16.547020966666668</v>
      </c>
      <c r="AF136" s="9"/>
      <c r="AG136" s="21">
        <v>0.53451499999999996</v>
      </c>
      <c r="AH136" s="21">
        <v>18.791499999999999</v>
      </c>
      <c r="AI136" s="21">
        <v>-1.35925E-2</v>
      </c>
      <c r="AJ136" s="21">
        <v>126</v>
      </c>
      <c r="AK136" s="21">
        <v>0.53393599999999997</v>
      </c>
      <c r="AL136">
        <f t="shared" si="18"/>
        <v>16.780864197530864</v>
      </c>
      <c r="AM136">
        <f t="shared" si="19"/>
        <v>8.9696236265432088</v>
      </c>
      <c r="AP136" s="9"/>
      <c r="AQ136" s="21">
        <v>1.0154700000000001</v>
      </c>
      <c r="AR136" s="21">
        <v>24.032699999999998</v>
      </c>
      <c r="AS136" s="21">
        <v>-1.3162200000000001E-2</v>
      </c>
      <c r="AT136" s="21">
        <v>126</v>
      </c>
      <c r="AU136" s="21">
        <v>1.01471</v>
      </c>
      <c r="AV136">
        <f t="shared" si="20"/>
        <v>16.249629629629627</v>
      </c>
      <c r="AW136">
        <f t="shared" si="21"/>
        <v>16.501011399999999</v>
      </c>
      <c r="AX136" s="9"/>
      <c r="AY136" s="21">
        <v>0.53451499999999996</v>
      </c>
      <c r="AZ136" s="21">
        <v>27.549800000000001</v>
      </c>
      <c r="BA136" s="21">
        <v>-1.3610799999999999E-2</v>
      </c>
      <c r="BB136" s="21">
        <v>126</v>
      </c>
      <c r="BC136" s="21">
        <v>0.53378300000000001</v>
      </c>
      <c r="BD136">
        <f t="shared" si="22"/>
        <v>16.803456790123455</v>
      </c>
      <c r="BE136">
        <f t="shared" si="23"/>
        <v>8.9816997061728383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1.01044</v>
      </c>
      <c r="H137" s="21">
        <v>6.5253399999999999</v>
      </c>
      <c r="I137" s="21">
        <v>-1.3195800000000001E-2</v>
      </c>
      <c r="J137" s="21">
        <v>127</v>
      </c>
      <c r="K137" s="21">
        <v>1.00891</v>
      </c>
      <c r="L137">
        <f t="shared" si="12"/>
        <v>16.29111111111111</v>
      </c>
      <c r="M137">
        <f t="shared" si="13"/>
        <v>16.46119031111111</v>
      </c>
      <c r="N137" s="9"/>
      <c r="O137" s="21">
        <v>0.539551</v>
      </c>
      <c r="P137" s="21">
        <v>10.042400000000001</v>
      </c>
      <c r="Q137" s="21">
        <v>-1.3549800000000001E-2</v>
      </c>
      <c r="R137" s="21">
        <v>127</v>
      </c>
      <c r="S137" s="21">
        <v>0.53875700000000004</v>
      </c>
      <c r="T137">
        <f t="shared" si="14"/>
        <v>16.728148148148147</v>
      </c>
      <c r="U137">
        <f t="shared" si="15"/>
        <v>9.0256890614814811</v>
      </c>
      <c r="X137" s="9"/>
      <c r="Y137" s="21">
        <v>1.01044</v>
      </c>
      <c r="Z137" s="21">
        <v>15.2845</v>
      </c>
      <c r="AA137" s="21">
        <v>-1.3214099999999999E-2</v>
      </c>
      <c r="AB137" s="21">
        <v>127</v>
      </c>
      <c r="AC137" s="21">
        <v>1.00891</v>
      </c>
      <c r="AD137">
        <f t="shared" si="16"/>
        <v>16.313703703703702</v>
      </c>
      <c r="AE137">
        <f t="shared" si="17"/>
        <v>16.484018770370369</v>
      </c>
      <c r="AF137" s="9"/>
      <c r="AG137" s="21">
        <v>0.539551</v>
      </c>
      <c r="AH137" s="21">
        <v>18.801600000000001</v>
      </c>
      <c r="AI137" s="21">
        <v>-1.36017E-2</v>
      </c>
      <c r="AJ137" s="21">
        <v>127</v>
      </c>
      <c r="AK137" s="21">
        <v>0.538879</v>
      </c>
      <c r="AL137">
        <f t="shared" si="18"/>
        <v>16.792222222222222</v>
      </c>
      <c r="AM137">
        <f t="shared" si="19"/>
        <v>9.0602602922222228</v>
      </c>
      <c r="AP137" s="9"/>
      <c r="AQ137" s="21">
        <v>1.01044</v>
      </c>
      <c r="AR137" s="21">
        <v>24.0428</v>
      </c>
      <c r="AS137" s="21">
        <v>-1.31714E-2</v>
      </c>
      <c r="AT137" s="21">
        <v>127</v>
      </c>
      <c r="AU137" s="21">
        <v>1.00983</v>
      </c>
      <c r="AV137">
        <f t="shared" si="20"/>
        <v>16.260987654320989</v>
      </c>
      <c r="AW137">
        <f t="shared" si="21"/>
        <v>16.430752365432099</v>
      </c>
      <c r="AX137" s="9"/>
      <c r="AY137" s="21">
        <v>0.539551</v>
      </c>
      <c r="AZ137" s="21">
        <v>27.559899999999999</v>
      </c>
      <c r="BA137" s="21">
        <v>-1.3616899999999999E-2</v>
      </c>
      <c r="BB137" s="21">
        <v>127</v>
      </c>
      <c r="BC137" s="21">
        <v>0.53881800000000002</v>
      </c>
      <c r="BD137">
        <f t="shared" si="22"/>
        <v>16.810987654320986</v>
      </c>
      <c r="BE137">
        <f t="shared" si="23"/>
        <v>9.0703851998765419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1.0054000000000001</v>
      </c>
      <c r="H138" s="21">
        <v>6.5354099999999997</v>
      </c>
      <c r="I138" s="21">
        <v>-1.31927E-2</v>
      </c>
      <c r="J138" s="21">
        <v>128</v>
      </c>
      <c r="K138" s="21">
        <v>1.00464</v>
      </c>
      <c r="L138">
        <f t="shared" si="12"/>
        <v>16.287283950617283</v>
      </c>
      <c r="M138">
        <f t="shared" si="13"/>
        <v>16.375235283950616</v>
      </c>
      <c r="N138" s="9"/>
      <c r="O138" s="21">
        <v>0.54458600000000001</v>
      </c>
      <c r="P138" s="21">
        <v>10.0525</v>
      </c>
      <c r="Q138" s="21">
        <v>-1.3546799999999999E-2</v>
      </c>
      <c r="R138" s="21">
        <v>128</v>
      </c>
      <c r="S138" s="21">
        <v>0.54397600000000002</v>
      </c>
      <c r="T138">
        <f t="shared" si="14"/>
        <v>16.72444444444444</v>
      </c>
      <c r="U138">
        <f t="shared" si="15"/>
        <v>9.1078983022222211</v>
      </c>
      <c r="X138" s="9"/>
      <c r="Y138" s="21">
        <v>1.0054000000000001</v>
      </c>
      <c r="Z138" s="21">
        <v>15.294600000000001</v>
      </c>
      <c r="AA138" s="21">
        <v>-1.32202E-2</v>
      </c>
      <c r="AB138" s="21">
        <v>128</v>
      </c>
      <c r="AC138" s="21">
        <v>1.00464</v>
      </c>
      <c r="AD138">
        <f t="shared" si="16"/>
        <v>16.321234567901232</v>
      </c>
      <c r="AE138">
        <f t="shared" si="17"/>
        <v>16.409369234567901</v>
      </c>
      <c r="AF138" s="9"/>
      <c r="AG138" s="21">
        <v>0.54458600000000001</v>
      </c>
      <c r="AH138" s="21">
        <v>18.811699999999998</v>
      </c>
      <c r="AI138" s="21">
        <v>-1.36017E-2</v>
      </c>
      <c r="AJ138" s="21">
        <v>128</v>
      </c>
      <c r="AK138" s="21">
        <v>0.54388400000000003</v>
      </c>
      <c r="AL138">
        <f t="shared" si="18"/>
        <v>16.792222222222222</v>
      </c>
      <c r="AM138">
        <f t="shared" si="19"/>
        <v>9.1448091311111117</v>
      </c>
      <c r="AP138" s="9"/>
      <c r="AQ138" s="21">
        <v>1.0054000000000001</v>
      </c>
      <c r="AR138" s="21">
        <v>24.052800000000001</v>
      </c>
      <c r="AS138" s="21">
        <v>-1.31805E-2</v>
      </c>
      <c r="AT138" s="21">
        <v>128</v>
      </c>
      <c r="AU138" s="21">
        <v>1.0049399999999999</v>
      </c>
      <c r="AV138">
        <f t="shared" si="20"/>
        <v>16.272222222222219</v>
      </c>
      <c r="AW138">
        <f t="shared" si="21"/>
        <v>16.360092222222221</v>
      </c>
      <c r="AX138" s="9"/>
      <c r="AY138" s="21">
        <v>0.54458600000000001</v>
      </c>
      <c r="AZ138" s="21">
        <v>27.57</v>
      </c>
      <c r="BA138" s="21">
        <v>-1.36017E-2</v>
      </c>
      <c r="BB138" s="21">
        <v>128</v>
      </c>
      <c r="BC138" s="21">
        <v>0.54388400000000003</v>
      </c>
      <c r="BD138">
        <f t="shared" si="22"/>
        <v>16.792222222222222</v>
      </c>
      <c r="BE138">
        <f t="shared" si="23"/>
        <v>9.1448091311111117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1.00037</v>
      </c>
      <c r="H139" s="21">
        <v>6.5454800000000004</v>
      </c>
      <c r="I139" s="21">
        <v>-1.3201900000000001E-2</v>
      </c>
      <c r="J139" s="21">
        <v>129</v>
      </c>
      <c r="K139" s="21">
        <v>0.99914599999999998</v>
      </c>
      <c r="L139">
        <f t="shared" si="12"/>
        <v>16.298641975308641</v>
      </c>
      <c r="M139">
        <f t="shared" si="13"/>
        <v>16.304672472839506</v>
      </c>
      <c r="N139" s="9"/>
      <c r="O139" s="21">
        <v>0.54962200000000005</v>
      </c>
      <c r="P139" s="21">
        <v>10.0625</v>
      </c>
      <c r="Q139" s="21">
        <v>-1.3549800000000001E-2</v>
      </c>
      <c r="R139" s="21">
        <v>129</v>
      </c>
      <c r="S139" s="21">
        <v>0.54898100000000005</v>
      </c>
      <c r="T139">
        <f t="shared" si="14"/>
        <v>16.728148148148147</v>
      </c>
      <c r="U139">
        <f t="shared" si="15"/>
        <v>9.1941582414814818</v>
      </c>
      <c r="X139" s="9"/>
      <c r="Y139" s="21">
        <v>1.00037</v>
      </c>
      <c r="Z139" s="21">
        <v>15.3047</v>
      </c>
      <c r="AA139" s="21">
        <v>-1.32263E-2</v>
      </c>
      <c r="AB139" s="21">
        <v>129</v>
      </c>
      <c r="AC139" s="21">
        <v>0.99975599999999998</v>
      </c>
      <c r="AD139">
        <f t="shared" si="16"/>
        <v>16.328765432098766</v>
      </c>
      <c r="AE139">
        <f t="shared" si="17"/>
        <v>16.334807075308643</v>
      </c>
      <c r="AF139" s="9"/>
      <c r="AG139" s="21">
        <v>0.54962200000000005</v>
      </c>
      <c r="AH139" s="21">
        <v>18.8217</v>
      </c>
      <c r="AI139" s="21">
        <v>-1.3589499999999999E-2</v>
      </c>
      <c r="AJ139" s="21">
        <v>129</v>
      </c>
      <c r="AK139" s="21">
        <v>0.54904200000000003</v>
      </c>
      <c r="AL139">
        <f t="shared" si="18"/>
        <v>16.777160493827161</v>
      </c>
      <c r="AM139">
        <f t="shared" si="19"/>
        <v>9.2210965049382718</v>
      </c>
      <c r="AP139" s="9"/>
      <c r="AQ139" s="21">
        <v>1.00037</v>
      </c>
      <c r="AR139" s="21">
        <v>24.062899999999999</v>
      </c>
      <c r="AS139" s="21">
        <v>-1.31866E-2</v>
      </c>
      <c r="AT139" s="21">
        <v>129</v>
      </c>
      <c r="AU139" s="21">
        <v>0.99914599999999998</v>
      </c>
      <c r="AV139">
        <f t="shared" si="20"/>
        <v>16.279753086419749</v>
      </c>
      <c r="AW139">
        <f t="shared" si="21"/>
        <v>16.285776595061723</v>
      </c>
      <c r="AX139" s="9"/>
      <c r="AY139" s="21">
        <v>0.54962200000000005</v>
      </c>
      <c r="AZ139" s="21">
        <v>27.58</v>
      </c>
      <c r="BA139" s="21">
        <v>-1.35803E-2</v>
      </c>
      <c r="BB139" s="21">
        <v>129</v>
      </c>
      <c r="BC139" s="21">
        <v>0.54898100000000005</v>
      </c>
      <c r="BD139">
        <f t="shared" si="22"/>
        <v>16.765802469135803</v>
      </c>
      <c r="BE139">
        <f t="shared" si="23"/>
        <v>9.2148538846913599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0.99533099999999997</v>
      </c>
      <c r="H140" s="21">
        <v>6.5555500000000002</v>
      </c>
      <c r="I140" s="21">
        <v>-1.32172E-2</v>
      </c>
      <c r="J140" s="21">
        <v>130</v>
      </c>
      <c r="K140" s="21">
        <v>0.99456800000000001</v>
      </c>
      <c r="L140">
        <f t="shared" ref="L140:L203" si="24">-I140/$F$2*1000</f>
        <v>16.317530864197529</v>
      </c>
      <c r="M140">
        <f t="shared" ref="M140:M203" si="25">L140*G140</f>
        <v>16.241344312592592</v>
      </c>
      <c r="N140" s="9"/>
      <c r="O140" s="21">
        <v>0.55465699999999996</v>
      </c>
      <c r="P140" s="21">
        <v>10.0726</v>
      </c>
      <c r="Q140" s="21">
        <v>-1.35376E-2</v>
      </c>
      <c r="R140" s="21">
        <v>130</v>
      </c>
      <c r="S140" s="21">
        <v>0.55395499999999998</v>
      </c>
      <c r="T140">
        <f t="shared" ref="T140:T203" si="26">-Q140/$F$2*1000</f>
        <v>16.713086419753086</v>
      </c>
      <c r="U140">
        <f t="shared" ref="U140:U203" si="27">T140*O140</f>
        <v>9.2700303743209869</v>
      </c>
      <c r="X140" s="9"/>
      <c r="Y140" s="21">
        <v>0.99533099999999997</v>
      </c>
      <c r="Z140" s="21">
        <v>15.3148</v>
      </c>
      <c r="AA140" s="21">
        <v>-1.3229400000000001E-2</v>
      </c>
      <c r="AB140" s="21">
        <v>130</v>
      </c>
      <c r="AC140" s="21">
        <v>0.99487300000000001</v>
      </c>
      <c r="AD140">
        <f t="shared" ref="AD140:AD203" si="28">-AA140/$F$2*1000</f>
        <v>16.332592592592594</v>
      </c>
      <c r="AE140">
        <f t="shared" ref="AE140:AE203" si="29">AD140*Y140</f>
        <v>16.256335717777777</v>
      </c>
      <c r="AF140" s="9"/>
      <c r="AG140" s="21">
        <v>0.55465699999999996</v>
      </c>
      <c r="AH140" s="21">
        <v>18.831800000000001</v>
      </c>
      <c r="AI140" s="21">
        <v>-1.35803E-2</v>
      </c>
      <c r="AJ140" s="21">
        <v>130</v>
      </c>
      <c r="AK140" s="21">
        <v>0.55395499999999998</v>
      </c>
      <c r="AL140">
        <f t="shared" ref="AL140:AL203" si="30">-AI140/$F$2*1000</f>
        <v>16.765802469135803</v>
      </c>
      <c r="AM140">
        <f t="shared" ref="AM140:AM203" si="31">AL140*AG140</f>
        <v>9.2992697001234568</v>
      </c>
      <c r="AP140" s="9"/>
      <c r="AQ140" s="21">
        <v>0.99533099999999997</v>
      </c>
      <c r="AR140" s="21">
        <v>24.073</v>
      </c>
      <c r="AS140" s="21">
        <v>-1.3195800000000001E-2</v>
      </c>
      <c r="AT140" s="21">
        <v>130</v>
      </c>
      <c r="AU140" s="21">
        <v>0.99426300000000001</v>
      </c>
      <c r="AV140">
        <f t="shared" ref="AV140:AV203" si="32">-AS140/$F$2*1000</f>
        <v>16.29111111111111</v>
      </c>
      <c r="AW140">
        <f t="shared" ref="AW140:AW203" si="33">AV140*AQ140</f>
        <v>16.215047913333333</v>
      </c>
      <c r="AX140" s="9"/>
      <c r="AY140" s="21">
        <v>0.55465699999999996</v>
      </c>
      <c r="AZ140" s="21">
        <v>27.5901</v>
      </c>
      <c r="BA140" s="21">
        <v>-1.35651E-2</v>
      </c>
      <c r="BB140" s="21">
        <v>130</v>
      </c>
      <c r="BC140" s="21">
        <v>0.55398599999999998</v>
      </c>
      <c r="BD140">
        <f t="shared" ref="BD140:BD203" si="34">-BA140/$F$2*1000</f>
        <v>16.747037037037035</v>
      </c>
      <c r="BE140">
        <f t="shared" ref="BE140:BE203" si="35">BD140*AY140</f>
        <v>9.2888613218518508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0.99029500000000004</v>
      </c>
      <c r="H141" s="21">
        <v>6.56562</v>
      </c>
      <c r="I141" s="21">
        <v>-1.32324E-2</v>
      </c>
      <c r="J141" s="21">
        <v>131</v>
      </c>
      <c r="K141" s="21">
        <v>0.98938000000000004</v>
      </c>
      <c r="L141">
        <f t="shared" si="24"/>
        <v>16.336296296296297</v>
      </c>
      <c r="M141">
        <f t="shared" si="25"/>
        <v>16.177752540740741</v>
      </c>
      <c r="N141" s="9"/>
      <c r="O141" s="21">
        <v>0.55969199999999997</v>
      </c>
      <c r="P141" s="21">
        <v>10.082700000000001</v>
      </c>
      <c r="Q141" s="21">
        <v>-1.35254E-2</v>
      </c>
      <c r="R141" s="21">
        <v>131</v>
      </c>
      <c r="S141" s="21">
        <v>0.55905199999999999</v>
      </c>
      <c r="T141">
        <f t="shared" si="26"/>
        <v>16.698024691358025</v>
      </c>
      <c r="U141">
        <f t="shared" si="27"/>
        <v>9.3457508355555561</v>
      </c>
      <c r="X141" s="9"/>
      <c r="Y141" s="21">
        <v>0.99029500000000004</v>
      </c>
      <c r="Z141" s="21">
        <v>15.3248</v>
      </c>
      <c r="AA141" s="21">
        <v>-1.32324E-2</v>
      </c>
      <c r="AB141" s="21">
        <v>131</v>
      </c>
      <c r="AC141" s="21">
        <v>0.98968500000000004</v>
      </c>
      <c r="AD141">
        <f t="shared" si="28"/>
        <v>16.336296296296297</v>
      </c>
      <c r="AE141">
        <f t="shared" si="29"/>
        <v>16.177752540740741</v>
      </c>
      <c r="AF141" s="9"/>
      <c r="AG141" s="21">
        <v>0.55969199999999997</v>
      </c>
      <c r="AH141" s="21">
        <v>18.841899999999999</v>
      </c>
      <c r="AI141" s="21">
        <v>-1.35651E-2</v>
      </c>
      <c r="AJ141" s="21">
        <v>131</v>
      </c>
      <c r="AK141" s="21">
        <v>0.55908199999999997</v>
      </c>
      <c r="AL141">
        <f t="shared" si="30"/>
        <v>16.747037037037035</v>
      </c>
      <c r="AM141">
        <f t="shared" si="31"/>
        <v>9.3731826533333322</v>
      </c>
      <c r="AP141" s="9"/>
      <c r="AQ141" s="21">
        <v>0.99029500000000004</v>
      </c>
      <c r="AR141" s="21">
        <v>24.083100000000002</v>
      </c>
      <c r="AS141" s="21">
        <v>-1.32172E-2</v>
      </c>
      <c r="AT141" s="21">
        <v>131</v>
      </c>
      <c r="AU141" s="21">
        <v>0.98968500000000004</v>
      </c>
      <c r="AV141">
        <f t="shared" si="32"/>
        <v>16.317530864197529</v>
      </c>
      <c r="AW141">
        <f t="shared" si="33"/>
        <v>16.159169227160493</v>
      </c>
      <c r="AX141" s="9"/>
      <c r="AY141" s="21">
        <v>0.55969199999999997</v>
      </c>
      <c r="AZ141" s="21">
        <v>27.600200000000001</v>
      </c>
      <c r="BA141" s="21">
        <v>-1.3561999999999999E-2</v>
      </c>
      <c r="BB141" s="21">
        <v>131</v>
      </c>
      <c r="BC141" s="21">
        <v>0.55905199999999999</v>
      </c>
      <c r="BD141">
        <f t="shared" si="34"/>
        <v>16.743209876543208</v>
      </c>
      <c r="BE141">
        <f t="shared" si="35"/>
        <v>9.3710406222222211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0.98526000000000002</v>
      </c>
      <c r="H142" s="21">
        <v>6.5757000000000003</v>
      </c>
      <c r="I142" s="21">
        <v>-1.3235500000000001E-2</v>
      </c>
      <c r="J142" s="21">
        <v>132</v>
      </c>
      <c r="K142" s="21">
        <v>0.98388699999999996</v>
      </c>
      <c r="L142">
        <f t="shared" si="24"/>
        <v>16.340123456790124</v>
      </c>
      <c r="M142">
        <f t="shared" si="25"/>
        <v>16.099270037037037</v>
      </c>
      <c r="N142" s="9"/>
      <c r="O142" s="21">
        <v>0.56472800000000001</v>
      </c>
      <c r="P142" s="21">
        <v>10.0928</v>
      </c>
      <c r="Q142" s="21">
        <v>-1.3522299999999999E-2</v>
      </c>
      <c r="R142" s="21">
        <v>132</v>
      </c>
      <c r="S142" s="21">
        <v>0.56402600000000003</v>
      </c>
      <c r="T142">
        <f t="shared" si="26"/>
        <v>16.694197530864194</v>
      </c>
      <c r="U142">
        <f t="shared" si="27"/>
        <v>9.4276807832098743</v>
      </c>
      <c r="X142" s="9"/>
      <c r="Y142" s="21">
        <v>0.98526000000000002</v>
      </c>
      <c r="Z142" s="21">
        <v>15.334899999999999</v>
      </c>
      <c r="AA142" s="21">
        <v>-1.3247699999999999E-2</v>
      </c>
      <c r="AB142" s="21">
        <v>132</v>
      </c>
      <c r="AC142" s="21">
        <v>0.98419199999999996</v>
      </c>
      <c r="AD142">
        <f t="shared" si="28"/>
        <v>16.355185185185185</v>
      </c>
      <c r="AE142">
        <f t="shared" si="29"/>
        <v>16.114109755555557</v>
      </c>
      <c r="AF142" s="9"/>
      <c r="AG142" s="21">
        <v>0.56472800000000001</v>
      </c>
      <c r="AH142" s="21">
        <v>18.852</v>
      </c>
      <c r="AI142" s="21">
        <v>-1.3549800000000001E-2</v>
      </c>
      <c r="AJ142" s="21">
        <v>132</v>
      </c>
      <c r="AK142" s="21">
        <v>0.56411699999999998</v>
      </c>
      <c r="AL142">
        <f t="shared" si="30"/>
        <v>16.728148148148147</v>
      </c>
      <c r="AM142">
        <f t="shared" si="31"/>
        <v>9.4468536474074067</v>
      </c>
      <c r="AP142" s="9"/>
      <c r="AQ142" s="21">
        <v>0.98526000000000002</v>
      </c>
      <c r="AR142" s="21">
        <v>24.0931</v>
      </c>
      <c r="AS142" s="21">
        <v>-1.32324E-2</v>
      </c>
      <c r="AT142" s="21">
        <v>132</v>
      </c>
      <c r="AU142" s="21">
        <v>0.98388699999999996</v>
      </c>
      <c r="AV142">
        <f t="shared" si="32"/>
        <v>16.336296296296297</v>
      </c>
      <c r="AW142">
        <f t="shared" si="33"/>
        <v>16.095499288888888</v>
      </c>
      <c r="AX142" s="9"/>
      <c r="AY142" s="21">
        <v>0.56472800000000001</v>
      </c>
      <c r="AZ142" s="21">
        <v>27.610299999999999</v>
      </c>
      <c r="BA142" s="21">
        <v>-1.3559E-2</v>
      </c>
      <c r="BB142" s="21">
        <v>132</v>
      </c>
      <c r="BC142" s="21">
        <v>0.56423999999999996</v>
      </c>
      <c r="BD142">
        <f t="shared" si="34"/>
        <v>16.739506172839505</v>
      </c>
      <c r="BE142">
        <f t="shared" si="35"/>
        <v>9.4532678419753076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0.98022500000000001</v>
      </c>
      <c r="H143" s="21">
        <v>6.5857700000000001</v>
      </c>
      <c r="I143" s="21">
        <v>-1.32385E-2</v>
      </c>
      <c r="J143" s="21">
        <v>133</v>
      </c>
      <c r="K143" s="21">
        <v>0.97961399999999998</v>
      </c>
      <c r="L143">
        <f t="shared" si="24"/>
        <v>16.343827160493824</v>
      </c>
      <c r="M143">
        <f t="shared" si="25"/>
        <v>16.020627978395058</v>
      </c>
      <c r="N143" s="9"/>
      <c r="O143" s="21">
        <v>0.56976300000000002</v>
      </c>
      <c r="P143" s="21">
        <v>10.1028</v>
      </c>
      <c r="Q143" s="21">
        <v>-1.3510100000000001E-2</v>
      </c>
      <c r="R143" s="21">
        <v>133</v>
      </c>
      <c r="S143" s="21">
        <v>0.56909200000000004</v>
      </c>
      <c r="T143">
        <f t="shared" si="26"/>
        <v>16.679135802469133</v>
      </c>
      <c r="U143">
        <f t="shared" si="27"/>
        <v>9.5031544522222209</v>
      </c>
      <c r="X143" s="9"/>
      <c r="Y143" s="21">
        <v>0.98022500000000001</v>
      </c>
      <c r="Z143" s="21">
        <v>15.345000000000001</v>
      </c>
      <c r="AA143" s="21">
        <v>-1.3250700000000001E-2</v>
      </c>
      <c r="AB143" s="21">
        <v>133</v>
      </c>
      <c r="AC143" s="21">
        <v>0.97900399999999999</v>
      </c>
      <c r="AD143">
        <f t="shared" si="28"/>
        <v>16.358888888888888</v>
      </c>
      <c r="AE143">
        <f t="shared" si="29"/>
        <v>16.035391861111112</v>
      </c>
      <c r="AF143" s="9"/>
      <c r="AG143" s="21">
        <v>0.56976300000000002</v>
      </c>
      <c r="AH143" s="21">
        <v>18.861999999999998</v>
      </c>
      <c r="AI143" s="21">
        <v>-1.35345E-2</v>
      </c>
      <c r="AJ143" s="21">
        <v>133</v>
      </c>
      <c r="AK143" s="21">
        <v>0.56915300000000002</v>
      </c>
      <c r="AL143">
        <f t="shared" si="30"/>
        <v>16.709259259259255</v>
      </c>
      <c r="AM143">
        <f t="shared" si="31"/>
        <v>9.5203176833333316</v>
      </c>
      <c r="AP143" s="9"/>
      <c r="AQ143" s="21">
        <v>0.98022500000000001</v>
      </c>
      <c r="AR143" s="21">
        <v>24.103200000000001</v>
      </c>
      <c r="AS143" s="21">
        <v>-1.32446E-2</v>
      </c>
      <c r="AT143" s="21">
        <v>133</v>
      </c>
      <c r="AU143" s="21">
        <v>0.97930899999999999</v>
      </c>
      <c r="AV143">
        <f t="shared" si="32"/>
        <v>16.351358024691358</v>
      </c>
      <c r="AW143">
        <f t="shared" si="33"/>
        <v>16.028009919753085</v>
      </c>
      <c r="AX143" s="9"/>
      <c r="AY143" s="21">
        <v>0.56976300000000002</v>
      </c>
      <c r="AZ143" s="21">
        <v>27.6203</v>
      </c>
      <c r="BA143" s="21">
        <v>-1.35376E-2</v>
      </c>
      <c r="BB143" s="21">
        <v>133</v>
      </c>
      <c r="BC143" s="21">
        <v>0.56912200000000002</v>
      </c>
      <c r="BD143">
        <f t="shared" si="34"/>
        <v>16.713086419753086</v>
      </c>
      <c r="BE143">
        <f t="shared" si="35"/>
        <v>9.5224982577777784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0.97518899999999997</v>
      </c>
      <c r="H144" s="21">
        <v>6.5958399999999999</v>
      </c>
      <c r="I144" s="21">
        <v>-1.32385E-2</v>
      </c>
      <c r="J144" s="21">
        <v>134</v>
      </c>
      <c r="K144" s="21">
        <v>0.97412100000000001</v>
      </c>
      <c r="L144">
        <f t="shared" si="24"/>
        <v>16.343827160493824</v>
      </c>
      <c r="M144">
        <f t="shared" si="25"/>
        <v>15.938320464814812</v>
      </c>
      <c r="N144" s="9"/>
      <c r="O144" s="21">
        <v>0.57479899999999995</v>
      </c>
      <c r="P144" s="21">
        <v>10.1129</v>
      </c>
      <c r="Q144" s="21">
        <v>-1.3510100000000001E-2</v>
      </c>
      <c r="R144" s="21">
        <v>134</v>
      </c>
      <c r="S144" s="21">
        <v>0.57421900000000003</v>
      </c>
      <c r="T144">
        <f t="shared" si="26"/>
        <v>16.679135802469133</v>
      </c>
      <c r="U144">
        <f t="shared" si="27"/>
        <v>9.5871505801234544</v>
      </c>
      <c r="X144" s="9"/>
      <c r="Y144" s="21">
        <v>0.97518899999999997</v>
      </c>
      <c r="Z144" s="21">
        <v>15.355</v>
      </c>
      <c r="AA144" s="21">
        <v>-1.3250700000000001E-2</v>
      </c>
      <c r="AB144" s="21">
        <v>134</v>
      </c>
      <c r="AC144" s="21">
        <v>0.97381600000000001</v>
      </c>
      <c r="AD144">
        <f t="shared" si="28"/>
        <v>16.358888888888888</v>
      </c>
      <c r="AE144">
        <f t="shared" si="29"/>
        <v>15.953008496666666</v>
      </c>
      <c r="AF144" s="9"/>
      <c r="AG144" s="21">
        <v>0.57479899999999995</v>
      </c>
      <c r="AH144" s="21">
        <v>18.8721</v>
      </c>
      <c r="AI144" s="21">
        <v>-1.3528399999999999E-2</v>
      </c>
      <c r="AJ144" s="21">
        <v>134</v>
      </c>
      <c r="AK144" s="21">
        <v>0.57428000000000001</v>
      </c>
      <c r="AL144">
        <f t="shared" si="30"/>
        <v>16.701728395061725</v>
      </c>
      <c r="AM144">
        <f t="shared" si="31"/>
        <v>9.6001367797530843</v>
      </c>
      <c r="AP144" s="9"/>
      <c r="AQ144" s="21">
        <v>0.97518899999999997</v>
      </c>
      <c r="AR144" s="21">
        <v>24.113299999999999</v>
      </c>
      <c r="AS144" s="21">
        <v>-1.32446E-2</v>
      </c>
      <c r="AT144" s="21">
        <v>134</v>
      </c>
      <c r="AU144" s="21">
        <v>0.97442600000000001</v>
      </c>
      <c r="AV144">
        <f t="shared" si="32"/>
        <v>16.351358024691358</v>
      </c>
      <c r="AW144">
        <f t="shared" si="33"/>
        <v>15.94566448074074</v>
      </c>
      <c r="AX144" s="9"/>
      <c r="AY144" s="21">
        <v>0.57479899999999995</v>
      </c>
      <c r="AZ144" s="21">
        <v>27.630400000000002</v>
      </c>
      <c r="BA144" s="21">
        <v>-1.35406E-2</v>
      </c>
      <c r="BB144" s="21">
        <v>134</v>
      </c>
      <c r="BC144" s="21">
        <v>0.57412700000000005</v>
      </c>
      <c r="BD144">
        <f t="shared" si="34"/>
        <v>16.716790123456789</v>
      </c>
      <c r="BE144">
        <f t="shared" si="35"/>
        <v>9.6087942461728382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0.97015399999999996</v>
      </c>
      <c r="H145" s="21">
        <v>6.6059099999999997</v>
      </c>
      <c r="I145" s="21">
        <v>-1.32446E-2</v>
      </c>
      <c r="J145" s="21">
        <v>135</v>
      </c>
      <c r="K145" s="21">
        <v>0.96923800000000004</v>
      </c>
      <c r="L145">
        <f t="shared" si="24"/>
        <v>16.351358024691358</v>
      </c>
      <c r="M145">
        <f t="shared" si="25"/>
        <v>15.86333539308642</v>
      </c>
      <c r="N145" s="9"/>
      <c r="O145" s="21">
        <v>0.57983399999999996</v>
      </c>
      <c r="P145" s="21">
        <v>10.122999999999999</v>
      </c>
      <c r="Q145" s="21">
        <v>-1.3504E-2</v>
      </c>
      <c r="R145" s="21">
        <v>135</v>
      </c>
      <c r="S145" s="21">
        <v>0.57916299999999998</v>
      </c>
      <c r="T145">
        <f t="shared" si="26"/>
        <v>16.671604938271606</v>
      </c>
      <c r="U145">
        <f t="shared" si="27"/>
        <v>9.6667633777777784</v>
      </c>
      <c r="X145" s="9"/>
      <c r="Y145" s="21">
        <v>0.97015399999999996</v>
      </c>
      <c r="Z145" s="21">
        <v>15.3651</v>
      </c>
      <c r="AA145" s="21">
        <v>-1.3256799999999999E-2</v>
      </c>
      <c r="AB145" s="21">
        <v>135</v>
      </c>
      <c r="AC145" s="21">
        <v>0.96954300000000004</v>
      </c>
      <c r="AD145">
        <f t="shared" si="28"/>
        <v>16.366419753086415</v>
      </c>
      <c r="AE145">
        <f t="shared" si="29"/>
        <v>15.877947589135797</v>
      </c>
      <c r="AF145" s="9"/>
      <c r="AG145" s="21">
        <v>0.57983399999999996</v>
      </c>
      <c r="AH145" s="21">
        <v>18.882200000000001</v>
      </c>
      <c r="AI145" s="21">
        <v>-1.3522299999999999E-2</v>
      </c>
      <c r="AJ145" s="21">
        <v>135</v>
      </c>
      <c r="AK145" s="21">
        <v>0.57922399999999996</v>
      </c>
      <c r="AL145">
        <f t="shared" si="30"/>
        <v>16.694197530864194</v>
      </c>
      <c r="AM145">
        <f t="shared" si="31"/>
        <v>9.6798633311111093</v>
      </c>
      <c r="AP145" s="9"/>
      <c r="AQ145" s="21">
        <v>0.97015399999999996</v>
      </c>
      <c r="AR145" s="21">
        <v>24.1233</v>
      </c>
      <c r="AS145" s="21">
        <v>-1.3250700000000001E-2</v>
      </c>
      <c r="AT145" s="21">
        <v>135</v>
      </c>
      <c r="AU145" s="21">
        <v>0.96893300000000004</v>
      </c>
      <c r="AV145">
        <f t="shared" si="32"/>
        <v>16.358888888888888</v>
      </c>
      <c r="AW145">
        <f t="shared" si="33"/>
        <v>15.87064149111111</v>
      </c>
      <c r="AX145" s="9"/>
      <c r="AY145" s="21">
        <v>0.57983399999999996</v>
      </c>
      <c r="AZ145" s="21">
        <v>27.640499999999999</v>
      </c>
      <c r="BA145" s="21">
        <v>-1.35406E-2</v>
      </c>
      <c r="BB145" s="21">
        <v>135</v>
      </c>
      <c r="BC145" s="21">
        <v>0.57919299999999996</v>
      </c>
      <c r="BD145">
        <f t="shared" si="34"/>
        <v>16.716790123456789</v>
      </c>
      <c r="BE145">
        <f t="shared" si="35"/>
        <v>9.6929632844444438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0.96511800000000003</v>
      </c>
      <c r="H146" s="21">
        <v>6.6159800000000004</v>
      </c>
      <c r="I146" s="21">
        <v>-1.32538E-2</v>
      </c>
      <c r="J146" s="21">
        <v>136</v>
      </c>
      <c r="K146" s="21">
        <v>0.96404999999999996</v>
      </c>
      <c r="L146">
        <f t="shared" si="24"/>
        <v>16.362716049382716</v>
      </c>
      <c r="M146">
        <f t="shared" si="25"/>
        <v>15.791951788148149</v>
      </c>
      <c r="N146" s="9"/>
      <c r="O146" s="21">
        <v>0.58486899999999997</v>
      </c>
      <c r="P146" s="21">
        <v>10.132999999999999</v>
      </c>
      <c r="Q146" s="21">
        <v>-1.34979E-2</v>
      </c>
      <c r="R146" s="21">
        <v>136</v>
      </c>
      <c r="S146" s="21">
        <v>0.58425899999999997</v>
      </c>
      <c r="T146">
        <f t="shared" si="26"/>
        <v>16.664074074074072</v>
      </c>
      <c r="U146">
        <f t="shared" si="27"/>
        <v>9.7463003396296291</v>
      </c>
      <c r="X146" s="9"/>
      <c r="Y146" s="21">
        <v>0.96511800000000003</v>
      </c>
      <c r="Z146" s="21">
        <v>15.3752</v>
      </c>
      <c r="AA146" s="21">
        <v>-1.3262899999999999E-2</v>
      </c>
      <c r="AB146" s="21">
        <v>136</v>
      </c>
      <c r="AC146" s="21">
        <v>0.96404999999999996</v>
      </c>
      <c r="AD146">
        <f t="shared" si="28"/>
        <v>16.373950617283949</v>
      </c>
      <c r="AE146">
        <f t="shared" si="29"/>
        <v>15.80279447185185</v>
      </c>
      <c r="AF146" s="9"/>
      <c r="AG146" s="21">
        <v>0.58486899999999997</v>
      </c>
      <c r="AH146" s="21">
        <v>18.892199999999999</v>
      </c>
      <c r="AI146" s="21">
        <v>-1.35254E-2</v>
      </c>
      <c r="AJ146" s="21">
        <v>136</v>
      </c>
      <c r="AK146" s="21">
        <v>0.58431999999999995</v>
      </c>
      <c r="AL146">
        <f t="shared" si="30"/>
        <v>16.698024691358025</v>
      </c>
      <c r="AM146">
        <f t="shared" si="31"/>
        <v>9.7661570032098766</v>
      </c>
      <c r="AP146" s="9"/>
      <c r="AQ146" s="21">
        <v>0.96511800000000003</v>
      </c>
      <c r="AR146" s="21">
        <v>24.133400000000002</v>
      </c>
      <c r="AS146" s="21">
        <v>-1.3256799999999999E-2</v>
      </c>
      <c r="AT146" s="21">
        <v>136</v>
      </c>
      <c r="AU146" s="21">
        <v>0.96404999999999996</v>
      </c>
      <c r="AV146">
        <f t="shared" si="32"/>
        <v>16.366419753086415</v>
      </c>
      <c r="AW146">
        <f t="shared" si="33"/>
        <v>15.795526299259254</v>
      </c>
      <c r="AX146" s="9"/>
      <c r="AY146" s="21">
        <v>0.58486899999999997</v>
      </c>
      <c r="AZ146" s="21">
        <v>27.650500000000001</v>
      </c>
      <c r="BA146" s="21">
        <v>-1.35406E-2</v>
      </c>
      <c r="BB146" s="21">
        <v>136</v>
      </c>
      <c r="BC146" s="21">
        <v>0.584229</v>
      </c>
      <c r="BD146">
        <f t="shared" si="34"/>
        <v>16.716790123456789</v>
      </c>
      <c r="BE146">
        <f t="shared" si="35"/>
        <v>9.7771323227160476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0.96008300000000002</v>
      </c>
      <c r="H147" s="21">
        <v>6.6260500000000002</v>
      </c>
      <c r="I147" s="21">
        <v>-1.3256799999999999E-2</v>
      </c>
      <c r="J147" s="21">
        <v>137</v>
      </c>
      <c r="K147" s="21">
        <v>0.95886199999999999</v>
      </c>
      <c r="L147">
        <f t="shared" si="24"/>
        <v>16.366419753086415</v>
      </c>
      <c r="M147">
        <f t="shared" si="25"/>
        <v>15.713121375802466</v>
      </c>
      <c r="N147" s="9"/>
      <c r="O147" s="21">
        <v>0.58990500000000001</v>
      </c>
      <c r="P147" s="21">
        <v>10.1431</v>
      </c>
      <c r="Q147" s="21">
        <v>-1.34827E-2</v>
      </c>
      <c r="R147" s="21">
        <v>137</v>
      </c>
      <c r="S147" s="21">
        <v>0.58923300000000001</v>
      </c>
      <c r="T147">
        <f t="shared" si="26"/>
        <v>16.645308641975308</v>
      </c>
      <c r="U147">
        <f t="shared" si="27"/>
        <v>9.8191507944444449</v>
      </c>
      <c r="X147" s="9"/>
      <c r="Y147" s="21">
        <v>0.96008300000000002</v>
      </c>
      <c r="Z147" s="21">
        <v>15.385300000000001</v>
      </c>
      <c r="AA147" s="21">
        <v>-1.3269E-2</v>
      </c>
      <c r="AB147" s="21">
        <v>137</v>
      </c>
      <c r="AC147" s="21">
        <v>0.95916699999999999</v>
      </c>
      <c r="AD147">
        <f t="shared" si="28"/>
        <v>16.38148148148148</v>
      </c>
      <c r="AE147">
        <f t="shared" si="29"/>
        <v>15.727581885185185</v>
      </c>
      <c r="AF147" s="9"/>
      <c r="AG147" s="21">
        <v>0.58990500000000001</v>
      </c>
      <c r="AH147" s="21">
        <v>18.9023</v>
      </c>
      <c r="AI147" s="21">
        <v>-1.35315E-2</v>
      </c>
      <c r="AJ147" s="21">
        <v>137</v>
      </c>
      <c r="AK147" s="21">
        <v>0.58929399999999998</v>
      </c>
      <c r="AL147">
        <f t="shared" si="30"/>
        <v>16.705555555555552</v>
      </c>
      <c r="AM147">
        <f t="shared" si="31"/>
        <v>9.8546907499999978</v>
      </c>
      <c r="AP147" s="9"/>
      <c r="AQ147" s="21">
        <v>0.96008300000000002</v>
      </c>
      <c r="AR147" s="21">
        <v>24.1435</v>
      </c>
      <c r="AS147" s="21">
        <v>-1.3262899999999999E-2</v>
      </c>
      <c r="AT147" s="21">
        <v>137</v>
      </c>
      <c r="AU147" s="21">
        <v>0.95916699999999999</v>
      </c>
      <c r="AV147">
        <f t="shared" si="32"/>
        <v>16.373950617283949</v>
      </c>
      <c r="AW147">
        <f t="shared" si="33"/>
        <v>15.720351630493825</v>
      </c>
      <c r="AX147" s="9"/>
      <c r="AY147" s="21">
        <v>0.58990500000000001</v>
      </c>
      <c r="AZ147" s="21">
        <v>27.660599999999999</v>
      </c>
      <c r="BA147" s="21">
        <v>-1.3543700000000001E-2</v>
      </c>
      <c r="BB147" s="21">
        <v>137</v>
      </c>
      <c r="BC147" s="21">
        <v>0.58932499999999999</v>
      </c>
      <c r="BD147">
        <f t="shared" si="34"/>
        <v>16.720617283950617</v>
      </c>
      <c r="BE147">
        <f t="shared" si="35"/>
        <v>9.8635757388888887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0.95504800000000001</v>
      </c>
      <c r="H148" s="21">
        <v>6.63612</v>
      </c>
      <c r="I148" s="21">
        <v>-1.32538E-2</v>
      </c>
      <c r="J148" s="21">
        <v>138</v>
      </c>
      <c r="K148" s="21">
        <v>0.95428500000000005</v>
      </c>
      <c r="L148">
        <f t="shared" si="24"/>
        <v>16.362716049382716</v>
      </c>
      <c r="M148">
        <f t="shared" si="25"/>
        <v>15.627179237530864</v>
      </c>
      <c r="N148" s="9"/>
      <c r="O148" s="21">
        <v>0.59494000000000002</v>
      </c>
      <c r="P148" s="21">
        <v>10.1532</v>
      </c>
      <c r="Q148" s="21">
        <v>-1.34766E-2</v>
      </c>
      <c r="R148" s="21">
        <v>138</v>
      </c>
      <c r="S148" s="21">
        <v>0.59429900000000002</v>
      </c>
      <c r="T148">
        <f t="shared" si="26"/>
        <v>16.637777777777774</v>
      </c>
      <c r="U148">
        <f t="shared" si="27"/>
        <v>9.898479511111109</v>
      </c>
      <c r="X148" s="9"/>
      <c r="Y148" s="21">
        <v>0.95504800000000001</v>
      </c>
      <c r="Z148" s="21">
        <v>15.395300000000001</v>
      </c>
      <c r="AA148" s="21">
        <v>-1.32721E-2</v>
      </c>
      <c r="AB148" s="21">
        <v>138</v>
      </c>
      <c r="AC148" s="21">
        <v>0.95367400000000002</v>
      </c>
      <c r="AD148">
        <f t="shared" si="28"/>
        <v>16.385308641975307</v>
      </c>
      <c r="AE148">
        <f t="shared" si="29"/>
        <v>15.648756247901233</v>
      </c>
      <c r="AF148" s="9"/>
      <c r="AG148" s="21">
        <v>0.59494000000000002</v>
      </c>
      <c r="AH148" s="21">
        <v>18.912400000000002</v>
      </c>
      <c r="AI148" s="21">
        <v>-1.35315E-2</v>
      </c>
      <c r="AJ148" s="21">
        <v>138</v>
      </c>
      <c r="AK148" s="21">
        <v>0.59429900000000002</v>
      </c>
      <c r="AL148">
        <f t="shared" si="30"/>
        <v>16.705555555555552</v>
      </c>
      <c r="AM148">
        <f t="shared" si="31"/>
        <v>9.9388032222222211</v>
      </c>
      <c r="AP148" s="9"/>
      <c r="AQ148" s="21">
        <v>0.95504800000000001</v>
      </c>
      <c r="AR148" s="21">
        <v>24.153500000000001</v>
      </c>
      <c r="AS148" s="21">
        <v>-1.3266E-2</v>
      </c>
      <c r="AT148" s="21">
        <v>138</v>
      </c>
      <c r="AU148" s="21">
        <v>0.95397900000000002</v>
      </c>
      <c r="AV148">
        <f t="shared" si="32"/>
        <v>16.377777777777776</v>
      </c>
      <c r="AW148">
        <f t="shared" si="33"/>
        <v>15.64156391111111</v>
      </c>
      <c r="AX148" s="9"/>
      <c r="AY148" s="21">
        <v>0.59494000000000002</v>
      </c>
      <c r="AZ148" s="21">
        <v>27.6707</v>
      </c>
      <c r="BA148" s="21">
        <v>-1.35345E-2</v>
      </c>
      <c r="BB148" s="21">
        <v>138</v>
      </c>
      <c r="BC148" s="21">
        <v>0.59429900000000002</v>
      </c>
      <c r="BD148">
        <f t="shared" si="34"/>
        <v>16.709259259259255</v>
      </c>
      <c r="BE148">
        <f t="shared" si="35"/>
        <v>9.9410067037037013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0.95001199999999997</v>
      </c>
      <c r="H149" s="21">
        <v>6.6461899999999998</v>
      </c>
      <c r="I149" s="21">
        <v>-1.3247699999999999E-2</v>
      </c>
      <c r="J149" s="21">
        <v>139</v>
      </c>
      <c r="K149" s="21">
        <v>0.94879199999999997</v>
      </c>
      <c r="L149">
        <f t="shared" si="24"/>
        <v>16.355185185185185</v>
      </c>
      <c r="M149">
        <f t="shared" si="25"/>
        <v>15.537622188148147</v>
      </c>
      <c r="N149" s="9"/>
      <c r="O149" s="21">
        <v>0.59997599999999995</v>
      </c>
      <c r="P149" s="21">
        <v>10.1633</v>
      </c>
      <c r="Q149" s="21">
        <v>-1.34766E-2</v>
      </c>
      <c r="R149" s="21">
        <v>139</v>
      </c>
      <c r="S149" s="21">
        <v>0.59939600000000004</v>
      </c>
      <c r="T149">
        <f t="shared" si="26"/>
        <v>16.637777777777774</v>
      </c>
      <c r="U149">
        <f t="shared" si="27"/>
        <v>9.982267359999998</v>
      </c>
      <c r="X149" s="9"/>
      <c r="Y149" s="21">
        <v>0.95001199999999997</v>
      </c>
      <c r="Z149" s="21">
        <v>15.4054</v>
      </c>
      <c r="AA149" s="21">
        <v>-1.32751E-2</v>
      </c>
      <c r="AB149" s="21">
        <v>139</v>
      </c>
      <c r="AC149" s="21">
        <v>0.94909699999999997</v>
      </c>
      <c r="AD149">
        <f t="shared" si="28"/>
        <v>16.38901234567901</v>
      </c>
      <c r="AE149">
        <f t="shared" si="29"/>
        <v>15.569758396543207</v>
      </c>
      <c r="AF149" s="9"/>
      <c r="AG149" s="21">
        <v>0.59997599999999995</v>
      </c>
      <c r="AH149" s="21">
        <v>18.922499999999999</v>
      </c>
      <c r="AI149" s="21">
        <v>-1.35315E-2</v>
      </c>
      <c r="AJ149" s="21">
        <v>139</v>
      </c>
      <c r="AK149" s="21">
        <v>0.59927399999999997</v>
      </c>
      <c r="AL149">
        <f t="shared" si="30"/>
        <v>16.705555555555552</v>
      </c>
      <c r="AM149">
        <f t="shared" si="31"/>
        <v>10.022932399999997</v>
      </c>
      <c r="AP149" s="9"/>
      <c r="AQ149" s="21">
        <v>0.95001199999999997</v>
      </c>
      <c r="AR149" s="21">
        <v>24.163599999999999</v>
      </c>
      <c r="AS149" s="21">
        <v>-1.32751E-2</v>
      </c>
      <c r="AT149" s="21">
        <v>139</v>
      </c>
      <c r="AU149" s="21">
        <v>0.94909699999999997</v>
      </c>
      <c r="AV149">
        <f t="shared" si="32"/>
        <v>16.38901234567901</v>
      </c>
      <c r="AW149">
        <f t="shared" si="33"/>
        <v>15.569758396543207</v>
      </c>
      <c r="AX149" s="9"/>
      <c r="AY149" s="21">
        <v>0.59997599999999995</v>
      </c>
      <c r="AZ149" s="21">
        <v>27.680800000000001</v>
      </c>
      <c r="BA149" s="21">
        <v>-1.35254E-2</v>
      </c>
      <c r="BB149" s="21">
        <v>139</v>
      </c>
      <c r="BC149" s="21">
        <v>0.59936500000000004</v>
      </c>
      <c r="BD149">
        <f t="shared" si="34"/>
        <v>16.698024691358025</v>
      </c>
      <c r="BE149">
        <f t="shared" si="35"/>
        <v>10.018414062222222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0.94497699999999996</v>
      </c>
      <c r="H150" s="21">
        <v>6.6562599999999996</v>
      </c>
      <c r="I150" s="21">
        <v>-1.3250700000000001E-2</v>
      </c>
      <c r="J150" s="21">
        <v>140</v>
      </c>
      <c r="K150" s="21">
        <v>0.94329799999999997</v>
      </c>
      <c r="L150">
        <f t="shared" si="24"/>
        <v>16.358888888888888</v>
      </c>
      <c r="M150">
        <f t="shared" si="25"/>
        <v>15.458773745555554</v>
      </c>
      <c r="N150" s="9"/>
      <c r="O150" s="21">
        <v>0.60501099999999997</v>
      </c>
      <c r="P150" s="21">
        <v>10.173299999999999</v>
      </c>
      <c r="Q150" s="21">
        <v>-1.34827E-2</v>
      </c>
      <c r="R150" s="21">
        <v>140</v>
      </c>
      <c r="S150" s="21">
        <v>0.60433999999999999</v>
      </c>
      <c r="T150">
        <f t="shared" si="26"/>
        <v>16.645308641975308</v>
      </c>
      <c r="U150">
        <f t="shared" si="27"/>
        <v>10.070594826790122</v>
      </c>
      <c r="X150" s="9"/>
      <c r="Y150" s="21">
        <v>0.94497699999999996</v>
      </c>
      <c r="Z150" s="21">
        <v>15.4155</v>
      </c>
      <c r="AA150" s="21">
        <v>-1.32721E-2</v>
      </c>
      <c r="AB150" s="21">
        <v>140</v>
      </c>
      <c r="AC150" s="21">
        <v>0.943604</v>
      </c>
      <c r="AD150">
        <f t="shared" si="28"/>
        <v>16.385308641975307</v>
      </c>
      <c r="AE150">
        <f t="shared" si="29"/>
        <v>15.483739804567898</v>
      </c>
      <c r="AF150" s="9"/>
      <c r="AG150" s="21">
        <v>0.60501099999999997</v>
      </c>
      <c r="AH150" s="21">
        <v>18.932500000000001</v>
      </c>
      <c r="AI150" s="21">
        <v>-1.3543700000000001E-2</v>
      </c>
      <c r="AJ150" s="21">
        <v>140</v>
      </c>
      <c r="AK150" s="21">
        <v>0.60436999999999996</v>
      </c>
      <c r="AL150">
        <f t="shared" si="30"/>
        <v>16.720617283950617</v>
      </c>
      <c r="AM150">
        <f t="shared" si="31"/>
        <v>10.116157383580246</v>
      </c>
      <c r="AP150" s="9"/>
      <c r="AQ150" s="21">
        <v>0.94497699999999996</v>
      </c>
      <c r="AR150" s="21">
        <v>24.1737</v>
      </c>
      <c r="AS150" s="21">
        <v>-1.3266E-2</v>
      </c>
      <c r="AT150" s="21">
        <v>140</v>
      </c>
      <c r="AU150" s="21">
        <v>0.943909</v>
      </c>
      <c r="AV150">
        <f t="shared" si="32"/>
        <v>16.377777777777776</v>
      </c>
      <c r="AW150">
        <f t="shared" si="33"/>
        <v>15.476623311111108</v>
      </c>
      <c r="AX150" s="9"/>
      <c r="AY150" s="21">
        <v>0.60501099999999997</v>
      </c>
      <c r="AZ150" s="21">
        <v>27.690799999999999</v>
      </c>
      <c r="BA150" s="21">
        <v>-1.35193E-2</v>
      </c>
      <c r="BB150" s="21">
        <v>140</v>
      </c>
      <c r="BC150" s="21">
        <v>0.60436999999999996</v>
      </c>
      <c r="BD150">
        <f t="shared" si="34"/>
        <v>16.690493827160495</v>
      </c>
      <c r="BE150">
        <f t="shared" si="35"/>
        <v>10.097932360864197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0.93994100000000003</v>
      </c>
      <c r="H151" s="21">
        <v>6.6663300000000003</v>
      </c>
      <c r="I151" s="21">
        <v>-1.3269E-2</v>
      </c>
      <c r="J151" s="21">
        <v>141</v>
      </c>
      <c r="K151" s="21">
        <v>0.93872100000000003</v>
      </c>
      <c r="L151">
        <f t="shared" si="24"/>
        <v>16.38148148148148</v>
      </c>
      <c r="M151">
        <f t="shared" si="25"/>
        <v>15.397626085185184</v>
      </c>
      <c r="N151" s="9"/>
      <c r="O151" s="21">
        <v>0.61004599999999998</v>
      </c>
      <c r="P151" s="21">
        <v>10.183400000000001</v>
      </c>
      <c r="Q151" s="21">
        <v>-1.34888E-2</v>
      </c>
      <c r="R151" s="21">
        <v>141</v>
      </c>
      <c r="S151" s="21">
        <v>0.60931400000000002</v>
      </c>
      <c r="T151">
        <f t="shared" si="26"/>
        <v>16.652839506172839</v>
      </c>
      <c r="U151">
        <f t="shared" si="27"/>
        <v>10.158998129382715</v>
      </c>
      <c r="X151" s="9"/>
      <c r="Y151" s="21">
        <v>0.93994100000000003</v>
      </c>
      <c r="Z151" s="21">
        <v>15.4255</v>
      </c>
      <c r="AA151" s="21">
        <v>-1.32782E-2</v>
      </c>
      <c r="AB151" s="21">
        <v>141</v>
      </c>
      <c r="AC151" s="21">
        <v>0.93902600000000003</v>
      </c>
      <c r="AD151">
        <f t="shared" si="28"/>
        <v>16.392839506172837</v>
      </c>
      <c r="AE151">
        <f t="shared" si="29"/>
        <v>15.408301958271604</v>
      </c>
      <c r="AF151" s="9"/>
      <c r="AG151" s="21">
        <v>0.61004599999999998</v>
      </c>
      <c r="AH151" s="21">
        <v>18.942599999999999</v>
      </c>
      <c r="AI151" s="21">
        <v>-1.3546799999999999E-2</v>
      </c>
      <c r="AJ151" s="21">
        <v>141</v>
      </c>
      <c r="AK151" s="21">
        <v>0.60943599999999998</v>
      </c>
      <c r="AL151">
        <f t="shared" si="30"/>
        <v>16.72444444444444</v>
      </c>
      <c r="AM151">
        <f t="shared" si="31"/>
        <v>10.202680435555553</v>
      </c>
      <c r="AP151" s="9"/>
      <c r="AQ151" s="21">
        <v>0.93994100000000003</v>
      </c>
      <c r="AR151" s="21">
        <v>24.183800000000002</v>
      </c>
      <c r="AS151" s="21">
        <v>-1.3262899999999999E-2</v>
      </c>
      <c r="AT151" s="21">
        <v>141</v>
      </c>
      <c r="AU151" s="21">
        <v>0.93963600000000003</v>
      </c>
      <c r="AV151">
        <f t="shared" si="32"/>
        <v>16.373950617283949</v>
      </c>
      <c r="AW151">
        <f t="shared" si="33"/>
        <v>15.390547517160492</v>
      </c>
      <c r="AX151" s="9"/>
      <c r="AY151" s="21">
        <v>0.61004599999999998</v>
      </c>
      <c r="AZ151" s="21">
        <v>27.700900000000001</v>
      </c>
      <c r="BA151" s="21">
        <v>-1.3507099999999999E-2</v>
      </c>
      <c r="BB151" s="21">
        <v>141</v>
      </c>
      <c r="BC151" s="21">
        <v>0.609375</v>
      </c>
      <c r="BD151">
        <f t="shared" si="34"/>
        <v>16.67543209876543</v>
      </c>
      <c r="BE151">
        <f t="shared" si="35"/>
        <v>10.172780650123455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0.93490600000000001</v>
      </c>
      <c r="H152" s="21">
        <v>6.6764099999999997</v>
      </c>
      <c r="I152" s="21">
        <v>-1.32874E-2</v>
      </c>
      <c r="J152" s="21">
        <v>142</v>
      </c>
      <c r="K152" s="21">
        <v>0.93353299999999995</v>
      </c>
      <c r="L152">
        <f t="shared" si="24"/>
        <v>16.404197530864195</v>
      </c>
      <c r="M152">
        <f t="shared" si="25"/>
        <v>15.336382696790121</v>
      </c>
      <c r="N152" s="9"/>
      <c r="O152" s="21">
        <v>0.61508200000000002</v>
      </c>
      <c r="P152" s="21">
        <v>10.1935</v>
      </c>
      <c r="Q152" s="21">
        <v>-1.34888E-2</v>
      </c>
      <c r="R152" s="21">
        <v>142</v>
      </c>
      <c r="S152" s="21">
        <v>0.61450199999999999</v>
      </c>
      <c r="T152">
        <f t="shared" si="26"/>
        <v>16.652839506172839</v>
      </c>
      <c r="U152">
        <f t="shared" si="27"/>
        <v>10.242861829135803</v>
      </c>
      <c r="X152" s="9"/>
      <c r="Y152" s="21">
        <v>0.93490600000000001</v>
      </c>
      <c r="Z152" s="21">
        <v>15.435600000000001</v>
      </c>
      <c r="AA152" s="21">
        <v>-1.3296499999999999E-2</v>
      </c>
      <c r="AB152" s="21">
        <v>142</v>
      </c>
      <c r="AC152" s="21">
        <v>0.93383799999999995</v>
      </c>
      <c r="AD152">
        <f t="shared" si="28"/>
        <v>16.415432098765429</v>
      </c>
      <c r="AE152">
        <f t="shared" si="29"/>
        <v>15.346885961728391</v>
      </c>
      <c r="AF152" s="9"/>
      <c r="AG152" s="21">
        <v>0.61508200000000002</v>
      </c>
      <c r="AH152" s="21">
        <v>18.9527</v>
      </c>
      <c r="AI152" s="21">
        <v>-1.3549800000000001E-2</v>
      </c>
      <c r="AJ152" s="21">
        <v>142</v>
      </c>
      <c r="AK152" s="21">
        <v>0.61444100000000001</v>
      </c>
      <c r="AL152">
        <f t="shared" si="30"/>
        <v>16.728148148148147</v>
      </c>
      <c r="AM152">
        <f t="shared" si="31"/>
        <v>10.289182819259258</v>
      </c>
      <c r="AP152" s="9"/>
      <c r="AQ152" s="21">
        <v>0.93490600000000001</v>
      </c>
      <c r="AR152" s="21">
        <v>24.1938</v>
      </c>
      <c r="AS152" s="21">
        <v>-1.32599E-2</v>
      </c>
      <c r="AT152" s="21">
        <v>142</v>
      </c>
      <c r="AU152" s="21">
        <v>0.93444799999999995</v>
      </c>
      <c r="AV152">
        <f t="shared" si="32"/>
        <v>16.370246913580246</v>
      </c>
      <c r="AW152">
        <f t="shared" si="33"/>
        <v>15.304642060987653</v>
      </c>
      <c r="AX152" s="9"/>
      <c r="AY152" s="21">
        <v>0.61508200000000002</v>
      </c>
      <c r="AZ152" s="21">
        <v>27.710999999999999</v>
      </c>
      <c r="BA152" s="21">
        <v>-1.3494900000000001E-2</v>
      </c>
      <c r="BB152" s="21">
        <v>142</v>
      </c>
      <c r="BC152" s="21">
        <v>0.61434900000000003</v>
      </c>
      <c r="BD152">
        <f t="shared" si="34"/>
        <v>16.660370370370369</v>
      </c>
      <c r="BE152">
        <f t="shared" si="35"/>
        <v>10.247493928148147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0.929871</v>
      </c>
      <c r="H153" s="21">
        <v>6.6864800000000004</v>
      </c>
      <c r="I153" s="21">
        <v>-1.32935E-2</v>
      </c>
      <c r="J153" s="21">
        <v>143</v>
      </c>
      <c r="K153" s="21">
        <v>0.92895499999999998</v>
      </c>
      <c r="L153">
        <f t="shared" si="24"/>
        <v>16.411728395061726</v>
      </c>
      <c r="M153">
        <f t="shared" si="25"/>
        <v>15.260790294444442</v>
      </c>
      <c r="N153" s="9"/>
      <c r="O153" s="21">
        <v>0.62011700000000003</v>
      </c>
      <c r="P153" s="21">
        <v>10.2035</v>
      </c>
      <c r="Q153" s="21">
        <v>-1.34857E-2</v>
      </c>
      <c r="R153" s="21">
        <v>143</v>
      </c>
      <c r="S153" s="21">
        <v>0.61947600000000003</v>
      </c>
      <c r="T153">
        <f t="shared" si="26"/>
        <v>16.649012345679012</v>
      </c>
      <c r="U153">
        <f t="shared" si="27"/>
        <v>10.324335588765432</v>
      </c>
      <c r="X153" s="9"/>
      <c r="Y153" s="21">
        <v>0.929871</v>
      </c>
      <c r="Z153" s="21">
        <v>15.4457</v>
      </c>
      <c r="AA153" s="21">
        <v>-1.3317900000000001E-2</v>
      </c>
      <c r="AB153" s="21">
        <v>143</v>
      </c>
      <c r="AC153" s="21">
        <v>0.92925999999999997</v>
      </c>
      <c r="AD153">
        <f t="shared" si="28"/>
        <v>16.441851851851851</v>
      </c>
      <c r="AE153">
        <f t="shared" si="29"/>
        <v>15.288801223333333</v>
      </c>
      <c r="AF153" s="9"/>
      <c r="AG153" s="21">
        <v>0.62011700000000003</v>
      </c>
      <c r="AH153" s="21">
        <v>18.962700000000002</v>
      </c>
      <c r="AI153" s="21">
        <v>-1.3543700000000001E-2</v>
      </c>
      <c r="AJ153" s="21">
        <v>143</v>
      </c>
      <c r="AK153" s="21">
        <v>0.61950700000000003</v>
      </c>
      <c r="AL153">
        <f t="shared" si="30"/>
        <v>16.720617283950617</v>
      </c>
      <c r="AM153">
        <f t="shared" si="31"/>
        <v>10.368739028271605</v>
      </c>
      <c r="AP153" s="9"/>
      <c r="AQ153" s="21">
        <v>0.929871</v>
      </c>
      <c r="AR153" s="21">
        <v>24.203900000000001</v>
      </c>
      <c r="AS153" s="21">
        <v>-1.3266E-2</v>
      </c>
      <c r="AT153" s="21">
        <v>143</v>
      </c>
      <c r="AU153" s="21">
        <v>0.92864999999999998</v>
      </c>
      <c r="AV153">
        <f t="shared" si="32"/>
        <v>16.377777777777776</v>
      </c>
      <c r="AW153">
        <f t="shared" si="33"/>
        <v>15.2292206</v>
      </c>
      <c r="AX153" s="9"/>
      <c r="AY153" s="21">
        <v>0.62011700000000003</v>
      </c>
      <c r="AZ153" s="21">
        <v>27.721</v>
      </c>
      <c r="BA153" s="21">
        <v>-1.3494900000000001E-2</v>
      </c>
      <c r="BB153" s="21">
        <v>143</v>
      </c>
      <c r="BC153" s="21">
        <v>0.61941500000000005</v>
      </c>
      <c r="BD153">
        <f t="shared" si="34"/>
        <v>16.660370370370369</v>
      </c>
      <c r="BE153">
        <f t="shared" si="35"/>
        <v>10.331378892962963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0.92483499999999996</v>
      </c>
      <c r="H154" s="21">
        <v>6.6965500000000002</v>
      </c>
      <c r="I154" s="21">
        <v>-1.33057E-2</v>
      </c>
      <c r="J154" s="21">
        <v>144</v>
      </c>
      <c r="K154" s="21">
        <v>0.924072</v>
      </c>
      <c r="L154">
        <f t="shared" si="24"/>
        <v>16.42679012345679</v>
      </c>
      <c r="M154">
        <f t="shared" si="25"/>
        <v>15.192070443827159</v>
      </c>
      <c r="N154" s="9"/>
      <c r="O154" s="21">
        <v>0.62515299999999996</v>
      </c>
      <c r="P154" s="21">
        <v>10.2136</v>
      </c>
      <c r="Q154" s="21">
        <v>-1.34979E-2</v>
      </c>
      <c r="R154" s="21">
        <v>144</v>
      </c>
      <c r="S154" s="21">
        <v>0.62451199999999996</v>
      </c>
      <c r="T154">
        <f t="shared" si="26"/>
        <v>16.664074074074072</v>
      </c>
      <c r="U154">
        <f t="shared" si="27"/>
        <v>10.417595899629628</v>
      </c>
      <c r="X154" s="9"/>
      <c r="Y154" s="21">
        <v>0.92483499999999996</v>
      </c>
      <c r="Z154" s="21">
        <v>15.4558</v>
      </c>
      <c r="AA154" s="21">
        <v>-1.3333100000000001E-2</v>
      </c>
      <c r="AB154" s="21">
        <v>144</v>
      </c>
      <c r="AC154" s="21">
        <v>0.924072</v>
      </c>
      <c r="AD154">
        <f t="shared" si="28"/>
        <v>16.460617283950615</v>
      </c>
      <c r="AE154">
        <f t="shared" si="29"/>
        <v>15.223354985802466</v>
      </c>
      <c r="AF154" s="9"/>
      <c r="AG154" s="21">
        <v>0.62515299999999996</v>
      </c>
      <c r="AH154" s="21">
        <v>18.972799999999999</v>
      </c>
      <c r="AI154" s="21">
        <v>-1.35406E-2</v>
      </c>
      <c r="AJ154" s="21">
        <v>144</v>
      </c>
      <c r="AK154" s="21">
        <v>0.62448099999999995</v>
      </c>
      <c r="AL154">
        <f t="shared" si="30"/>
        <v>16.716790123456789</v>
      </c>
      <c r="AM154">
        <f t="shared" si="31"/>
        <v>10.450551496049382</v>
      </c>
      <c r="AP154" s="9"/>
      <c r="AQ154" s="21">
        <v>0.92483499999999996</v>
      </c>
      <c r="AR154" s="21">
        <v>24.213999999999999</v>
      </c>
      <c r="AS154" s="21">
        <v>-1.32782E-2</v>
      </c>
      <c r="AT154" s="21">
        <v>144</v>
      </c>
      <c r="AU154" s="21">
        <v>0.924377</v>
      </c>
      <c r="AV154">
        <f t="shared" si="32"/>
        <v>16.392839506172837</v>
      </c>
      <c r="AW154">
        <f t="shared" si="33"/>
        <v>15.160671724691355</v>
      </c>
      <c r="AX154" s="9"/>
      <c r="AY154" s="21">
        <v>0.62515299999999996</v>
      </c>
      <c r="AZ154" s="21">
        <v>27.731100000000001</v>
      </c>
      <c r="BA154" s="21">
        <v>-1.34888E-2</v>
      </c>
      <c r="BB154" s="21">
        <v>144</v>
      </c>
      <c r="BC154" s="21">
        <v>0.62451199999999996</v>
      </c>
      <c r="BD154">
        <f t="shared" si="34"/>
        <v>16.652839506172839</v>
      </c>
      <c r="BE154">
        <f t="shared" si="35"/>
        <v>10.410572575802467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0.91979999999999995</v>
      </c>
      <c r="H155" s="21">
        <v>6.70662</v>
      </c>
      <c r="I155" s="21">
        <v>-1.33148E-2</v>
      </c>
      <c r="J155" s="21">
        <v>145</v>
      </c>
      <c r="K155" s="21">
        <v>0.91857900000000003</v>
      </c>
      <c r="L155">
        <f t="shared" si="24"/>
        <v>16.438024691358024</v>
      </c>
      <c r="M155">
        <f t="shared" si="25"/>
        <v>15.11969511111111</v>
      </c>
      <c r="N155" s="9"/>
      <c r="O155" s="21">
        <v>0.63018799999999997</v>
      </c>
      <c r="P155" s="21">
        <v>10.223699999999999</v>
      </c>
      <c r="Q155" s="21">
        <v>-1.3504E-2</v>
      </c>
      <c r="R155" s="21">
        <v>145</v>
      </c>
      <c r="S155" s="21">
        <v>0.62951699999999999</v>
      </c>
      <c r="T155">
        <f t="shared" si="26"/>
        <v>16.671604938271606</v>
      </c>
      <c r="U155">
        <f t="shared" si="27"/>
        <v>10.506245372839507</v>
      </c>
      <c r="X155" s="9"/>
      <c r="Y155" s="21">
        <v>0.91979999999999995</v>
      </c>
      <c r="Z155" s="21">
        <v>15.4658</v>
      </c>
      <c r="AA155" s="21">
        <v>-1.3351399999999999E-2</v>
      </c>
      <c r="AB155" s="21">
        <v>145</v>
      </c>
      <c r="AC155" s="21">
        <v>0.91857900000000003</v>
      </c>
      <c r="AD155">
        <f t="shared" si="28"/>
        <v>16.483209876543206</v>
      </c>
      <c r="AE155">
        <f t="shared" si="29"/>
        <v>15.16125644444444</v>
      </c>
      <c r="AF155" s="9"/>
      <c r="AG155" s="21">
        <v>0.63018799999999997</v>
      </c>
      <c r="AH155" s="21">
        <v>18.982900000000001</v>
      </c>
      <c r="AI155" s="21">
        <v>-1.35376E-2</v>
      </c>
      <c r="AJ155" s="21">
        <v>145</v>
      </c>
      <c r="AK155" s="21">
        <v>0.62957799999999997</v>
      </c>
      <c r="AL155">
        <f t="shared" si="30"/>
        <v>16.713086419753086</v>
      </c>
      <c r="AM155">
        <f t="shared" si="31"/>
        <v>10.532386504691358</v>
      </c>
      <c r="AP155" s="9"/>
      <c r="AQ155" s="21">
        <v>0.91979999999999995</v>
      </c>
      <c r="AR155" s="21">
        <v>24.224</v>
      </c>
      <c r="AS155" s="21">
        <v>-1.3284300000000001E-2</v>
      </c>
      <c r="AT155" s="21">
        <v>145</v>
      </c>
      <c r="AU155" s="21">
        <v>0.91857900000000003</v>
      </c>
      <c r="AV155">
        <f t="shared" si="32"/>
        <v>16.400370370370371</v>
      </c>
      <c r="AW155">
        <f t="shared" si="33"/>
        <v>15.085060666666667</v>
      </c>
      <c r="AX155" s="9"/>
      <c r="AY155" s="21">
        <v>0.63018799999999997</v>
      </c>
      <c r="AZ155" s="21">
        <v>27.741199999999999</v>
      </c>
      <c r="BA155" s="21">
        <v>-1.34796E-2</v>
      </c>
      <c r="BB155" s="21">
        <v>145</v>
      </c>
      <c r="BC155" s="21">
        <v>0.62957799999999997</v>
      </c>
      <c r="BD155">
        <f t="shared" si="34"/>
        <v>16.641481481481478</v>
      </c>
      <c r="BE155">
        <f t="shared" si="35"/>
        <v>10.487261931851849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0.91476400000000002</v>
      </c>
      <c r="H156" s="21">
        <v>6.7166899999999998</v>
      </c>
      <c r="I156" s="21">
        <v>-1.3317900000000001E-2</v>
      </c>
      <c r="J156" s="21">
        <v>146</v>
      </c>
      <c r="K156" s="21">
        <v>0.91461199999999998</v>
      </c>
      <c r="L156">
        <f t="shared" si="24"/>
        <v>16.441851851851851</v>
      </c>
      <c r="M156">
        <f t="shared" si="25"/>
        <v>15.040414167407407</v>
      </c>
      <c r="N156" s="9"/>
      <c r="O156" s="21">
        <v>0.63522299999999998</v>
      </c>
      <c r="P156" s="21">
        <v>10.233700000000001</v>
      </c>
      <c r="Q156" s="21">
        <v>-1.35132E-2</v>
      </c>
      <c r="R156" s="21">
        <v>146</v>
      </c>
      <c r="S156" s="21">
        <v>0.63461299999999998</v>
      </c>
      <c r="T156">
        <f t="shared" si="26"/>
        <v>16.682962962962961</v>
      </c>
      <c r="U156">
        <f t="shared" si="27"/>
        <v>10.597401782222221</v>
      </c>
      <c r="X156" s="9"/>
      <c r="Y156" s="21">
        <v>0.91476400000000002</v>
      </c>
      <c r="Z156" s="21">
        <v>15.475899999999999</v>
      </c>
      <c r="AA156" s="21">
        <v>-1.3372800000000001E-2</v>
      </c>
      <c r="AB156" s="21">
        <v>146</v>
      </c>
      <c r="AC156" s="21">
        <v>0.91400099999999995</v>
      </c>
      <c r="AD156">
        <f t="shared" si="28"/>
        <v>16.509629629629632</v>
      </c>
      <c r="AE156">
        <f t="shared" si="29"/>
        <v>15.102414838518522</v>
      </c>
      <c r="AF156" s="9"/>
      <c r="AG156" s="21">
        <v>0.63522299999999998</v>
      </c>
      <c r="AH156" s="21">
        <v>18.992999999999999</v>
      </c>
      <c r="AI156" s="21">
        <v>-1.3549800000000001E-2</v>
      </c>
      <c r="AJ156" s="21">
        <v>146</v>
      </c>
      <c r="AK156" s="21">
        <v>0.63467399999999996</v>
      </c>
      <c r="AL156">
        <f t="shared" si="30"/>
        <v>16.728148148148147</v>
      </c>
      <c r="AM156">
        <f t="shared" si="31"/>
        <v>10.626104451111111</v>
      </c>
      <c r="AP156" s="9"/>
      <c r="AQ156" s="21">
        <v>0.91476400000000002</v>
      </c>
      <c r="AR156" s="21">
        <v>24.234100000000002</v>
      </c>
      <c r="AS156" s="21">
        <v>-1.3290400000000001E-2</v>
      </c>
      <c r="AT156" s="21">
        <v>146</v>
      </c>
      <c r="AU156" s="21">
        <v>0.91369599999999995</v>
      </c>
      <c r="AV156">
        <f t="shared" si="32"/>
        <v>16.407901234567902</v>
      </c>
      <c r="AW156">
        <f t="shared" si="33"/>
        <v>15.009357364938273</v>
      </c>
      <c r="AX156" s="9"/>
      <c r="AY156" s="21">
        <v>0.63522299999999998</v>
      </c>
      <c r="AZ156" s="21">
        <v>27.751300000000001</v>
      </c>
      <c r="BA156" s="21">
        <v>-1.3473499999999999E-2</v>
      </c>
      <c r="BB156" s="21">
        <v>146</v>
      </c>
      <c r="BC156" s="21">
        <v>0.634521</v>
      </c>
      <c r="BD156">
        <f t="shared" si="34"/>
        <v>16.633950617283947</v>
      </c>
      <c r="BE156">
        <f t="shared" si="35"/>
        <v>10.56626801296296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0.90972900000000001</v>
      </c>
      <c r="H157" s="21">
        <v>6.7267599999999996</v>
      </c>
      <c r="I157" s="21">
        <v>-1.3324000000000001E-2</v>
      </c>
      <c r="J157" s="21">
        <v>147</v>
      </c>
      <c r="K157" s="21">
        <v>0.90881299999999998</v>
      </c>
      <c r="L157">
        <f t="shared" si="24"/>
        <v>16.449382716049382</v>
      </c>
      <c r="M157">
        <f t="shared" si="25"/>
        <v>14.964480488888888</v>
      </c>
      <c r="N157" s="9"/>
      <c r="O157" s="21">
        <v>0.64025900000000002</v>
      </c>
      <c r="P157" s="21">
        <v>10.2438</v>
      </c>
      <c r="Q157" s="21">
        <v>-1.3507099999999999E-2</v>
      </c>
      <c r="R157" s="21">
        <v>147</v>
      </c>
      <c r="S157" s="21">
        <v>0.63958700000000002</v>
      </c>
      <c r="T157">
        <f t="shared" si="26"/>
        <v>16.67543209876543</v>
      </c>
      <c r="U157">
        <f t="shared" si="27"/>
        <v>10.676595480123456</v>
      </c>
      <c r="X157" s="9"/>
      <c r="Y157" s="21">
        <v>0.90972900000000001</v>
      </c>
      <c r="Z157" s="21">
        <v>15.486000000000001</v>
      </c>
      <c r="AA157" s="21">
        <v>-1.33759E-2</v>
      </c>
      <c r="AB157" s="21">
        <v>147</v>
      </c>
      <c r="AC157" s="21">
        <v>0.90911900000000001</v>
      </c>
      <c r="AD157">
        <f t="shared" si="28"/>
        <v>16.513456790123456</v>
      </c>
      <c r="AE157">
        <f t="shared" si="29"/>
        <v>15.022770532222221</v>
      </c>
      <c r="AF157" s="9"/>
      <c r="AG157" s="21">
        <v>0.64025900000000002</v>
      </c>
      <c r="AH157" s="21">
        <v>19.003</v>
      </c>
      <c r="AI157" s="21">
        <v>-1.3543700000000001E-2</v>
      </c>
      <c r="AJ157" s="21">
        <v>147</v>
      </c>
      <c r="AK157" s="21">
        <v>0.63964799999999999</v>
      </c>
      <c r="AL157">
        <f t="shared" si="30"/>
        <v>16.720617283950617</v>
      </c>
      <c r="AM157">
        <f t="shared" si="31"/>
        <v>10.705525701604937</v>
      </c>
      <c r="AP157" s="9"/>
      <c r="AQ157" s="21">
        <v>0.90972900000000001</v>
      </c>
      <c r="AR157" s="21">
        <v>24.244199999999999</v>
      </c>
      <c r="AS157" s="21">
        <v>-1.33057E-2</v>
      </c>
      <c r="AT157" s="21">
        <v>147</v>
      </c>
      <c r="AU157" s="21">
        <v>0.90972900000000001</v>
      </c>
      <c r="AV157">
        <f t="shared" si="32"/>
        <v>16.42679012345679</v>
      </c>
      <c r="AW157">
        <f t="shared" si="33"/>
        <v>14.943927352222222</v>
      </c>
      <c r="AX157" s="9"/>
      <c r="AY157" s="21">
        <v>0.64025900000000002</v>
      </c>
      <c r="AZ157" s="21">
        <v>27.761299999999999</v>
      </c>
      <c r="BA157" s="21">
        <v>-1.3473499999999999E-2</v>
      </c>
      <c r="BB157" s="21">
        <v>147</v>
      </c>
      <c r="BC157" s="21">
        <v>0.639679</v>
      </c>
      <c r="BD157">
        <f t="shared" si="34"/>
        <v>16.633950617283947</v>
      </c>
      <c r="BE157">
        <f t="shared" si="35"/>
        <v>10.650036588271604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0.904694</v>
      </c>
      <c r="H158" s="21">
        <v>6.7368300000000003</v>
      </c>
      <c r="I158" s="21">
        <v>-1.3339200000000001E-2</v>
      </c>
      <c r="J158" s="21">
        <v>148</v>
      </c>
      <c r="K158" s="21">
        <v>0.90393100000000004</v>
      </c>
      <c r="L158">
        <f t="shared" si="24"/>
        <v>16.468148148148149</v>
      </c>
      <c r="M158">
        <f t="shared" si="25"/>
        <v>14.898634820740742</v>
      </c>
      <c r="N158" s="9"/>
      <c r="O158" s="21">
        <v>0.64529400000000003</v>
      </c>
      <c r="P158" s="21">
        <v>10.2539</v>
      </c>
      <c r="Q158" s="21">
        <v>-1.3501000000000001E-2</v>
      </c>
      <c r="R158" s="21">
        <v>148</v>
      </c>
      <c r="S158" s="21">
        <v>0.64474500000000001</v>
      </c>
      <c r="T158">
        <f t="shared" si="26"/>
        <v>16.667901234567903</v>
      </c>
      <c r="U158">
        <f t="shared" si="27"/>
        <v>10.755696659259261</v>
      </c>
      <c r="X158" s="9"/>
      <c r="Y158" s="21">
        <v>0.904694</v>
      </c>
      <c r="Z158" s="21">
        <v>15.496</v>
      </c>
      <c r="AA158" s="21">
        <v>-1.3378900000000001E-2</v>
      </c>
      <c r="AB158" s="21">
        <v>148</v>
      </c>
      <c r="AC158" s="21">
        <v>0.90393100000000004</v>
      </c>
      <c r="AD158">
        <f t="shared" si="28"/>
        <v>16.517160493827159</v>
      </c>
      <c r="AE158">
        <f t="shared" si="29"/>
        <v>14.942975995802469</v>
      </c>
      <c r="AF158" s="9"/>
      <c r="AG158" s="21">
        <v>0.64529400000000003</v>
      </c>
      <c r="AH158" s="21">
        <v>19.013100000000001</v>
      </c>
      <c r="AI158" s="21">
        <v>-1.35376E-2</v>
      </c>
      <c r="AJ158" s="21">
        <v>148</v>
      </c>
      <c r="AK158" s="21">
        <v>0.64465300000000003</v>
      </c>
      <c r="AL158">
        <f t="shared" si="30"/>
        <v>16.713086419753086</v>
      </c>
      <c r="AM158">
        <f t="shared" si="31"/>
        <v>10.784854388148149</v>
      </c>
      <c r="AP158" s="9"/>
      <c r="AQ158" s="21">
        <v>0.904694</v>
      </c>
      <c r="AR158" s="21">
        <v>24.254300000000001</v>
      </c>
      <c r="AS158" s="21">
        <v>-1.3317900000000001E-2</v>
      </c>
      <c r="AT158" s="21">
        <v>148</v>
      </c>
      <c r="AU158" s="21">
        <v>0.90393100000000004</v>
      </c>
      <c r="AV158">
        <f t="shared" si="32"/>
        <v>16.441851851851851</v>
      </c>
      <c r="AW158">
        <f t="shared" si="33"/>
        <v>14.874844719259258</v>
      </c>
      <c r="AX158" s="9"/>
      <c r="AY158" s="21">
        <v>0.64529400000000003</v>
      </c>
      <c r="AZ158" s="21">
        <v>27.7714</v>
      </c>
      <c r="BA158" s="21">
        <v>-1.34827E-2</v>
      </c>
      <c r="BB158" s="21">
        <v>148</v>
      </c>
      <c r="BC158" s="21">
        <v>0.64462299999999995</v>
      </c>
      <c r="BD158">
        <f t="shared" si="34"/>
        <v>16.645308641975308</v>
      </c>
      <c r="BE158">
        <f t="shared" si="35"/>
        <v>10.741117794814816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0.89965799999999996</v>
      </c>
      <c r="H159" s="21">
        <v>6.7469000000000001</v>
      </c>
      <c r="I159" s="21">
        <v>-1.33484E-2</v>
      </c>
      <c r="J159" s="21">
        <v>149</v>
      </c>
      <c r="K159" s="21">
        <v>0.89843799999999996</v>
      </c>
      <c r="L159">
        <f t="shared" si="24"/>
        <v>16.479506172839503</v>
      </c>
      <c r="M159">
        <f t="shared" si="25"/>
        <v>14.82591956444444</v>
      </c>
      <c r="N159" s="9"/>
      <c r="O159" s="21">
        <v>0.65032999999999996</v>
      </c>
      <c r="P159" s="21">
        <v>10.263999999999999</v>
      </c>
      <c r="Q159" s="21">
        <v>-1.3494900000000001E-2</v>
      </c>
      <c r="R159" s="21">
        <v>149</v>
      </c>
      <c r="S159" s="21">
        <v>0.64962799999999998</v>
      </c>
      <c r="T159">
        <f t="shared" si="26"/>
        <v>16.660370370370369</v>
      </c>
      <c r="U159">
        <f t="shared" si="27"/>
        <v>10.834738662962963</v>
      </c>
      <c r="X159" s="9"/>
      <c r="Y159" s="21">
        <v>0.89965799999999996</v>
      </c>
      <c r="Z159" s="21">
        <v>15.5061</v>
      </c>
      <c r="AA159" s="21">
        <v>-1.33759E-2</v>
      </c>
      <c r="AB159" s="21">
        <v>149</v>
      </c>
      <c r="AC159" s="21">
        <v>0.89904799999999996</v>
      </c>
      <c r="AD159">
        <f t="shared" si="28"/>
        <v>16.513456790123456</v>
      </c>
      <c r="AE159">
        <f t="shared" si="29"/>
        <v>14.856463508888888</v>
      </c>
      <c r="AF159" s="9"/>
      <c r="AG159" s="21">
        <v>0.65032999999999996</v>
      </c>
      <c r="AH159" s="21">
        <v>19.023199999999999</v>
      </c>
      <c r="AI159" s="21">
        <v>-1.35345E-2</v>
      </c>
      <c r="AJ159" s="21">
        <v>149</v>
      </c>
      <c r="AK159" s="21">
        <v>0.64975000000000005</v>
      </c>
      <c r="AL159">
        <f t="shared" si="30"/>
        <v>16.709259259259255</v>
      </c>
      <c r="AM159">
        <f t="shared" si="31"/>
        <v>10.866532574074071</v>
      </c>
      <c r="AP159" s="9"/>
      <c r="AQ159" s="21">
        <v>0.89965799999999996</v>
      </c>
      <c r="AR159" s="21">
        <v>24.264299999999999</v>
      </c>
      <c r="AS159" s="21">
        <v>-1.3324000000000001E-2</v>
      </c>
      <c r="AT159" s="21">
        <v>149</v>
      </c>
      <c r="AU159" s="21">
        <v>0.89874299999999996</v>
      </c>
      <c r="AV159">
        <f t="shared" si="32"/>
        <v>16.449382716049382</v>
      </c>
      <c r="AW159">
        <f t="shared" si="33"/>
        <v>14.798818755555553</v>
      </c>
      <c r="AX159" s="9"/>
      <c r="AY159" s="21">
        <v>0.65032999999999996</v>
      </c>
      <c r="AZ159" s="21">
        <v>27.781500000000001</v>
      </c>
      <c r="BA159" s="21">
        <v>-1.34857E-2</v>
      </c>
      <c r="BB159" s="21">
        <v>149</v>
      </c>
      <c r="BC159" s="21">
        <v>0.64968899999999996</v>
      </c>
      <c r="BD159">
        <f t="shared" si="34"/>
        <v>16.649012345679012</v>
      </c>
      <c r="BE159">
        <f t="shared" si="35"/>
        <v>10.82735219876543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0.89462299999999995</v>
      </c>
      <c r="H160" s="21">
        <v>6.7569699999999999</v>
      </c>
      <c r="I160" s="21">
        <v>-1.33575E-2</v>
      </c>
      <c r="J160" s="21">
        <v>150</v>
      </c>
      <c r="K160" s="21">
        <v>0.89385999999999999</v>
      </c>
      <c r="L160">
        <f t="shared" si="24"/>
        <v>16.49074074074074</v>
      </c>
      <c r="M160">
        <f t="shared" si="25"/>
        <v>14.752995953703703</v>
      </c>
      <c r="N160" s="9"/>
      <c r="O160" s="21">
        <v>0.65536499999999998</v>
      </c>
      <c r="P160" s="21">
        <v>10.273999999999999</v>
      </c>
      <c r="Q160" s="21">
        <v>-1.3494900000000001E-2</v>
      </c>
      <c r="R160" s="21">
        <v>150</v>
      </c>
      <c r="S160" s="21">
        <v>0.65472399999999997</v>
      </c>
      <c r="T160">
        <f t="shared" si="26"/>
        <v>16.660370370370369</v>
      </c>
      <c r="U160">
        <f t="shared" si="27"/>
        <v>10.918623627777777</v>
      </c>
      <c r="X160" s="9"/>
      <c r="Y160" s="21">
        <v>0.89462299999999995</v>
      </c>
      <c r="Z160" s="21">
        <v>15.5162</v>
      </c>
      <c r="AA160" s="21">
        <v>-1.33667E-2</v>
      </c>
      <c r="AB160" s="21">
        <v>150</v>
      </c>
      <c r="AC160" s="21">
        <v>0.89385999999999999</v>
      </c>
      <c r="AD160">
        <f t="shared" si="28"/>
        <v>16.502098765432098</v>
      </c>
      <c r="AE160">
        <f t="shared" si="29"/>
        <v>14.76315710382716</v>
      </c>
      <c r="AF160" s="9"/>
      <c r="AG160" s="21">
        <v>0.65536499999999998</v>
      </c>
      <c r="AH160" s="21">
        <v>19.033200000000001</v>
      </c>
      <c r="AI160" s="21">
        <v>-1.35315E-2</v>
      </c>
      <c r="AJ160" s="21">
        <v>150</v>
      </c>
      <c r="AK160" s="21">
        <v>0.65472399999999997</v>
      </c>
      <c r="AL160">
        <f t="shared" si="30"/>
        <v>16.705555555555552</v>
      </c>
      <c r="AM160">
        <f t="shared" si="31"/>
        <v>10.948236416666663</v>
      </c>
      <c r="AP160" s="9"/>
      <c r="AQ160" s="21">
        <v>0.89462299999999995</v>
      </c>
      <c r="AR160" s="21">
        <v>24.2744</v>
      </c>
      <c r="AS160" s="21">
        <v>-1.33423E-2</v>
      </c>
      <c r="AT160" s="21">
        <v>150</v>
      </c>
      <c r="AU160" s="21">
        <v>0.89385999999999999</v>
      </c>
      <c r="AV160">
        <f t="shared" si="32"/>
        <v>16.471975308641973</v>
      </c>
      <c r="AW160">
        <f t="shared" si="33"/>
        <v>14.736207966543207</v>
      </c>
      <c r="AX160" s="9"/>
      <c r="AY160" s="21">
        <v>0.65536499999999998</v>
      </c>
      <c r="AZ160" s="21">
        <v>27.791499999999999</v>
      </c>
      <c r="BA160" s="21">
        <v>-1.3494900000000001E-2</v>
      </c>
      <c r="BB160" s="21">
        <v>150</v>
      </c>
      <c r="BC160" s="21">
        <v>0.65475499999999998</v>
      </c>
      <c r="BD160">
        <f t="shared" si="34"/>
        <v>16.660370370370369</v>
      </c>
      <c r="BE160">
        <f t="shared" si="35"/>
        <v>10.918623627777777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0.88958700000000002</v>
      </c>
      <c r="H161" s="21">
        <v>6.7670399999999997</v>
      </c>
      <c r="I161" s="21">
        <v>-1.33606E-2</v>
      </c>
      <c r="J161" s="21">
        <v>151</v>
      </c>
      <c r="K161" s="21">
        <v>0.88836700000000002</v>
      </c>
      <c r="L161">
        <f t="shared" si="24"/>
        <v>16.494567901234568</v>
      </c>
      <c r="M161">
        <f t="shared" si="25"/>
        <v>14.673353175555556</v>
      </c>
      <c r="N161" s="9"/>
      <c r="O161" s="21">
        <v>0.66039999999999999</v>
      </c>
      <c r="P161" s="21">
        <v>10.2841</v>
      </c>
      <c r="Q161" s="21">
        <v>-1.34796E-2</v>
      </c>
      <c r="R161" s="21">
        <v>151</v>
      </c>
      <c r="S161" s="21">
        <v>0.65963700000000003</v>
      </c>
      <c r="T161">
        <f t="shared" si="26"/>
        <v>16.641481481481478</v>
      </c>
      <c r="U161">
        <f t="shared" si="27"/>
        <v>10.990034370370367</v>
      </c>
      <c r="X161" s="9"/>
      <c r="Y161" s="21">
        <v>0.88958700000000002</v>
      </c>
      <c r="Z161" s="21">
        <v>15.526300000000001</v>
      </c>
      <c r="AA161" s="21">
        <v>-1.33636E-2</v>
      </c>
      <c r="AB161" s="21">
        <v>151</v>
      </c>
      <c r="AC161" s="21">
        <v>0.88867200000000002</v>
      </c>
      <c r="AD161">
        <f t="shared" si="28"/>
        <v>16.498271604938271</v>
      </c>
      <c r="AE161">
        <f t="shared" si="29"/>
        <v>14.676647942222221</v>
      </c>
      <c r="AF161" s="9"/>
      <c r="AG161" s="21">
        <v>0.66039999999999999</v>
      </c>
      <c r="AH161" s="21">
        <v>19.043299999999999</v>
      </c>
      <c r="AI161" s="21">
        <v>-1.35254E-2</v>
      </c>
      <c r="AJ161" s="21">
        <v>151</v>
      </c>
      <c r="AK161" s="21">
        <v>0.65969800000000001</v>
      </c>
      <c r="AL161">
        <f t="shared" si="30"/>
        <v>16.698024691358025</v>
      </c>
      <c r="AM161">
        <f t="shared" si="31"/>
        <v>11.02737550617284</v>
      </c>
      <c r="AP161" s="9"/>
      <c r="AQ161" s="21">
        <v>0.88958700000000002</v>
      </c>
      <c r="AR161" s="21">
        <v>24.284500000000001</v>
      </c>
      <c r="AS161" s="21">
        <v>-1.33606E-2</v>
      </c>
      <c r="AT161" s="21">
        <v>151</v>
      </c>
      <c r="AU161" s="21">
        <v>0.88806200000000002</v>
      </c>
      <c r="AV161">
        <f t="shared" si="32"/>
        <v>16.494567901234568</v>
      </c>
      <c r="AW161">
        <f t="shared" si="33"/>
        <v>14.673353175555556</v>
      </c>
      <c r="AX161" s="9"/>
      <c r="AY161" s="21">
        <v>0.66039999999999999</v>
      </c>
      <c r="AZ161" s="21">
        <v>27.801600000000001</v>
      </c>
      <c r="BA161" s="21">
        <v>-1.3494900000000001E-2</v>
      </c>
      <c r="BB161" s="21">
        <v>151</v>
      </c>
      <c r="BC161" s="21">
        <v>0.66006500000000001</v>
      </c>
      <c r="BD161">
        <f t="shared" si="34"/>
        <v>16.660370370370369</v>
      </c>
      <c r="BE161">
        <f t="shared" si="35"/>
        <v>11.002508592592593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0.884552</v>
      </c>
      <c r="H162" s="21">
        <v>6.77712</v>
      </c>
      <c r="I162" s="21">
        <v>-1.33575E-2</v>
      </c>
      <c r="J162" s="21">
        <v>152</v>
      </c>
      <c r="K162" s="21">
        <v>0.88348400000000005</v>
      </c>
      <c r="L162">
        <f t="shared" si="24"/>
        <v>16.49074074074074</v>
      </c>
      <c r="M162">
        <f t="shared" si="25"/>
        <v>14.586917703703703</v>
      </c>
      <c r="N162" s="9"/>
      <c r="O162" s="21">
        <v>0.66543600000000003</v>
      </c>
      <c r="P162" s="21">
        <v>10.2942</v>
      </c>
      <c r="Q162" s="21">
        <v>-1.3473499999999999E-2</v>
      </c>
      <c r="R162" s="21">
        <v>152</v>
      </c>
      <c r="S162" s="21">
        <v>0.66470300000000004</v>
      </c>
      <c r="T162">
        <f t="shared" si="26"/>
        <v>16.633950617283947</v>
      </c>
      <c r="U162">
        <f t="shared" si="27"/>
        <v>11.068829562962961</v>
      </c>
      <c r="X162" s="9"/>
      <c r="Y162" s="21">
        <v>0.884552</v>
      </c>
      <c r="Z162" s="21">
        <v>15.536300000000001</v>
      </c>
      <c r="AA162" s="21">
        <v>-1.33636E-2</v>
      </c>
      <c r="AB162" s="21">
        <v>152</v>
      </c>
      <c r="AC162" s="21">
        <v>0.88409400000000005</v>
      </c>
      <c r="AD162">
        <f t="shared" si="28"/>
        <v>16.498271604938271</v>
      </c>
      <c r="AE162">
        <f t="shared" si="29"/>
        <v>14.593579144691358</v>
      </c>
      <c r="AF162" s="9"/>
      <c r="AG162" s="21">
        <v>0.66543600000000003</v>
      </c>
      <c r="AH162" s="21">
        <v>19.0534</v>
      </c>
      <c r="AI162" s="21">
        <v>-1.3528399999999999E-2</v>
      </c>
      <c r="AJ162" s="21">
        <v>152</v>
      </c>
      <c r="AK162" s="21">
        <v>0.664825</v>
      </c>
      <c r="AL162">
        <f t="shared" si="30"/>
        <v>16.701728395061725</v>
      </c>
      <c r="AM162">
        <f t="shared" si="31"/>
        <v>11.113931336296295</v>
      </c>
      <c r="AP162" s="9"/>
      <c r="AQ162" s="21">
        <v>0.884552</v>
      </c>
      <c r="AR162" s="21">
        <v>24.294499999999999</v>
      </c>
      <c r="AS162" s="21">
        <v>-1.3378900000000001E-2</v>
      </c>
      <c r="AT162" s="21">
        <v>152</v>
      </c>
      <c r="AU162" s="21">
        <v>0.88378900000000005</v>
      </c>
      <c r="AV162">
        <f t="shared" si="32"/>
        <v>16.517160493827159</v>
      </c>
      <c r="AW162">
        <f t="shared" si="33"/>
        <v>14.610287349135801</v>
      </c>
      <c r="AX162" s="9"/>
      <c r="AY162" s="21">
        <v>0.66543600000000003</v>
      </c>
      <c r="AZ162" s="21">
        <v>27.811699999999998</v>
      </c>
      <c r="BA162" s="21">
        <v>-1.34888E-2</v>
      </c>
      <c r="BB162" s="21">
        <v>152</v>
      </c>
      <c r="BC162" s="21">
        <v>0.66479500000000002</v>
      </c>
      <c r="BD162">
        <f t="shared" si="34"/>
        <v>16.652839506172839</v>
      </c>
      <c r="BE162">
        <f t="shared" si="35"/>
        <v>11.08139890962963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0.87951699999999999</v>
      </c>
      <c r="H163" s="21">
        <v>6.7871899999999998</v>
      </c>
      <c r="I163" s="21">
        <v>-1.33636E-2</v>
      </c>
      <c r="J163" s="21">
        <v>153</v>
      </c>
      <c r="K163" s="21">
        <v>0.87829599999999997</v>
      </c>
      <c r="L163">
        <f t="shared" si="24"/>
        <v>16.498271604938271</v>
      </c>
      <c r="M163">
        <f t="shared" si="25"/>
        <v>14.510510347160492</v>
      </c>
      <c r="N163" s="9"/>
      <c r="O163" s="21">
        <v>0.67047100000000004</v>
      </c>
      <c r="P163" s="21">
        <v>10.3042</v>
      </c>
      <c r="Q163" s="21">
        <v>-1.34644E-2</v>
      </c>
      <c r="R163" s="21">
        <v>153</v>
      </c>
      <c r="S163" s="21">
        <v>0.66979999999999995</v>
      </c>
      <c r="T163">
        <f t="shared" si="26"/>
        <v>16.622716049382717</v>
      </c>
      <c r="U163">
        <f t="shared" si="27"/>
        <v>11.14504905234568</v>
      </c>
      <c r="X163" s="9"/>
      <c r="Y163" s="21">
        <v>0.87951699999999999</v>
      </c>
      <c r="Z163" s="21">
        <v>15.5464</v>
      </c>
      <c r="AA163" s="21">
        <v>-1.3369799999999999E-2</v>
      </c>
      <c r="AB163" s="21">
        <v>153</v>
      </c>
      <c r="AC163" s="21">
        <v>0.87890599999999997</v>
      </c>
      <c r="AD163">
        <f t="shared" si="28"/>
        <v>16.505925925925922</v>
      </c>
      <c r="AE163">
        <f t="shared" si="29"/>
        <v>14.517242452592589</v>
      </c>
      <c r="AF163" s="9"/>
      <c r="AG163" s="21">
        <v>0.67047100000000004</v>
      </c>
      <c r="AH163" s="21">
        <v>19.063500000000001</v>
      </c>
      <c r="AI163" s="21">
        <v>-1.3522299999999999E-2</v>
      </c>
      <c r="AJ163" s="21">
        <v>153</v>
      </c>
      <c r="AK163" s="21">
        <v>0.66986100000000004</v>
      </c>
      <c r="AL163">
        <f t="shared" si="30"/>
        <v>16.694197530864194</v>
      </c>
      <c r="AM163">
        <f t="shared" si="31"/>
        <v>11.192975312716047</v>
      </c>
      <c r="AP163" s="9"/>
      <c r="AQ163" s="21">
        <v>0.87951699999999999</v>
      </c>
      <c r="AR163" s="21">
        <v>24.304600000000001</v>
      </c>
      <c r="AS163" s="21">
        <v>-1.33911E-2</v>
      </c>
      <c r="AT163" s="21">
        <v>153</v>
      </c>
      <c r="AU163" s="21">
        <v>0.87890599999999997</v>
      </c>
      <c r="AV163">
        <f t="shared" si="32"/>
        <v>16.53222222222222</v>
      </c>
      <c r="AW163">
        <f t="shared" si="33"/>
        <v>14.54037049222222</v>
      </c>
      <c r="AX163" s="9"/>
      <c r="AY163" s="21">
        <v>0.67047100000000004</v>
      </c>
      <c r="AZ163" s="21">
        <v>27.8217</v>
      </c>
      <c r="BA163" s="21">
        <v>-1.34766E-2</v>
      </c>
      <c r="BB163" s="21">
        <v>153</v>
      </c>
      <c r="BC163" s="21">
        <v>0.66983000000000004</v>
      </c>
      <c r="BD163">
        <f t="shared" si="34"/>
        <v>16.637777777777774</v>
      </c>
      <c r="BE163">
        <f t="shared" si="35"/>
        <v>11.155147504444443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0.87448099999999995</v>
      </c>
      <c r="H164" s="21">
        <v>6.7972599999999996</v>
      </c>
      <c r="I164" s="21">
        <v>-1.3384999999999999E-2</v>
      </c>
      <c r="J164" s="21">
        <v>154</v>
      </c>
      <c r="K164" s="21">
        <v>0.87371799999999999</v>
      </c>
      <c r="L164">
        <f t="shared" si="24"/>
        <v>16.52469135802469</v>
      </c>
      <c r="M164">
        <f t="shared" si="25"/>
        <v>14.450528623456789</v>
      </c>
      <c r="N164" s="9"/>
      <c r="O164" s="21">
        <v>0.67550699999999997</v>
      </c>
      <c r="P164" s="21">
        <v>10.314299999999999</v>
      </c>
      <c r="Q164" s="21">
        <v>-1.34521E-2</v>
      </c>
      <c r="R164" s="21">
        <v>154</v>
      </c>
      <c r="S164" s="21">
        <v>0.67486599999999997</v>
      </c>
      <c r="T164">
        <f t="shared" si="26"/>
        <v>16.607530864197528</v>
      </c>
      <c r="U164">
        <f t="shared" si="27"/>
        <v>11.218503351481479</v>
      </c>
      <c r="X164" s="9"/>
      <c r="Y164" s="21">
        <v>0.87448099999999995</v>
      </c>
      <c r="Z164" s="21">
        <v>15.5565</v>
      </c>
      <c r="AA164" s="21">
        <v>-1.33606E-2</v>
      </c>
      <c r="AB164" s="21">
        <v>154</v>
      </c>
      <c r="AC164" s="21">
        <v>0.87341299999999999</v>
      </c>
      <c r="AD164">
        <f t="shared" si="28"/>
        <v>16.494567901234568</v>
      </c>
      <c r="AE164">
        <f t="shared" si="29"/>
        <v>14.424186232839505</v>
      </c>
      <c r="AF164" s="9"/>
      <c r="AG164" s="21">
        <v>0.67550699999999997</v>
      </c>
      <c r="AH164" s="21">
        <v>19.073499999999999</v>
      </c>
      <c r="AI164" s="21">
        <v>-1.35132E-2</v>
      </c>
      <c r="AJ164" s="21">
        <v>154</v>
      </c>
      <c r="AK164" s="21">
        <v>0.67477399999999998</v>
      </c>
      <c r="AL164">
        <f t="shared" si="30"/>
        <v>16.682962962962961</v>
      </c>
      <c r="AM164">
        <f t="shared" si="31"/>
        <v>11.269458262222221</v>
      </c>
      <c r="AP164" s="9"/>
      <c r="AQ164" s="21">
        <v>0.87448099999999995</v>
      </c>
      <c r="AR164" s="21">
        <v>24.314699999999998</v>
      </c>
      <c r="AS164" s="21">
        <v>-1.3382E-2</v>
      </c>
      <c r="AT164" s="21">
        <v>154</v>
      </c>
      <c r="AU164" s="21">
        <v>0.87402299999999999</v>
      </c>
      <c r="AV164">
        <f t="shared" si="32"/>
        <v>16.520987654320987</v>
      </c>
      <c r="AW164">
        <f t="shared" si="33"/>
        <v>14.44728980493827</v>
      </c>
      <c r="AX164" s="9"/>
      <c r="AY164" s="21">
        <v>0.67550699999999997</v>
      </c>
      <c r="AZ164" s="21">
        <v>27.831800000000001</v>
      </c>
      <c r="BA164" s="21">
        <v>-1.34705E-2</v>
      </c>
      <c r="BB164" s="21">
        <v>154</v>
      </c>
      <c r="BC164" s="21">
        <v>0.67474400000000001</v>
      </c>
      <c r="BD164">
        <f t="shared" si="34"/>
        <v>16.630246913580244</v>
      </c>
      <c r="BE164">
        <f t="shared" si="35"/>
        <v>11.233848201851849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0.86944600000000005</v>
      </c>
      <c r="H165" s="21">
        <v>6.8073300000000003</v>
      </c>
      <c r="I165" s="21">
        <v>-1.34003E-2</v>
      </c>
      <c r="J165" s="21">
        <v>155</v>
      </c>
      <c r="K165" s="21">
        <v>0.86822500000000002</v>
      </c>
      <c r="L165">
        <f t="shared" si="24"/>
        <v>16.543580246913578</v>
      </c>
      <c r="M165">
        <f t="shared" si="25"/>
        <v>14.383749671358023</v>
      </c>
      <c r="N165" s="9"/>
      <c r="O165" s="21">
        <v>0.68054199999999998</v>
      </c>
      <c r="P165" s="21">
        <v>10.324400000000001</v>
      </c>
      <c r="Q165" s="21">
        <v>-1.3446E-2</v>
      </c>
      <c r="R165" s="21">
        <v>155</v>
      </c>
      <c r="S165" s="21">
        <v>0.679871</v>
      </c>
      <c r="T165">
        <f t="shared" si="26"/>
        <v>16.599999999999998</v>
      </c>
      <c r="U165">
        <f t="shared" si="27"/>
        <v>11.296997199999998</v>
      </c>
      <c r="X165" s="9"/>
      <c r="Y165" s="21">
        <v>0.86944600000000005</v>
      </c>
      <c r="Z165" s="21">
        <v>15.5665</v>
      </c>
      <c r="AA165" s="21">
        <v>-1.33575E-2</v>
      </c>
      <c r="AB165" s="21">
        <v>155</v>
      </c>
      <c r="AC165" s="21">
        <v>0.86853000000000002</v>
      </c>
      <c r="AD165">
        <f t="shared" si="28"/>
        <v>16.49074074074074</v>
      </c>
      <c r="AE165">
        <f t="shared" si="29"/>
        <v>14.337808574074074</v>
      </c>
      <c r="AF165" s="9"/>
      <c r="AG165" s="21">
        <v>0.68054199999999998</v>
      </c>
      <c r="AH165" s="21">
        <v>19.083600000000001</v>
      </c>
      <c r="AI165" s="21">
        <v>-1.3510100000000001E-2</v>
      </c>
      <c r="AJ165" s="21">
        <v>155</v>
      </c>
      <c r="AK165" s="21">
        <v>0.67990099999999998</v>
      </c>
      <c r="AL165">
        <f t="shared" si="30"/>
        <v>16.679135802469133</v>
      </c>
      <c r="AM165">
        <f t="shared" si="31"/>
        <v>11.350852437283949</v>
      </c>
      <c r="AP165" s="9"/>
      <c r="AQ165" s="21">
        <v>0.86944600000000005</v>
      </c>
      <c r="AR165" s="21">
        <v>24.3248</v>
      </c>
      <c r="AS165" s="21">
        <v>-1.3369799999999999E-2</v>
      </c>
      <c r="AT165" s="21">
        <v>155</v>
      </c>
      <c r="AU165" s="21">
        <v>0.86853000000000002</v>
      </c>
      <c r="AV165">
        <f t="shared" si="32"/>
        <v>16.505925925925922</v>
      </c>
      <c r="AW165">
        <f t="shared" si="33"/>
        <v>14.35101127259259</v>
      </c>
      <c r="AX165" s="9"/>
      <c r="AY165" s="21">
        <v>0.68054199999999998</v>
      </c>
      <c r="AZ165" s="21">
        <v>27.841899999999999</v>
      </c>
      <c r="BA165" s="21">
        <v>-1.34644E-2</v>
      </c>
      <c r="BB165" s="21">
        <v>155</v>
      </c>
      <c r="BC165" s="21">
        <v>0.67993199999999998</v>
      </c>
      <c r="BD165">
        <f t="shared" si="34"/>
        <v>16.622716049382717</v>
      </c>
      <c r="BE165">
        <f t="shared" si="35"/>
        <v>11.312456425679013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0.86441000000000001</v>
      </c>
      <c r="H166" s="21">
        <v>6.8174000000000001</v>
      </c>
      <c r="I166" s="21">
        <v>-1.34033E-2</v>
      </c>
      <c r="J166" s="21">
        <v>156</v>
      </c>
      <c r="K166" s="21">
        <v>0.86334200000000005</v>
      </c>
      <c r="L166">
        <f t="shared" si="24"/>
        <v>16.547283950617281</v>
      </c>
      <c r="M166">
        <f t="shared" si="25"/>
        <v>14.303637719753084</v>
      </c>
      <c r="N166" s="9"/>
      <c r="O166" s="21">
        <v>0.68557699999999999</v>
      </c>
      <c r="P166" s="21">
        <v>10.3345</v>
      </c>
      <c r="Q166" s="21">
        <v>-1.3439899999999999E-2</v>
      </c>
      <c r="R166" s="21">
        <v>156</v>
      </c>
      <c r="S166" s="21">
        <v>0.68490600000000001</v>
      </c>
      <c r="T166">
        <f t="shared" si="26"/>
        <v>16.592469135802467</v>
      </c>
      <c r="U166">
        <f t="shared" si="27"/>
        <v>11.375415212716048</v>
      </c>
      <c r="X166" s="9"/>
      <c r="Y166" s="21">
        <v>0.86441000000000001</v>
      </c>
      <c r="Z166" s="21">
        <v>15.576599999999999</v>
      </c>
      <c r="AA166" s="21">
        <v>-1.33636E-2</v>
      </c>
      <c r="AB166" s="21">
        <v>156</v>
      </c>
      <c r="AC166" s="21">
        <v>0.86364700000000005</v>
      </c>
      <c r="AD166">
        <f t="shared" si="28"/>
        <v>16.498271604938271</v>
      </c>
      <c r="AE166">
        <f t="shared" si="29"/>
        <v>14.26127095802469</v>
      </c>
      <c r="AF166" s="9"/>
      <c r="AG166" s="21">
        <v>0.68557699999999999</v>
      </c>
      <c r="AH166" s="21">
        <v>19.093699999999998</v>
      </c>
      <c r="AI166" s="21">
        <v>-1.3504E-2</v>
      </c>
      <c r="AJ166" s="21">
        <v>156</v>
      </c>
      <c r="AK166" s="21">
        <v>0.68496699999999999</v>
      </c>
      <c r="AL166">
        <f t="shared" si="30"/>
        <v>16.671604938271606</v>
      </c>
      <c r="AM166">
        <f t="shared" si="31"/>
        <v>11.429668898765433</v>
      </c>
      <c r="AP166" s="9"/>
      <c r="AQ166" s="21">
        <v>0.86441000000000001</v>
      </c>
      <c r="AR166" s="21">
        <v>24.334800000000001</v>
      </c>
      <c r="AS166" s="21">
        <v>-1.33606E-2</v>
      </c>
      <c r="AT166" s="21">
        <v>156</v>
      </c>
      <c r="AU166" s="21">
        <v>0.86395299999999997</v>
      </c>
      <c r="AV166">
        <f t="shared" si="32"/>
        <v>16.494567901234568</v>
      </c>
      <c r="AW166">
        <f t="shared" si="33"/>
        <v>14.258069439506173</v>
      </c>
      <c r="AX166" s="9"/>
      <c r="AY166" s="21">
        <v>0.68557699999999999</v>
      </c>
      <c r="AZ166" s="21">
        <v>27.852</v>
      </c>
      <c r="BA166" s="21">
        <v>-1.3467399999999999E-2</v>
      </c>
      <c r="BB166" s="21">
        <v>156</v>
      </c>
      <c r="BC166" s="21">
        <v>0.68484500000000004</v>
      </c>
      <c r="BD166">
        <f t="shared" si="34"/>
        <v>16.626419753086417</v>
      </c>
      <c r="BE166">
        <f t="shared" si="35"/>
        <v>11.398690975061726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0.859375</v>
      </c>
      <c r="H167" s="21">
        <v>6.8274699999999999</v>
      </c>
      <c r="I167" s="21">
        <v>-1.34033E-2</v>
      </c>
      <c r="J167" s="21">
        <v>157</v>
      </c>
      <c r="K167" s="21">
        <v>0.85815399999999997</v>
      </c>
      <c r="L167">
        <f t="shared" si="24"/>
        <v>16.547283950617281</v>
      </c>
      <c r="M167">
        <f t="shared" si="25"/>
        <v>14.220322145061726</v>
      </c>
      <c r="N167" s="9"/>
      <c r="O167" s="21">
        <v>0.69061300000000003</v>
      </c>
      <c r="P167" s="21">
        <v>10.3445</v>
      </c>
      <c r="Q167" s="21">
        <v>-1.3433799999999999E-2</v>
      </c>
      <c r="R167" s="21">
        <v>157</v>
      </c>
      <c r="S167" s="21">
        <v>0.68991100000000005</v>
      </c>
      <c r="T167">
        <f t="shared" si="26"/>
        <v>16.584938271604937</v>
      </c>
      <c r="U167">
        <f t="shared" si="27"/>
        <v>11.4537739745679</v>
      </c>
      <c r="X167" s="9"/>
      <c r="Y167" s="21">
        <v>0.859375</v>
      </c>
      <c r="Z167" s="21">
        <v>15.5867</v>
      </c>
      <c r="AA167" s="21">
        <v>-1.33636E-2</v>
      </c>
      <c r="AB167" s="21">
        <v>157</v>
      </c>
      <c r="AC167" s="21">
        <v>0.858765</v>
      </c>
      <c r="AD167">
        <f t="shared" si="28"/>
        <v>16.498271604938271</v>
      </c>
      <c r="AE167">
        <f t="shared" si="29"/>
        <v>14.178202160493827</v>
      </c>
      <c r="AF167" s="9"/>
      <c r="AG167" s="21">
        <v>0.69061300000000003</v>
      </c>
      <c r="AH167" s="21">
        <v>19.1037</v>
      </c>
      <c r="AI167" s="21">
        <v>-1.34979E-2</v>
      </c>
      <c r="AJ167" s="21">
        <v>157</v>
      </c>
      <c r="AK167" s="21">
        <v>0.68991100000000005</v>
      </c>
      <c r="AL167">
        <f t="shared" si="30"/>
        <v>16.664074074074072</v>
      </c>
      <c r="AM167">
        <f t="shared" si="31"/>
        <v>11.508426188518518</v>
      </c>
      <c r="AP167" s="9"/>
      <c r="AQ167" s="21">
        <v>0.859375</v>
      </c>
      <c r="AR167" s="21">
        <v>24.344899999999999</v>
      </c>
      <c r="AS167" s="21">
        <v>-1.33636E-2</v>
      </c>
      <c r="AT167" s="21">
        <v>157</v>
      </c>
      <c r="AU167" s="21">
        <v>0.85845899999999997</v>
      </c>
      <c r="AV167">
        <f t="shared" si="32"/>
        <v>16.498271604938271</v>
      </c>
      <c r="AW167">
        <f t="shared" si="33"/>
        <v>14.178202160493827</v>
      </c>
      <c r="AX167" s="9"/>
      <c r="AY167" s="21">
        <v>0.69061300000000003</v>
      </c>
      <c r="AZ167" s="21">
        <v>27.861999999999998</v>
      </c>
      <c r="BA167" s="21">
        <v>-1.34644E-2</v>
      </c>
      <c r="BB167" s="21">
        <v>157</v>
      </c>
      <c r="BC167" s="21">
        <v>0.68991100000000005</v>
      </c>
      <c r="BD167">
        <f t="shared" si="34"/>
        <v>16.622716049382717</v>
      </c>
      <c r="BE167">
        <f t="shared" si="35"/>
        <v>11.479863799012348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0.85433999999999999</v>
      </c>
      <c r="H168" s="21">
        <v>6.8375399999999997</v>
      </c>
      <c r="I168" s="21">
        <v>-1.34094E-2</v>
      </c>
      <c r="J168" s="21">
        <v>158</v>
      </c>
      <c r="K168" s="21">
        <v>0.85357700000000003</v>
      </c>
      <c r="L168">
        <f t="shared" si="24"/>
        <v>16.554814814814815</v>
      </c>
      <c r="M168">
        <f t="shared" si="25"/>
        <v>14.143440488888888</v>
      </c>
      <c r="N168" s="9"/>
      <c r="O168" s="21">
        <v>0.69564800000000004</v>
      </c>
      <c r="P168" s="21">
        <v>10.3546</v>
      </c>
      <c r="Q168" s="21">
        <v>-1.34308E-2</v>
      </c>
      <c r="R168" s="21">
        <v>158</v>
      </c>
      <c r="S168" s="21">
        <v>0.69500700000000004</v>
      </c>
      <c r="T168">
        <f t="shared" si="26"/>
        <v>16.581234567901234</v>
      </c>
      <c r="U168">
        <f t="shared" si="27"/>
        <v>11.534702664691359</v>
      </c>
      <c r="X168" s="9"/>
      <c r="Y168" s="21">
        <v>0.85433999999999999</v>
      </c>
      <c r="Z168" s="21">
        <v>15.5967</v>
      </c>
      <c r="AA168" s="21">
        <v>-1.33667E-2</v>
      </c>
      <c r="AB168" s="21">
        <v>158</v>
      </c>
      <c r="AC168" s="21">
        <v>0.85388200000000003</v>
      </c>
      <c r="AD168">
        <f t="shared" si="28"/>
        <v>16.502098765432098</v>
      </c>
      <c r="AE168">
        <f t="shared" si="29"/>
        <v>14.098403059259258</v>
      </c>
      <c r="AF168" s="9"/>
      <c r="AG168" s="21">
        <v>0.69564800000000004</v>
      </c>
      <c r="AH168" s="21">
        <v>19.113800000000001</v>
      </c>
      <c r="AI168" s="21">
        <v>-1.34888E-2</v>
      </c>
      <c r="AJ168" s="21">
        <v>158</v>
      </c>
      <c r="AK168" s="21">
        <v>0.69497699999999996</v>
      </c>
      <c r="AL168">
        <f t="shared" si="30"/>
        <v>16.652839506172839</v>
      </c>
      <c r="AM168">
        <f t="shared" si="31"/>
        <v>11.584514496790124</v>
      </c>
      <c r="AP168" s="9"/>
      <c r="AQ168" s="21">
        <v>0.85433999999999999</v>
      </c>
      <c r="AR168" s="21">
        <v>24.355</v>
      </c>
      <c r="AS168" s="21">
        <v>-1.33575E-2</v>
      </c>
      <c r="AT168" s="21">
        <v>158</v>
      </c>
      <c r="AU168" s="21">
        <v>0.85357700000000003</v>
      </c>
      <c r="AV168">
        <f t="shared" si="32"/>
        <v>16.49074074074074</v>
      </c>
      <c r="AW168">
        <f t="shared" si="33"/>
        <v>14.088699444444444</v>
      </c>
      <c r="AX168" s="9"/>
      <c r="AY168" s="21">
        <v>0.69564800000000004</v>
      </c>
      <c r="AZ168" s="21">
        <v>27.8721</v>
      </c>
      <c r="BA168" s="21">
        <v>-1.34552E-2</v>
      </c>
      <c r="BB168" s="21">
        <v>158</v>
      </c>
      <c r="BC168" s="21">
        <v>0.69503800000000004</v>
      </c>
      <c r="BD168">
        <f t="shared" si="34"/>
        <v>16.611358024691356</v>
      </c>
      <c r="BE168">
        <f t="shared" si="35"/>
        <v>11.555657987160492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0.84930399999999995</v>
      </c>
      <c r="H169" s="21">
        <v>6.8476100000000004</v>
      </c>
      <c r="I169" s="21">
        <v>-1.3418599999999999E-2</v>
      </c>
      <c r="J169" s="21">
        <v>159</v>
      </c>
      <c r="K169" s="21">
        <v>0.84808300000000003</v>
      </c>
      <c r="L169">
        <f t="shared" si="24"/>
        <v>16.566172839506169</v>
      </c>
      <c r="M169">
        <f t="shared" si="25"/>
        <v>14.069716857283947</v>
      </c>
      <c r="N169" s="9"/>
      <c r="O169" s="21">
        <v>0.70068399999999997</v>
      </c>
      <c r="P169" s="21">
        <v>10.364699999999999</v>
      </c>
      <c r="Q169" s="21">
        <v>-1.3421600000000001E-2</v>
      </c>
      <c r="R169" s="21">
        <v>159</v>
      </c>
      <c r="S169" s="21">
        <v>0.70001199999999997</v>
      </c>
      <c r="T169">
        <f t="shared" si="26"/>
        <v>16.569876543209876</v>
      </c>
      <c r="U169">
        <f t="shared" si="27"/>
        <v>11.610247375802468</v>
      </c>
      <c r="X169" s="9"/>
      <c r="Y169" s="21">
        <v>0.84930399999999995</v>
      </c>
      <c r="Z169" s="21">
        <v>15.6068</v>
      </c>
      <c r="AA169" s="21">
        <v>-1.33759E-2</v>
      </c>
      <c r="AB169" s="21">
        <v>159</v>
      </c>
      <c r="AC169" s="21">
        <v>0.84777800000000003</v>
      </c>
      <c r="AD169">
        <f t="shared" si="28"/>
        <v>16.513456790123456</v>
      </c>
      <c r="AE169">
        <f t="shared" si="29"/>
        <v>14.024944905679011</v>
      </c>
      <c r="AF169" s="9"/>
      <c r="AG169" s="21">
        <v>0.70068399999999997</v>
      </c>
      <c r="AH169" s="21">
        <v>19.123899999999999</v>
      </c>
      <c r="AI169" s="21">
        <v>-1.3501000000000001E-2</v>
      </c>
      <c r="AJ169" s="21">
        <v>159</v>
      </c>
      <c r="AK169" s="21">
        <v>0.70004299999999997</v>
      </c>
      <c r="AL169">
        <f t="shared" si="30"/>
        <v>16.667901234567903</v>
      </c>
      <c r="AM169">
        <f t="shared" si="31"/>
        <v>11.678931708641976</v>
      </c>
      <c r="AP169" s="9"/>
      <c r="AQ169" s="21">
        <v>0.84930399999999995</v>
      </c>
      <c r="AR169" s="21">
        <v>24.364999999999998</v>
      </c>
      <c r="AS169" s="21">
        <v>-1.33575E-2</v>
      </c>
      <c r="AT169" s="21">
        <v>159</v>
      </c>
      <c r="AU169" s="21">
        <v>0.84838899999999995</v>
      </c>
      <c r="AV169">
        <f t="shared" si="32"/>
        <v>16.49074074074074</v>
      </c>
      <c r="AW169">
        <f t="shared" si="33"/>
        <v>14.005652074074073</v>
      </c>
      <c r="AX169" s="9"/>
      <c r="AY169" s="21">
        <v>0.70068399999999997</v>
      </c>
      <c r="AZ169" s="21">
        <v>27.882200000000001</v>
      </c>
      <c r="BA169" s="21">
        <v>-1.3446E-2</v>
      </c>
      <c r="BB169" s="21">
        <v>159</v>
      </c>
      <c r="BC169" s="21">
        <v>0.70001199999999997</v>
      </c>
      <c r="BD169">
        <f t="shared" si="34"/>
        <v>16.599999999999998</v>
      </c>
      <c r="BE169">
        <f t="shared" si="35"/>
        <v>11.631354399999998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0.84426900000000005</v>
      </c>
      <c r="H170" s="21">
        <v>6.8576800000000002</v>
      </c>
      <c r="I170" s="21">
        <v>-1.34155E-2</v>
      </c>
      <c r="J170" s="21">
        <v>160</v>
      </c>
      <c r="K170" s="21">
        <v>0.84350599999999998</v>
      </c>
      <c r="L170">
        <f t="shared" si="24"/>
        <v>16.562345679012346</v>
      </c>
      <c r="M170">
        <f t="shared" si="25"/>
        <v>13.983075024074076</v>
      </c>
      <c r="N170" s="9"/>
      <c r="O170" s="21">
        <v>0.70571899999999999</v>
      </c>
      <c r="P170" s="21">
        <v>10.374700000000001</v>
      </c>
      <c r="Q170" s="21">
        <v>-1.3418599999999999E-2</v>
      </c>
      <c r="R170" s="21">
        <v>160</v>
      </c>
      <c r="S170" s="21">
        <v>0.705017</v>
      </c>
      <c r="T170">
        <f t="shared" si="26"/>
        <v>16.566172839506169</v>
      </c>
      <c r="U170">
        <f t="shared" si="27"/>
        <v>11.691062930123454</v>
      </c>
      <c r="X170" s="9"/>
      <c r="Y170" s="21">
        <v>0.84426900000000005</v>
      </c>
      <c r="Z170" s="21">
        <v>15.616899999999999</v>
      </c>
      <c r="AA170" s="21">
        <v>-1.33911E-2</v>
      </c>
      <c r="AB170" s="21">
        <v>160</v>
      </c>
      <c r="AC170" s="21">
        <v>0.84289599999999998</v>
      </c>
      <c r="AD170">
        <f t="shared" si="28"/>
        <v>16.53222222222222</v>
      </c>
      <c r="AE170">
        <f t="shared" si="29"/>
        <v>13.957642723333333</v>
      </c>
      <c r="AF170" s="9"/>
      <c r="AG170" s="21">
        <v>0.70571899999999999</v>
      </c>
      <c r="AH170" s="21">
        <v>19.133900000000001</v>
      </c>
      <c r="AI170" s="21">
        <v>-1.3507099999999999E-2</v>
      </c>
      <c r="AJ170" s="21">
        <v>160</v>
      </c>
      <c r="AK170" s="21">
        <v>0.70504800000000001</v>
      </c>
      <c r="AL170">
        <f t="shared" si="30"/>
        <v>16.67543209876543</v>
      </c>
      <c r="AM170">
        <f t="shared" si="31"/>
        <v>11.768169265308641</v>
      </c>
      <c r="AP170" s="9"/>
      <c r="AQ170" s="21">
        <v>0.84426900000000005</v>
      </c>
      <c r="AR170" s="21">
        <v>24.3751</v>
      </c>
      <c r="AS170" s="21">
        <v>-1.33636E-2</v>
      </c>
      <c r="AT170" s="21">
        <v>160</v>
      </c>
      <c r="AU170" s="21">
        <v>0.84320099999999998</v>
      </c>
      <c r="AV170">
        <f t="shared" si="32"/>
        <v>16.498271604938271</v>
      </c>
      <c r="AW170">
        <f t="shared" si="33"/>
        <v>13.928979269629631</v>
      </c>
      <c r="AX170" s="9"/>
      <c r="AY170" s="21">
        <v>0.70571899999999999</v>
      </c>
      <c r="AZ170" s="21">
        <v>27.892199999999999</v>
      </c>
      <c r="BA170" s="21">
        <v>-1.3439899999999999E-2</v>
      </c>
      <c r="BB170" s="21">
        <v>160</v>
      </c>
      <c r="BC170" s="21">
        <v>0.70516999999999996</v>
      </c>
      <c r="BD170">
        <f t="shared" si="34"/>
        <v>16.592469135802467</v>
      </c>
      <c r="BE170">
        <f t="shared" si="35"/>
        <v>11.709620726049382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0.83923300000000001</v>
      </c>
      <c r="H171" s="21">
        <v>6.86775</v>
      </c>
      <c r="I171" s="21">
        <v>-1.34094E-2</v>
      </c>
      <c r="J171" s="21">
        <v>161</v>
      </c>
      <c r="K171" s="21">
        <v>0.83801300000000001</v>
      </c>
      <c r="L171">
        <f t="shared" si="24"/>
        <v>16.554814814814815</v>
      </c>
      <c r="M171">
        <f t="shared" si="25"/>
        <v>13.893346901481483</v>
      </c>
      <c r="N171" s="9"/>
      <c r="O171" s="21">
        <v>0.710754</v>
      </c>
      <c r="P171" s="21">
        <v>10.3848</v>
      </c>
      <c r="Q171" s="21">
        <v>-1.3418599999999999E-2</v>
      </c>
      <c r="R171" s="21">
        <v>161</v>
      </c>
      <c r="S171" s="21">
        <v>0.71011400000000002</v>
      </c>
      <c r="T171">
        <f t="shared" si="26"/>
        <v>16.566172839506169</v>
      </c>
      <c r="U171">
        <f t="shared" si="27"/>
        <v>11.774473610370368</v>
      </c>
      <c r="X171" s="9"/>
      <c r="Y171" s="21">
        <v>0.83923300000000001</v>
      </c>
      <c r="Z171" s="21">
        <v>15.627000000000001</v>
      </c>
      <c r="AA171" s="21">
        <v>-1.33881E-2</v>
      </c>
      <c r="AB171" s="21">
        <v>161</v>
      </c>
      <c r="AC171" s="21">
        <v>0.83892800000000001</v>
      </c>
      <c r="AD171">
        <f t="shared" si="28"/>
        <v>16.528518518518517</v>
      </c>
      <c r="AE171">
        <f t="shared" si="29"/>
        <v>13.871278181851851</v>
      </c>
      <c r="AF171" s="9"/>
      <c r="AG171" s="21">
        <v>0.710754</v>
      </c>
      <c r="AH171" s="21">
        <v>19.143999999999998</v>
      </c>
      <c r="AI171" s="21">
        <v>-1.3501000000000001E-2</v>
      </c>
      <c r="AJ171" s="21">
        <v>161</v>
      </c>
      <c r="AK171" s="21">
        <v>0.710144</v>
      </c>
      <c r="AL171">
        <f t="shared" si="30"/>
        <v>16.667901234567903</v>
      </c>
      <c r="AM171">
        <f t="shared" si="31"/>
        <v>11.846777474074075</v>
      </c>
      <c r="AP171" s="9"/>
      <c r="AQ171" s="21">
        <v>0.83923300000000001</v>
      </c>
      <c r="AR171" s="21">
        <v>24.385200000000001</v>
      </c>
      <c r="AS171" s="21">
        <v>-1.33667E-2</v>
      </c>
      <c r="AT171" s="21">
        <v>161</v>
      </c>
      <c r="AU171" s="21">
        <v>0.83862300000000001</v>
      </c>
      <c r="AV171">
        <f t="shared" si="32"/>
        <v>16.502098765432098</v>
      </c>
      <c r="AW171">
        <f t="shared" si="33"/>
        <v>13.849105853209876</v>
      </c>
      <c r="AX171" s="9"/>
      <c r="AY171" s="21">
        <v>0.710754</v>
      </c>
      <c r="AZ171" s="21">
        <v>27.9023</v>
      </c>
      <c r="BA171" s="21">
        <v>-1.3433799999999999E-2</v>
      </c>
      <c r="BB171" s="21">
        <v>161</v>
      </c>
      <c r="BC171" s="21">
        <v>0.71011400000000002</v>
      </c>
      <c r="BD171">
        <f t="shared" si="34"/>
        <v>16.584938271604937</v>
      </c>
      <c r="BE171">
        <f t="shared" si="35"/>
        <v>11.787811216296296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0.834198</v>
      </c>
      <c r="H172" s="21">
        <v>6.8778300000000003</v>
      </c>
      <c r="I172" s="21">
        <v>-1.34155E-2</v>
      </c>
      <c r="J172" s="21">
        <v>162</v>
      </c>
      <c r="K172" s="21">
        <v>0.83343500000000004</v>
      </c>
      <c r="L172">
        <f t="shared" si="24"/>
        <v>16.562345679012346</v>
      </c>
      <c r="M172">
        <f t="shared" si="25"/>
        <v>13.816275640740741</v>
      </c>
      <c r="N172" s="9"/>
      <c r="O172" s="21">
        <v>0.71579000000000004</v>
      </c>
      <c r="P172" s="21">
        <v>10.3949</v>
      </c>
      <c r="Q172" s="21">
        <v>-1.34155E-2</v>
      </c>
      <c r="R172" s="21">
        <v>162</v>
      </c>
      <c r="S172" s="21">
        <v>0.71514900000000003</v>
      </c>
      <c r="T172">
        <f t="shared" si="26"/>
        <v>16.562345679012346</v>
      </c>
      <c r="U172">
        <f t="shared" si="27"/>
        <v>11.855161413580248</v>
      </c>
      <c r="X172" s="9"/>
      <c r="Y172" s="21">
        <v>0.834198</v>
      </c>
      <c r="Z172" s="21">
        <v>15.637</v>
      </c>
      <c r="AA172" s="21">
        <v>-1.3378900000000001E-2</v>
      </c>
      <c r="AB172" s="21">
        <v>162</v>
      </c>
      <c r="AC172" s="21">
        <v>0.83343500000000004</v>
      </c>
      <c r="AD172">
        <f t="shared" si="28"/>
        <v>16.517160493827159</v>
      </c>
      <c r="AE172">
        <f t="shared" si="29"/>
        <v>13.778582249629629</v>
      </c>
      <c r="AF172" s="9"/>
      <c r="AG172" s="21">
        <v>0.71579000000000004</v>
      </c>
      <c r="AH172" s="21">
        <v>19.1541</v>
      </c>
      <c r="AI172" s="21">
        <v>-1.34979E-2</v>
      </c>
      <c r="AJ172" s="21">
        <v>162</v>
      </c>
      <c r="AK172" s="21">
        <v>0.71521000000000001</v>
      </c>
      <c r="AL172">
        <f t="shared" si="30"/>
        <v>16.664074074074072</v>
      </c>
      <c r="AM172">
        <f t="shared" si="31"/>
        <v>11.92797758148148</v>
      </c>
      <c r="AP172" s="9"/>
      <c r="AQ172" s="21">
        <v>0.834198</v>
      </c>
      <c r="AR172" s="21">
        <v>24.395299999999999</v>
      </c>
      <c r="AS172" s="21">
        <v>-1.33636E-2</v>
      </c>
      <c r="AT172" s="21">
        <v>162</v>
      </c>
      <c r="AU172" s="21">
        <v>0.83313000000000004</v>
      </c>
      <c r="AV172">
        <f t="shared" si="32"/>
        <v>16.498271604938271</v>
      </c>
      <c r="AW172">
        <f t="shared" si="33"/>
        <v>13.762825176296296</v>
      </c>
      <c r="AX172" s="9"/>
      <c r="AY172" s="21">
        <v>0.71579000000000004</v>
      </c>
      <c r="AZ172" s="21">
        <v>27.912400000000002</v>
      </c>
      <c r="BA172" s="21">
        <v>-1.3427700000000001E-2</v>
      </c>
      <c r="BB172" s="21">
        <v>162</v>
      </c>
      <c r="BC172" s="21">
        <v>0.71517900000000001</v>
      </c>
      <c r="BD172">
        <f t="shared" si="34"/>
        <v>16.57740740740741</v>
      </c>
      <c r="BE172">
        <f t="shared" si="35"/>
        <v>11.86594244814815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0.82916299999999998</v>
      </c>
      <c r="H173" s="21">
        <v>6.8879000000000001</v>
      </c>
      <c r="I173" s="21">
        <v>-1.34155E-2</v>
      </c>
      <c r="J173" s="21">
        <v>163</v>
      </c>
      <c r="K173" s="21">
        <v>0.82763699999999996</v>
      </c>
      <c r="L173">
        <f t="shared" si="24"/>
        <v>16.562345679012346</v>
      </c>
      <c r="M173">
        <f t="shared" si="25"/>
        <v>13.732884230246913</v>
      </c>
      <c r="N173" s="9"/>
      <c r="O173" s="21">
        <v>0.72082500000000005</v>
      </c>
      <c r="P173" s="21">
        <v>10.404999999999999</v>
      </c>
      <c r="Q173" s="21">
        <v>-1.3421600000000001E-2</v>
      </c>
      <c r="R173" s="21">
        <v>163</v>
      </c>
      <c r="S173" s="21">
        <v>0.72024500000000002</v>
      </c>
      <c r="T173">
        <f t="shared" si="26"/>
        <v>16.569876543209876</v>
      </c>
      <c r="U173">
        <f t="shared" si="27"/>
        <v>11.94398125925926</v>
      </c>
      <c r="X173" s="9"/>
      <c r="Y173" s="21">
        <v>0.82916299999999998</v>
      </c>
      <c r="Z173" s="21">
        <v>15.6471</v>
      </c>
      <c r="AA173" s="21">
        <v>-1.33636E-2</v>
      </c>
      <c r="AB173" s="21">
        <v>163</v>
      </c>
      <c r="AC173" s="21">
        <v>0.82763699999999996</v>
      </c>
      <c r="AD173">
        <f t="shared" si="28"/>
        <v>16.498271604938271</v>
      </c>
      <c r="AE173">
        <f t="shared" si="29"/>
        <v>13.679756378765431</v>
      </c>
      <c r="AF173" s="9"/>
      <c r="AG173" s="21">
        <v>0.72082500000000005</v>
      </c>
      <c r="AH173" s="21">
        <v>19.164200000000001</v>
      </c>
      <c r="AI173" s="21">
        <v>-1.34918E-2</v>
      </c>
      <c r="AJ173" s="21">
        <v>163</v>
      </c>
      <c r="AK173" s="21">
        <v>0.72012299999999996</v>
      </c>
      <c r="AL173">
        <f t="shared" si="30"/>
        <v>16.656543209876542</v>
      </c>
      <c r="AM173">
        <f t="shared" si="31"/>
        <v>12.006452759259259</v>
      </c>
      <c r="AP173" s="9"/>
      <c r="AQ173" s="21">
        <v>0.82916299999999998</v>
      </c>
      <c r="AR173" s="21">
        <v>24.4053</v>
      </c>
      <c r="AS173" s="21">
        <v>-1.3372800000000001E-2</v>
      </c>
      <c r="AT173" s="21">
        <v>163</v>
      </c>
      <c r="AU173" s="21">
        <v>0.82824699999999996</v>
      </c>
      <c r="AV173">
        <f t="shared" si="32"/>
        <v>16.509629629629632</v>
      </c>
      <c r="AW173">
        <f t="shared" si="33"/>
        <v>13.689174032592595</v>
      </c>
      <c r="AX173" s="9"/>
      <c r="AY173" s="21">
        <v>0.72082500000000005</v>
      </c>
      <c r="AZ173" s="21">
        <v>27.922499999999999</v>
      </c>
      <c r="BA173" s="21">
        <v>-1.34308E-2</v>
      </c>
      <c r="BB173" s="21">
        <v>163</v>
      </c>
      <c r="BC173" s="21">
        <v>0.72018400000000005</v>
      </c>
      <c r="BD173">
        <f t="shared" si="34"/>
        <v>16.581234567901234</v>
      </c>
      <c r="BE173">
        <f t="shared" si="35"/>
        <v>11.952168407407408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0.82412700000000005</v>
      </c>
      <c r="H174" s="21">
        <v>6.8979699999999999</v>
      </c>
      <c r="I174" s="21">
        <v>-1.3418599999999999E-2</v>
      </c>
      <c r="J174" s="21">
        <v>164</v>
      </c>
      <c r="K174" s="21">
        <v>0.82366899999999998</v>
      </c>
      <c r="L174">
        <f t="shared" si="24"/>
        <v>16.566172839506169</v>
      </c>
      <c r="M174">
        <f t="shared" si="25"/>
        <v>13.652630323703702</v>
      </c>
      <c r="N174" s="9"/>
      <c r="O174" s="21">
        <v>0.72586099999999998</v>
      </c>
      <c r="P174" s="21">
        <v>10.414999999999999</v>
      </c>
      <c r="Q174" s="21">
        <v>-1.34155E-2</v>
      </c>
      <c r="R174" s="21">
        <v>164</v>
      </c>
      <c r="S174" s="21">
        <v>0.72521999999999998</v>
      </c>
      <c r="T174">
        <f t="shared" si="26"/>
        <v>16.562345679012346</v>
      </c>
      <c r="U174">
        <f t="shared" si="27"/>
        <v>12.02196079691358</v>
      </c>
      <c r="X174" s="9"/>
      <c r="Y174" s="21">
        <v>0.82412700000000005</v>
      </c>
      <c r="Z174" s="21">
        <v>15.6572</v>
      </c>
      <c r="AA174" s="21">
        <v>-1.33575E-2</v>
      </c>
      <c r="AB174" s="21">
        <v>164</v>
      </c>
      <c r="AC174" s="21">
        <v>0.82336399999999998</v>
      </c>
      <c r="AD174">
        <f t="shared" si="28"/>
        <v>16.49074074074074</v>
      </c>
      <c r="AE174">
        <f t="shared" si="29"/>
        <v>13.590464694444446</v>
      </c>
      <c r="AF174" s="9"/>
      <c r="AG174" s="21">
        <v>0.72586099999999998</v>
      </c>
      <c r="AH174" s="21">
        <v>19.174199999999999</v>
      </c>
      <c r="AI174" s="21">
        <v>-1.34766E-2</v>
      </c>
      <c r="AJ174" s="21">
        <v>164</v>
      </c>
      <c r="AK174" s="21">
        <v>0.72518899999999997</v>
      </c>
      <c r="AL174">
        <f t="shared" si="30"/>
        <v>16.637777777777774</v>
      </c>
      <c r="AM174">
        <f t="shared" si="31"/>
        <v>12.076714015555552</v>
      </c>
      <c r="AP174" s="9"/>
      <c r="AQ174" s="21">
        <v>0.82412700000000005</v>
      </c>
      <c r="AR174" s="21">
        <v>24.415400000000002</v>
      </c>
      <c r="AS174" s="21">
        <v>-1.3378900000000001E-2</v>
      </c>
      <c r="AT174" s="21">
        <v>164</v>
      </c>
      <c r="AU174" s="21">
        <v>0.82366899999999998</v>
      </c>
      <c r="AV174">
        <f t="shared" si="32"/>
        <v>16.517160493827159</v>
      </c>
      <c r="AW174">
        <f t="shared" si="33"/>
        <v>13.612237926296297</v>
      </c>
      <c r="AX174" s="9"/>
      <c r="AY174" s="21">
        <v>0.72586099999999998</v>
      </c>
      <c r="AZ174" s="21">
        <v>27.932500000000001</v>
      </c>
      <c r="BA174" s="21">
        <v>-1.3421600000000001E-2</v>
      </c>
      <c r="BB174" s="21">
        <v>164</v>
      </c>
      <c r="BC174" s="21">
        <v>0.72524999999999995</v>
      </c>
      <c r="BD174">
        <f t="shared" si="34"/>
        <v>16.569876543209876</v>
      </c>
      <c r="BE174">
        <f t="shared" si="35"/>
        <v>12.027427157530864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0.81909200000000004</v>
      </c>
      <c r="H175" s="21">
        <v>6.9080399999999997</v>
      </c>
      <c r="I175" s="21">
        <v>-1.3427700000000001E-2</v>
      </c>
      <c r="J175" s="21">
        <v>165</v>
      </c>
      <c r="K175" s="21">
        <v>0.81848100000000001</v>
      </c>
      <c r="L175">
        <f t="shared" si="24"/>
        <v>16.57740740740741</v>
      </c>
      <c r="M175">
        <f t="shared" si="25"/>
        <v>13.578421788148152</v>
      </c>
      <c r="N175" s="9"/>
      <c r="O175" s="21">
        <v>0.73089599999999999</v>
      </c>
      <c r="P175" s="21">
        <v>10.4251</v>
      </c>
      <c r="Q175" s="21">
        <v>-1.3418599999999999E-2</v>
      </c>
      <c r="R175" s="21">
        <v>165</v>
      </c>
      <c r="S175" s="21">
        <v>0.73016400000000004</v>
      </c>
      <c r="T175">
        <f t="shared" si="26"/>
        <v>16.566172839506169</v>
      </c>
      <c r="U175">
        <f t="shared" si="27"/>
        <v>12.1081494637037</v>
      </c>
      <c r="X175" s="9"/>
      <c r="Y175" s="21">
        <v>0.81909200000000004</v>
      </c>
      <c r="Z175" s="21">
        <v>15.667199999999999</v>
      </c>
      <c r="AA175" s="21">
        <v>-1.33667E-2</v>
      </c>
      <c r="AB175" s="21">
        <v>165</v>
      </c>
      <c r="AC175" s="21">
        <v>0.81817600000000001</v>
      </c>
      <c r="AD175">
        <f t="shared" si="28"/>
        <v>16.502098765432098</v>
      </c>
      <c r="AE175">
        <f t="shared" si="29"/>
        <v>13.516737081975309</v>
      </c>
      <c r="AF175" s="9"/>
      <c r="AG175" s="21">
        <v>0.73089599999999999</v>
      </c>
      <c r="AH175" s="21">
        <v>19.1843</v>
      </c>
      <c r="AI175" s="21">
        <v>-1.3467399999999999E-2</v>
      </c>
      <c r="AJ175" s="21">
        <v>165</v>
      </c>
      <c r="AK175" s="21">
        <v>0.73022500000000001</v>
      </c>
      <c r="AL175">
        <f t="shared" si="30"/>
        <v>16.626419753086417</v>
      </c>
      <c r="AM175">
        <f t="shared" si="31"/>
        <v>12.15218369185185</v>
      </c>
      <c r="AP175" s="9"/>
      <c r="AQ175" s="21">
        <v>0.81909200000000004</v>
      </c>
      <c r="AR175" s="21">
        <v>24.4255</v>
      </c>
      <c r="AS175" s="21">
        <v>-1.33911E-2</v>
      </c>
      <c r="AT175" s="21">
        <v>165</v>
      </c>
      <c r="AU175" s="21">
        <v>0.81817600000000001</v>
      </c>
      <c r="AV175">
        <f t="shared" si="32"/>
        <v>16.53222222222222</v>
      </c>
      <c r="AW175">
        <f t="shared" si="33"/>
        <v>13.541410964444443</v>
      </c>
      <c r="AX175" s="9"/>
      <c r="AY175" s="21">
        <v>0.73089599999999999</v>
      </c>
      <c r="AZ175" s="21">
        <v>27.942599999999999</v>
      </c>
      <c r="BA175" s="21">
        <v>-1.3421600000000001E-2</v>
      </c>
      <c r="BB175" s="21">
        <v>165</v>
      </c>
      <c r="BC175" s="21">
        <v>0.73013300000000003</v>
      </c>
      <c r="BD175">
        <f t="shared" si="34"/>
        <v>16.569876543209876</v>
      </c>
      <c r="BE175">
        <f t="shared" si="35"/>
        <v>12.110856485925925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0.814056</v>
      </c>
      <c r="H176" s="21">
        <v>6.9181100000000004</v>
      </c>
      <c r="I176" s="21">
        <v>-1.34308E-2</v>
      </c>
      <c r="J176" s="21">
        <v>166</v>
      </c>
      <c r="K176" s="21">
        <v>0.81298800000000004</v>
      </c>
      <c r="L176">
        <f t="shared" si="24"/>
        <v>16.581234567901234</v>
      </c>
      <c r="M176">
        <f t="shared" si="25"/>
        <v>13.498053487407407</v>
      </c>
      <c r="N176" s="9"/>
      <c r="O176" s="21">
        <v>0.735931</v>
      </c>
      <c r="P176" s="21">
        <v>10.4352</v>
      </c>
      <c r="Q176" s="21">
        <v>-1.34155E-2</v>
      </c>
      <c r="R176" s="21">
        <v>166</v>
      </c>
      <c r="S176" s="21">
        <v>0.73529100000000003</v>
      </c>
      <c r="T176">
        <f t="shared" si="26"/>
        <v>16.562345679012346</v>
      </c>
      <c r="U176">
        <f t="shared" si="27"/>
        <v>12.188743617901235</v>
      </c>
      <c r="X176" s="9"/>
      <c r="Y176" s="21">
        <v>0.814056</v>
      </c>
      <c r="Z176" s="21">
        <v>15.677300000000001</v>
      </c>
      <c r="AA176" s="21">
        <v>-1.3372800000000001E-2</v>
      </c>
      <c r="AB176" s="21">
        <v>166</v>
      </c>
      <c r="AC176" s="21">
        <v>0.81268300000000004</v>
      </c>
      <c r="AD176">
        <f t="shared" si="28"/>
        <v>16.509629629629632</v>
      </c>
      <c r="AE176">
        <f t="shared" si="29"/>
        <v>13.43976305777778</v>
      </c>
      <c r="AF176" s="9"/>
      <c r="AG176" s="21">
        <v>0.735931</v>
      </c>
      <c r="AH176" s="21">
        <v>19.194400000000002</v>
      </c>
      <c r="AI176" s="21">
        <v>-1.34644E-2</v>
      </c>
      <c r="AJ176" s="21">
        <v>166</v>
      </c>
      <c r="AK176" s="21">
        <v>0.73522900000000002</v>
      </c>
      <c r="AL176">
        <f t="shared" si="30"/>
        <v>16.622716049382717</v>
      </c>
      <c r="AM176">
        <f t="shared" si="31"/>
        <v>12.233172044938273</v>
      </c>
      <c r="AP176" s="9"/>
      <c r="AQ176" s="21">
        <v>0.814056</v>
      </c>
      <c r="AR176" s="21">
        <v>24.435500000000001</v>
      </c>
      <c r="AS176" s="21">
        <v>-1.33972E-2</v>
      </c>
      <c r="AT176" s="21">
        <v>166</v>
      </c>
      <c r="AU176" s="21">
        <v>0.81329300000000004</v>
      </c>
      <c r="AV176">
        <f t="shared" si="32"/>
        <v>16.539753086419751</v>
      </c>
      <c r="AW176">
        <f t="shared" si="33"/>
        <v>13.464285238518517</v>
      </c>
      <c r="AX176" s="9"/>
      <c r="AY176" s="21">
        <v>0.735931</v>
      </c>
      <c r="AZ176" s="21">
        <v>27.9527</v>
      </c>
      <c r="BA176" s="21">
        <v>-1.3427700000000001E-2</v>
      </c>
      <c r="BB176" s="21">
        <v>166</v>
      </c>
      <c r="BC176" s="21">
        <v>0.735321</v>
      </c>
      <c r="BD176">
        <f t="shared" si="34"/>
        <v>16.57740740740741</v>
      </c>
      <c r="BE176">
        <f t="shared" si="35"/>
        <v>12.199828010740744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0.80902099999999999</v>
      </c>
      <c r="H177" s="21">
        <v>6.9281800000000002</v>
      </c>
      <c r="I177" s="21">
        <v>-1.3421600000000001E-2</v>
      </c>
      <c r="J177" s="21">
        <v>167</v>
      </c>
      <c r="K177" s="21">
        <v>0.80779999999999996</v>
      </c>
      <c r="L177">
        <f t="shared" si="24"/>
        <v>16.569876543209876</v>
      </c>
      <c r="M177">
        <f t="shared" si="25"/>
        <v>13.405378090864197</v>
      </c>
      <c r="N177" s="9"/>
      <c r="O177" s="21">
        <v>0.74096700000000004</v>
      </c>
      <c r="P177" s="21">
        <v>10.4452</v>
      </c>
      <c r="Q177" s="21">
        <v>-1.3406400000000001E-2</v>
      </c>
      <c r="R177" s="21">
        <v>167</v>
      </c>
      <c r="S177" s="21">
        <v>0.74029500000000004</v>
      </c>
      <c r="T177">
        <f t="shared" si="26"/>
        <v>16.551111111111108</v>
      </c>
      <c r="U177">
        <f t="shared" si="27"/>
        <v>12.263827146666666</v>
      </c>
      <c r="X177" s="9"/>
      <c r="Y177" s="21">
        <v>0.80902099999999999</v>
      </c>
      <c r="Z177" s="21">
        <v>15.6874</v>
      </c>
      <c r="AA177" s="21">
        <v>-1.3384999999999999E-2</v>
      </c>
      <c r="AB177" s="21">
        <v>167</v>
      </c>
      <c r="AC177" s="21">
        <v>0.80779999999999996</v>
      </c>
      <c r="AD177">
        <f t="shared" si="28"/>
        <v>16.52469135802469</v>
      </c>
      <c r="AE177">
        <f t="shared" si="29"/>
        <v>13.368822327160492</v>
      </c>
      <c r="AF177" s="9"/>
      <c r="AG177" s="21">
        <v>0.74096700000000004</v>
      </c>
      <c r="AH177" s="21">
        <v>19.2044</v>
      </c>
      <c r="AI177" s="21">
        <v>-1.34644E-2</v>
      </c>
      <c r="AJ177" s="21">
        <v>167</v>
      </c>
      <c r="AK177" s="21">
        <v>0.74035600000000001</v>
      </c>
      <c r="AL177">
        <f t="shared" si="30"/>
        <v>16.622716049382717</v>
      </c>
      <c r="AM177">
        <f t="shared" si="31"/>
        <v>12.316884042962965</v>
      </c>
      <c r="AP177" s="9"/>
      <c r="AQ177" s="21">
        <v>0.80902099999999999</v>
      </c>
      <c r="AR177" s="21">
        <v>24.445599999999999</v>
      </c>
      <c r="AS177" s="21">
        <v>-1.34033E-2</v>
      </c>
      <c r="AT177" s="21">
        <v>167</v>
      </c>
      <c r="AU177" s="21">
        <v>0.80810499999999996</v>
      </c>
      <c r="AV177">
        <f t="shared" si="32"/>
        <v>16.547283950617281</v>
      </c>
      <c r="AW177">
        <f t="shared" si="33"/>
        <v>13.387100209012344</v>
      </c>
      <c r="AX177" s="9"/>
      <c r="AY177" s="21">
        <v>0.74096700000000004</v>
      </c>
      <c r="AZ177" s="21">
        <v>27.962700000000002</v>
      </c>
      <c r="BA177" s="21">
        <v>-1.3427700000000001E-2</v>
      </c>
      <c r="BB177" s="21">
        <v>167</v>
      </c>
      <c r="BC177" s="21">
        <v>0.74029500000000004</v>
      </c>
      <c r="BD177">
        <f t="shared" si="34"/>
        <v>16.57740740740741</v>
      </c>
      <c r="BE177">
        <f t="shared" si="35"/>
        <v>12.283311834444447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0.80398599999999998</v>
      </c>
      <c r="H178" s="21">
        <v>6.93825</v>
      </c>
      <c r="I178" s="21">
        <v>-1.3421600000000001E-2</v>
      </c>
      <c r="J178" s="21">
        <v>168</v>
      </c>
      <c r="K178" s="21">
        <v>0.80352800000000002</v>
      </c>
      <c r="L178">
        <f t="shared" si="24"/>
        <v>16.569876543209876</v>
      </c>
      <c r="M178">
        <f t="shared" si="25"/>
        <v>13.321948762469136</v>
      </c>
      <c r="N178" s="9"/>
      <c r="O178" s="21">
        <v>0.74600200000000005</v>
      </c>
      <c r="P178" s="21">
        <v>10.455299999999999</v>
      </c>
      <c r="Q178" s="21">
        <v>-1.33942E-2</v>
      </c>
      <c r="R178" s="21">
        <v>168</v>
      </c>
      <c r="S178" s="21">
        <v>0.74554399999999998</v>
      </c>
      <c r="T178">
        <f t="shared" si="26"/>
        <v>16.536049382716048</v>
      </c>
      <c r="U178">
        <f t="shared" si="27"/>
        <v>12.335925911604937</v>
      </c>
      <c r="X178" s="9"/>
      <c r="Y178" s="21">
        <v>0.80398599999999998</v>
      </c>
      <c r="Z178" s="21">
        <v>15.6975</v>
      </c>
      <c r="AA178" s="21">
        <v>-1.33942E-2</v>
      </c>
      <c r="AB178" s="21">
        <v>168</v>
      </c>
      <c r="AC178" s="21">
        <v>0.80352800000000002</v>
      </c>
      <c r="AD178">
        <f t="shared" si="28"/>
        <v>16.536049382716048</v>
      </c>
      <c r="AE178">
        <f t="shared" si="29"/>
        <v>13.294752199012343</v>
      </c>
      <c r="AF178" s="9"/>
      <c r="AG178" s="21">
        <v>0.74600200000000005</v>
      </c>
      <c r="AH178" s="21">
        <v>19.214500000000001</v>
      </c>
      <c r="AI178" s="21">
        <v>-1.3467399999999999E-2</v>
      </c>
      <c r="AJ178" s="21">
        <v>168</v>
      </c>
      <c r="AK178" s="21">
        <v>0.74539200000000005</v>
      </c>
      <c r="AL178">
        <f t="shared" si="30"/>
        <v>16.626419753086417</v>
      </c>
      <c r="AM178">
        <f t="shared" si="31"/>
        <v>12.403342388641974</v>
      </c>
      <c r="AP178" s="9"/>
      <c r="AQ178" s="21">
        <v>0.80398599999999998</v>
      </c>
      <c r="AR178" s="21">
        <v>24.4557</v>
      </c>
      <c r="AS178" s="21">
        <v>-1.34094E-2</v>
      </c>
      <c r="AT178" s="21">
        <v>168</v>
      </c>
      <c r="AU178" s="21">
        <v>0.80291699999999999</v>
      </c>
      <c r="AV178">
        <f t="shared" si="32"/>
        <v>16.554814814814815</v>
      </c>
      <c r="AW178">
        <f t="shared" si="33"/>
        <v>13.309839343703704</v>
      </c>
      <c r="AX178" s="9"/>
      <c r="AY178" s="21">
        <v>0.74600200000000005</v>
      </c>
      <c r="AZ178" s="21">
        <v>27.972799999999999</v>
      </c>
      <c r="BA178" s="21">
        <v>-1.34308E-2</v>
      </c>
      <c r="BB178" s="21">
        <v>168</v>
      </c>
      <c r="BC178" s="21">
        <v>0.74545300000000003</v>
      </c>
      <c r="BD178">
        <f t="shared" si="34"/>
        <v>16.581234567901234</v>
      </c>
      <c r="BE178">
        <f t="shared" si="35"/>
        <v>12.369634150123456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0.79895000000000005</v>
      </c>
      <c r="H179" s="21">
        <v>6.9483199999999998</v>
      </c>
      <c r="I179" s="21">
        <v>-1.3427700000000001E-2</v>
      </c>
      <c r="J179" s="21">
        <v>169</v>
      </c>
      <c r="K179" s="21">
        <v>0.79772900000000002</v>
      </c>
      <c r="L179">
        <f t="shared" si="24"/>
        <v>16.57740740740741</v>
      </c>
      <c r="M179">
        <f t="shared" si="25"/>
        <v>13.244519648148151</v>
      </c>
      <c r="N179" s="9"/>
      <c r="O179" s="21">
        <v>0.75103799999999998</v>
      </c>
      <c r="P179" s="21">
        <v>10.465400000000001</v>
      </c>
      <c r="Q179" s="21">
        <v>-1.3384999999999999E-2</v>
      </c>
      <c r="R179" s="21">
        <v>169</v>
      </c>
      <c r="S179" s="21">
        <v>0.75021400000000005</v>
      </c>
      <c r="T179">
        <f t="shared" si="26"/>
        <v>16.52469135802469</v>
      </c>
      <c r="U179">
        <f t="shared" si="27"/>
        <v>12.410671148148147</v>
      </c>
      <c r="X179" s="9"/>
      <c r="Y179" s="21">
        <v>0.79895000000000005</v>
      </c>
      <c r="Z179" s="21">
        <v>15.7075</v>
      </c>
      <c r="AA179" s="21">
        <v>-1.34003E-2</v>
      </c>
      <c r="AB179" s="21">
        <v>169</v>
      </c>
      <c r="AC179" s="21">
        <v>0.79742400000000002</v>
      </c>
      <c r="AD179">
        <f t="shared" si="28"/>
        <v>16.543580246913578</v>
      </c>
      <c r="AE179">
        <f t="shared" si="29"/>
        <v>13.217493438271603</v>
      </c>
      <c r="AF179" s="9"/>
      <c r="AG179" s="21">
        <v>0.75103799999999998</v>
      </c>
      <c r="AH179" s="21">
        <v>19.224599999999999</v>
      </c>
      <c r="AI179" s="21">
        <v>-1.34644E-2</v>
      </c>
      <c r="AJ179" s="21">
        <v>169</v>
      </c>
      <c r="AK179" s="21">
        <v>0.750336</v>
      </c>
      <c r="AL179">
        <f t="shared" si="30"/>
        <v>16.622716049382717</v>
      </c>
      <c r="AM179">
        <f t="shared" si="31"/>
        <v>12.484291416296296</v>
      </c>
      <c r="AP179" s="9"/>
      <c r="AQ179" s="21">
        <v>0.79895000000000005</v>
      </c>
      <c r="AR179" s="21">
        <v>24.465699999999998</v>
      </c>
      <c r="AS179" s="21">
        <v>-1.34094E-2</v>
      </c>
      <c r="AT179" s="21">
        <v>169</v>
      </c>
      <c r="AU179" s="21">
        <v>0.79834000000000005</v>
      </c>
      <c r="AV179">
        <f t="shared" si="32"/>
        <v>16.554814814814815</v>
      </c>
      <c r="AW179">
        <f t="shared" si="33"/>
        <v>13.226469296296298</v>
      </c>
      <c r="AX179" s="9"/>
      <c r="AY179" s="21">
        <v>0.75103799999999998</v>
      </c>
      <c r="AZ179" s="21">
        <v>27.982900000000001</v>
      </c>
      <c r="BA179" s="21">
        <v>-1.34308E-2</v>
      </c>
      <c r="BB179" s="21">
        <v>169</v>
      </c>
      <c r="BC179" s="21">
        <v>0.75039699999999998</v>
      </c>
      <c r="BD179">
        <f t="shared" si="34"/>
        <v>16.581234567901234</v>
      </c>
      <c r="BE179">
        <f t="shared" si="35"/>
        <v>12.453137247407406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0.79391500000000004</v>
      </c>
      <c r="H180" s="21">
        <v>6.9583899999999996</v>
      </c>
      <c r="I180" s="21">
        <v>-1.34369E-2</v>
      </c>
      <c r="J180" s="21">
        <v>170</v>
      </c>
      <c r="K180" s="21">
        <v>0.79315199999999997</v>
      </c>
      <c r="L180">
        <f t="shared" si="24"/>
        <v>16.588765432098764</v>
      </c>
      <c r="M180">
        <f t="shared" si="25"/>
        <v>13.170069708024691</v>
      </c>
      <c r="N180" s="9"/>
      <c r="O180" s="21">
        <v>0.756073</v>
      </c>
      <c r="P180" s="21">
        <v>10.4755</v>
      </c>
      <c r="Q180" s="21">
        <v>-1.3382E-2</v>
      </c>
      <c r="R180" s="21">
        <v>170</v>
      </c>
      <c r="S180" s="21">
        <v>0.75500500000000004</v>
      </c>
      <c r="T180">
        <f t="shared" si="26"/>
        <v>16.520987654320987</v>
      </c>
      <c r="U180">
        <f t="shared" si="27"/>
        <v>12.49107269876543</v>
      </c>
      <c r="X180" s="9"/>
      <c r="Y180" s="21">
        <v>0.79391500000000004</v>
      </c>
      <c r="Z180" s="21">
        <v>15.717599999999999</v>
      </c>
      <c r="AA180" s="21">
        <v>-1.34094E-2</v>
      </c>
      <c r="AB180" s="21">
        <v>170</v>
      </c>
      <c r="AC180" s="21">
        <v>0.79315199999999997</v>
      </c>
      <c r="AD180">
        <f t="shared" si="28"/>
        <v>16.554814814814815</v>
      </c>
      <c r="AE180">
        <f t="shared" si="29"/>
        <v>13.143115803703704</v>
      </c>
      <c r="AF180" s="9"/>
      <c r="AG180" s="21">
        <v>0.756073</v>
      </c>
      <c r="AH180" s="21">
        <v>19.2347</v>
      </c>
      <c r="AI180" s="21">
        <v>-1.3461300000000001E-2</v>
      </c>
      <c r="AJ180" s="21">
        <v>170</v>
      </c>
      <c r="AK180" s="21">
        <v>0.75531000000000004</v>
      </c>
      <c r="AL180">
        <f t="shared" si="30"/>
        <v>16.618888888888886</v>
      </c>
      <c r="AM180">
        <f t="shared" si="31"/>
        <v>12.565093178888887</v>
      </c>
      <c r="AP180" s="9"/>
      <c r="AQ180" s="21">
        <v>0.79391500000000004</v>
      </c>
      <c r="AR180" s="21">
        <v>24.4758</v>
      </c>
      <c r="AS180" s="21">
        <v>-1.34094E-2</v>
      </c>
      <c r="AT180" s="21">
        <v>170</v>
      </c>
      <c r="AU180" s="21">
        <v>0.79315199999999997</v>
      </c>
      <c r="AV180">
        <f t="shared" si="32"/>
        <v>16.554814814814815</v>
      </c>
      <c r="AW180">
        <f t="shared" si="33"/>
        <v>13.143115803703704</v>
      </c>
      <c r="AX180" s="9"/>
      <c r="AY180" s="21">
        <v>0.756073</v>
      </c>
      <c r="AZ180" s="21">
        <v>27.992999999999999</v>
      </c>
      <c r="BA180" s="21">
        <v>-1.3433799999999999E-2</v>
      </c>
      <c r="BB180" s="21">
        <v>170</v>
      </c>
      <c r="BC180" s="21">
        <v>0.75561500000000004</v>
      </c>
      <c r="BD180">
        <f t="shared" si="34"/>
        <v>16.584938271604937</v>
      </c>
      <c r="BE180">
        <f t="shared" si="35"/>
        <v>12.53942403382716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0.788879</v>
      </c>
      <c r="H181" s="21">
        <v>6.9684600000000003</v>
      </c>
      <c r="I181" s="21">
        <v>-1.3433799999999999E-2</v>
      </c>
      <c r="J181" s="21">
        <v>171</v>
      </c>
      <c r="K181" s="21">
        <v>0.787964</v>
      </c>
      <c r="L181">
        <f t="shared" si="24"/>
        <v>16.584938271604937</v>
      </c>
      <c r="M181">
        <f t="shared" si="25"/>
        <v>13.083509518765432</v>
      </c>
      <c r="N181" s="9"/>
      <c r="O181" s="21">
        <v>0.76110800000000001</v>
      </c>
      <c r="P181" s="21">
        <v>10.4855</v>
      </c>
      <c r="Q181" s="21">
        <v>-1.33759E-2</v>
      </c>
      <c r="R181" s="21">
        <v>171</v>
      </c>
      <c r="S181" s="21">
        <v>0.76019300000000001</v>
      </c>
      <c r="T181">
        <f t="shared" si="26"/>
        <v>16.513456790123456</v>
      </c>
      <c r="U181">
        <f t="shared" si="27"/>
        <v>12.568524070617283</v>
      </c>
      <c r="X181" s="9"/>
      <c r="Y181" s="21">
        <v>0.788879</v>
      </c>
      <c r="Z181" s="21">
        <v>15.7277</v>
      </c>
      <c r="AA181" s="21">
        <v>-1.3412500000000001E-2</v>
      </c>
      <c r="AB181" s="21">
        <v>171</v>
      </c>
      <c r="AC181" s="21">
        <v>0.787659</v>
      </c>
      <c r="AD181">
        <f t="shared" si="28"/>
        <v>16.558641975308642</v>
      </c>
      <c r="AE181">
        <f t="shared" si="29"/>
        <v>13.062764922839506</v>
      </c>
      <c r="AF181" s="9"/>
      <c r="AG181" s="21">
        <v>0.76110800000000001</v>
      </c>
      <c r="AH181" s="21">
        <v>19.244700000000002</v>
      </c>
      <c r="AI181" s="21">
        <v>-1.34521E-2</v>
      </c>
      <c r="AJ181" s="21">
        <v>171</v>
      </c>
      <c r="AK181" s="21">
        <v>0.75988800000000001</v>
      </c>
      <c r="AL181">
        <f t="shared" si="30"/>
        <v>16.607530864197528</v>
      </c>
      <c r="AM181">
        <f t="shared" si="31"/>
        <v>12.640124600987653</v>
      </c>
      <c r="AP181" s="9"/>
      <c r="AQ181" s="21">
        <v>0.788879</v>
      </c>
      <c r="AR181" s="21">
        <v>24.485900000000001</v>
      </c>
      <c r="AS181" s="21">
        <v>-1.3421600000000001E-2</v>
      </c>
      <c r="AT181" s="21">
        <v>171</v>
      </c>
      <c r="AU181" s="21">
        <v>0.788269</v>
      </c>
      <c r="AV181">
        <f t="shared" si="32"/>
        <v>16.569876543209876</v>
      </c>
      <c r="AW181">
        <f t="shared" si="33"/>
        <v>13.071627637530863</v>
      </c>
      <c r="AX181" s="9"/>
      <c r="AY181" s="21">
        <v>0.76110800000000001</v>
      </c>
      <c r="AZ181" s="21">
        <v>28.003</v>
      </c>
      <c r="BA181" s="21">
        <v>-1.34369E-2</v>
      </c>
      <c r="BB181" s="21">
        <v>171</v>
      </c>
      <c r="BC181" s="21">
        <v>0.76049800000000001</v>
      </c>
      <c r="BD181">
        <f t="shared" si="34"/>
        <v>16.588765432098764</v>
      </c>
      <c r="BE181">
        <f t="shared" si="35"/>
        <v>12.625842080493827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0.78384399999999999</v>
      </c>
      <c r="H182" s="21">
        <v>6.9785399999999997</v>
      </c>
      <c r="I182" s="21">
        <v>-1.34308E-2</v>
      </c>
      <c r="J182" s="21">
        <v>172</v>
      </c>
      <c r="K182" s="21">
        <v>0.78277600000000003</v>
      </c>
      <c r="L182">
        <f t="shared" si="24"/>
        <v>16.581234567901234</v>
      </c>
      <c r="M182">
        <f t="shared" si="25"/>
        <v>12.997101228641975</v>
      </c>
      <c r="N182" s="9"/>
      <c r="O182" s="21">
        <v>0.76614400000000005</v>
      </c>
      <c r="P182" s="21">
        <v>10.4956</v>
      </c>
      <c r="Q182" s="21">
        <v>-1.3369799999999999E-2</v>
      </c>
      <c r="R182" s="21">
        <v>172</v>
      </c>
      <c r="S182" s="21">
        <v>0.76568599999999998</v>
      </c>
      <c r="T182">
        <f t="shared" si="26"/>
        <v>16.505925925925922</v>
      </c>
      <c r="U182">
        <f t="shared" si="27"/>
        <v>12.645916112592591</v>
      </c>
      <c r="X182" s="9"/>
      <c r="Y182" s="21">
        <v>0.78384399999999999</v>
      </c>
      <c r="Z182" s="21">
        <v>15.7377</v>
      </c>
      <c r="AA182" s="21">
        <v>-1.3418599999999999E-2</v>
      </c>
      <c r="AB182" s="21">
        <v>172</v>
      </c>
      <c r="AC182" s="21">
        <v>0.78308100000000003</v>
      </c>
      <c r="AD182">
        <f t="shared" si="28"/>
        <v>16.566172839506169</v>
      </c>
      <c r="AE182">
        <f t="shared" si="29"/>
        <v>12.985295183209873</v>
      </c>
      <c r="AF182" s="9"/>
      <c r="AG182" s="21">
        <v>0.76614400000000005</v>
      </c>
      <c r="AH182" s="21">
        <v>19.254799999999999</v>
      </c>
      <c r="AI182" s="21">
        <v>-1.34552E-2</v>
      </c>
      <c r="AJ182" s="21">
        <v>172</v>
      </c>
      <c r="AK182" s="21">
        <v>0.76507599999999998</v>
      </c>
      <c r="AL182">
        <f t="shared" si="30"/>
        <v>16.611358024691356</v>
      </c>
      <c r="AM182">
        <f t="shared" si="31"/>
        <v>12.726692282469134</v>
      </c>
      <c r="AP182" s="9"/>
      <c r="AQ182" s="21">
        <v>0.78384399999999999</v>
      </c>
      <c r="AR182" s="21">
        <v>24.495999999999999</v>
      </c>
      <c r="AS182" s="21">
        <v>-1.3421600000000001E-2</v>
      </c>
      <c r="AT182" s="21">
        <v>172</v>
      </c>
      <c r="AU182" s="21">
        <v>0.78308100000000003</v>
      </c>
      <c r="AV182">
        <f t="shared" si="32"/>
        <v>16.569876543209876</v>
      </c>
      <c r="AW182">
        <f t="shared" si="33"/>
        <v>12.988198309135802</v>
      </c>
      <c r="AX182" s="9"/>
      <c r="AY182" s="21">
        <v>0.76614400000000005</v>
      </c>
      <c r="AZ182" s="21">
        <v>28.013100000000001</v>
      </c>
      <c r="BA182" s="21">
        <v>-1.3439899999999999E-2</v>
      </c>
      <c r="BB182" s="21">
        <v>172</v>
      </c>
      <c r="BC182" s="21">
        <v>0.76507599999999998</v>
      </c>
      <c r="BD182">
        <f t="shared" si="34"/>
        <v>16.592469135802467</v>
      </c>
      <c r="BE182">
        <f t="shared" si="35"/>
        <v>12.712220673580246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0.77880899999999997</v>
      </c>
      <c r="H183" s="21">
        <v>6.9886100000000004</v>
      </c>
      <c r="I183" s="21">
        <v>-1.34308E-2</v>
      </c>
      <c r="J183" s="21">
        <v>173</v>
      </c>
      <c r="K183" s="21">
        <v>0.77789299999999995</v>
      </c>
      <c r="L183">
        <f t="shared" si="24"/>
        <v>16.581234567901234</v>
      </c>
      <c r="M183">
        <f t="shared" si="25"/>
        <v>12.913614712592592</v>
      </c>
      <c r="N183" s="9"/>
      <c r="O183" s="21">
        <v>0.77117899999999995</v>
      </c>
      <c r="P183" s="21">
        <v>10.505699999999999</v>
      </c>
      <c r="Q183" s="21">
        <v>-1.33545E-2</v>
      </c>
      <c r="R183" s="21">
        <v>173</v>
      </c>
      <c r="S183" s="21">
        <v>0.76995800000000003</v>
      </c>
      <c r="T183">
        <f t="shared" si="26"/>
        <v>16.487037037037037</v>
      </c>
      <c r="U183">
        <f t="shared" si="27"/>
        <v>12.714456735185184</v>
      </c>
      <c r="X183" s="9"/>
      <c r="Y183" s="21">
        <v>0.77880899999999997</v>
      </c>
      <c r="Z183" s="21">
        <v>15.7478</v>
      </c>
      <c r="AA183" s="21">
        <v>-1.3439899999999999E-2</v>
      </c>
      <c r="AB183" s="21">
        <v>173</v>
      </c>
      <c r="AC183" s="21">
        <v>0.77789299999999995</v>
      </c>
      <c r="AD183">
        <f t="shared" si="28"/>
        <v>16.592469135802467</v>
      </c>
      <c r="AE183">
        <f t="shared" si="29"/>
        <v>12.922364295185183</v>
      </c>
      <c r="AF183" s="9"/>
      <c r="AG183" s="21">
        <v>0.77117899999999995</v>
      </c>
      <c r="AH183" s="21">
        <v>19.264900000000001</v>
      </c>
      <c r="AI183" s="21">
        <v>-1.3458299999999999E-2</v>
      </c>
      <c r="AJ183" s="21">
        <v>173</v>
      </c>
      <c r="AK183" s="21">
        <v>0.77056899999999995</v>
      </c>
      <c r="AL183">
        <f t="shared" si="30"/>
        <v>16.615185185185183</v>
      </c>
      <c r="AM183">
        <f t="shared" si="31"/>
        <v>12.813281895925924</v>
      </c>
      <c r="AP183" s="9"/>
      <c r="AQ183" s="21">
        <v>0.77880899999999997</v>
      </c>
      <c r="AR183" s="21">
        <v>24.506</v>
      </c>
      <c r="AS183" s="21">
        <v>-1.3427700000000001E-2</v>
      </c>
      <c r="AT183" s="21">
        <v>173</v>
      </c>
      <c r="AU183" s="21">
        <v>0.77819799999999995</v>
      </c>
      <c r="AV183">
        <f t="shared" si="32"/>
        <v>16.57740740740741</v>
      </c>
      <c r="AW183">
        <f t="shared" si="33"/>
        <v>12.910634085555557</v>
      </c>
      <c r="AX183" s="9"/>
      <c r="AY183" s="21">
        <v>0.77117899999999995</v>
      </c>
      <c r="AZ183" s="21">
        <v>28.023199999999999</v>
      </c>
      <c r="BA183" s="21">
        <v>-1.3433799999999999E-2</v>
      </c>
      <c r="BB183" s="21">
        <v>173</v>
      </c>
      <c r="BC183" s="21">
        <v>0.77026399999999995</v>
      </c>
      <c r="BD183">
        <f t="shared" si="34"/>
        <v>16.584938271604937</v>
      </c>
      <c r="BE183">
        <f t="shared" si="35"/>
        <v>12.789956111358023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0.77377300000000004</v>
      </c>
      <c r="H184" s="21">
        <v>6.9986800000000002</v>
      </c>
      <c r="I184" s="21">
        <v>-1.3443E-2</v>
      </c>
      <c r="J184" s="21">
        <v>174</v>
      </c>
      <c r="K184" s="21">
        <v>0.77300999999999997</v>
      </c>
      <c r="L184">
        <f t="shared" si="24"/>
        <v>16.596296296296295</v>
      </c>
      <c r="M184">
        <f t="shared" si="25"/>
        <v>12.841765974074073</v>
      </c>
      <c r="N184" s="9"/>
      <c r="O184" s="21">
        <v>0.77621499999999999</v>
      </c>
      <c r="P184" s="21">
        <v>10.515700000000001</v>
      </c>
      <c r="Q184" s="21">
        <v>-1.3351399999999999E-2</v>
      </c>
      <c r="R184" s="21">
        <v>174</v>
      </c>
      <c r="S184" s="21">
        <v>0.77545200000000003</v>
      </c>
      <c r="T184">
        <f t="shared" si="26"/>
        <v>16.483209876543206</v>
      </c>
      <c r="U184">
        <f t="shared" si="27"/>
        <v>12.794514754320986</v>
      </c>
      <c r="X184" s="9"/>
      <c r="Y184" s="21">
        <v>0.77377300000000004</v>
      </c>
      <c r="Z184" s="21">
        <v>15.757899999999999</v>
      </c>
      <c r="AA184" s="21">
        <v>-1.34552E-2</v>
      </c>
      <c r="AB184" s="21">
        <v>174</v>
      </c>
      <c r="AC184" s="21">
        <v>0.77300999999999997</v>
      </c>
      <c r="AD184">
        <f t="shared" si="28"/>
        <v>16.611358024691356</v>
      </c>
      <c r="AE184">
        <f t="shared" si="29"/>
        <v>12.853420332839505</v>
      </c>
      <c r="AF184" s="9"/>
      <c r="AG184" s="21">
        <v>0.77621499999999999</v>
      </c>
      <c r="AH184" s="21">
        <v>19.274899999999999</v>
      </c>
      <c r="AI184" s="21">
        <v>-1.3461300000000001E-2</v>
      </c>
      <c r="AJ184" s="21">
        <v>174</v>
      </c>
      <c r="AK184" s="21">
        <v>0.775146</v>
      </c>
      <c r="AL184">
        <f t="shared" si="30"/>
        <v>16.618888888888886</v>
      </c>
      <c r="AM184">
        <f t="shared" si="31"/>
        <v>12.899830838888887</v>
      </c>
      <c r="AP184" s="9"/>
      <c r="AQ184" s="21">
        <v>0.77377300000000004</v>
      </c>
      <c r="AR184" s="21">
        <v>24.516100000000002</v>
      </c>
      <c r="AS184" s="21">
        <v>-1.34308E-2</v>
      </c>
      <c r="AT184" s="21">
        <v>174</v>
      </c>
      <c r="AU184" s="21">
        <v>0.77270499999999998</v>
      </c>
      <c r="AV184">
        <f t="shared" si="32"/>
        <v>16.581234567901234</v>
      </c>
      <c r="AW184">
        <f t="shared" si="33"/>
        <v>12.830111615308642</v>
      </c>
      <c r="AX184" s="9"/>
      <c r="AY184" s="21">
        <v>0.77621499999999999</v>
      </c>
      <c r="AZ184" s="21">
        <v>28.033200000000001</v>
      </c>
      <c r="BA184" s="21">
        <v>-1.3421600000000001E-2</v>
      </c>
      <c r="BB184" s="21">
        <v>174</v>
      </c>
      <c r="BC184" s="21">
        <v>0.775146</v>
      </c>
      <c r="BD184">
        <f t="shared" si="34"/>
        <v>16.569876543209876</v>
      </c>
      <c r="BE184">
        <f t="shared" si="35"/>
        <v>12.861786720987654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0.76873800000000003</v>
      </c>
      <c r="H185" s="21">
        <v>7.00875</v>
      </c>
      <c r="I185" s="21">
        <v>-1.34491E-2</v>
      </c>
      <c r="J185" s="21">
        <v>175</v>
      </c>
      <c r="K185" s="21">
        <v>0.767822</v>
      </c>
      <c r="L185">
        <f t="shared" si="24"/>
        <v>16.603827160493829</v>
      </c>
      <c r="M185">
        <f t="shared" si="25"/>
        <v>12.763992883703706</v>
      </c>
      <c r="N185" s="9"/>
      <c r="O185" s="21">
        <v>0.78125</v>
      </c>
      <c r="P185" s="21">
        <v>10.5258</v>
      </c>
      <c r="Q185" s="21">
        <v>-1.3345299999999999E-2</v>
      </c>
      <c r="R185" s="21">
        <v>175</v>
      </c>
      <c r="S185" s="21">
        <v>0.78033399999999997</v>
      </c>
      <c r="T185">
        <f t="shared" si="26"/>
        <v>16.475679012345676</v>
      </c>
      <c r="U185">
        <f t="shared" si="27"/>
        <v>12.87162422839506</v>
      </c>
      <c r="X185" s="9"/>
      <c r="Y185" s="21">
        <v>0.76873800000000003</v>
      </c>
      <c r="Z185" s="21">
        <v>15.768000000000001</v>
      </c>
      <c r="AA185" s="21">
        <v>-1.3467399999999999E-2</v>
      </c>
      <c r="AB185" s="21">
        <v>175</v>
      </c>
      <c r="AC185" s="21">
        <v>0.767822</v>
      </c>
      <c r="AD185">
        <f t="shared" si="28"/>
        <v>16.626419753086417</v>
      </c>
      <c r="AE185">
        <f t="shared" si="29"/>
        <v>12.781360668148146</v>
      </c>
      <c r="AF185" s="9"/>
      <c r="AG185" s="21">
        <v>0.78125</v>
      </c>
      <c r="AH185" s="21">
        <v>19.285</v>
      </c>
      <c r="AI185" s="21">
        <v>-1.34705E-2</v>
      </c>
      <c r="AJ185" s="21">
        <v>175</v>
      </c>
      <c r="AK185" s="21">
        <v>0.78002899999999997</v>
      </c>
      <c r="AL185">
        <f t="shared" si="30"/>
        <v>16.630246913580244</v>
      </c>
      <c r="AM185">
        <f t="shared" si="31"/>
        <v>12.992380401234566</v>
      </c>
      <c r="AP185" s="9"/>
      <c r="AQ185" s="21">
        <v>0.76873800000000003</v>
      </c>
      <c r="AR185" s="21">
        <v>24.526199999999999</v>
      </c>
      <c r="AS185" s="21">
        <v>-1.3439899999999999E-2</v>
      </c>
      <c r="AT185" s="21">
        <v>175</v>
      </c>
      <c r="AU185" s="21">
        <v>0.767822</v>
      </c>
      <c r="AV185">
        <f t="shared" si="32"/>
        <v>16.592469135802467</v>
      </c>
      <c r="AW185">
        <f t="shared" si="33"/>
        <v>12.755261538518518</v>
      </c>
      <c r="AX185" s="9"/>
      <c r="AY185" s="21">
        <v>0.78125</v>
      </c>
      <c r="AZ185" s="21">
        <v>28.043299999999999</v>
      </c>
      <c r="BA185" s="21">
        <v>-1.34155E-2</v>
      </c>
      <c r="BB185" s="21">
        <v>175</v>
      </c>
      <c r="BC185" s="21">
        <v>0.78033399999999997</v>
      </c>
      <c r="BD185">
        <f t="shared" si="34"/>
        <v>16.562345679012346</v>
      </c>
      <c r="BE185">
        <f t="shared" si="35"/>
        <v>12.939332561728396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0.76370199999999999</v>
      </c>
      <c r="H186" s="21">
        <v>7.0188199999999998</v>
      </c>
      <c r="I186" s="21">
        <v>-1.34552E-2</v>
      </c>
      <c r="J186" s="21">
        <v>176</v>
      </c>
      <c r="K186" s="21">
        <v>0.76263400000000003</v>
      </c>
      <c r="L186">
        <f t="shared" si="24"/>
        <v>16.611358024691356</v>
      </c>
      <c r="M186">
        <f t="shared" si="25"/>
        <v>12.686127346172837</v>
      </c>
      <c r="N186" s="9"/>
      <c r="O186" s="21">
        <v>0.78628500000000001</v>
      </c>
      <c r="P186" s="21">
        <v>10.5359</v>
      </c>
      <c r="Q186" s="21">
        <v>-1.3339200000000001E-2</v>
      </c>
      <c r="R186" s="21">
        <v>176</v>
      </c>
      <c r="S186" s="21">
        <v>0.78521700000000005</v>
      </c>
      <c r="T186">
        <f t="shared" si="26"/>
        <v>16.468148148148149</v>
      </c>
      <c r="U186">
        <f t="shared" si="27"/>
        <v>12.948657866666668</v>
      </c>
      <c r="X186" s="9"/>
      <c r="Y186" s="21">
        <v>0.76370199999999999</v>
      </c>
      <c r="Z186" s="21">
        <v>15.778</v>
      </c>
      <c r="AA186" s="21">
        <v>-1.34796E-2</v>
      </c>
      <c r="AB186" s="21">
        <v>176</v>
      </c>
      <c r="AC186" s="21">
        <v>0.76293900000000003</v>
      </c>
      <c r="AD186">
        <f t="shared" si="28"/>
        <v>16.641481481481478</v>
      </c>
      <c r="AE186">
        <f t="shared" si="29"/>
        <v>12.709132690370367</v>
      </c>
      <c r="AF186" s="9"/>
      <c r="AG186" s="21">
        <v>0.78628500000000001</v>
      </c>
      <c r="AH186" s="21">
        <v>19.295100000000001</v>
      </c>
      <c r="AI186" s="21">
        <v>-1.34705E-2</v>
      </c>
      <c r="AJ186" s="21">
        <v>176</v>
      </c>
      <c r="AK186" s="21">
        <v>0.78613299999999997</v>
      </c>
      <c r="AL186">
        <f t="shared" si="30"/>
        <v>16.630246913580244</v>
      </c>
      <c r="AM186">
        <f t="shared" si="31"/>
        <v>13.076113694444443</v>
      </c>
      <c r="AP186" s="9"/>
      <c r="AQ186" s="21">
        <v>0.76370199999999999</v>
      </c>
      <c r="AR186" s="21">
        <v>24.536200000000001</v>
      </c>
      <c r="AS186" s="21">
        <v>-1.3439899999999999E-2</v>
      </c>
      <c r="AT186" s="21">
        <v>176</v>
      </c>
      <c r="AU186" s="21">
        <v>0.76263400000000003</v>
      </c>
      <c r="AV186">
        <f t="shared" si="32"/>
        <v>16.592469135802467</v>
      </c>
      <c r="AW186">
        <f t="shared" si="33"/>
        <v>12.671701863950616</v>
      </c>
      <c r="AX186" s="9"/>
      <c r="AY186" s="21">
        <v>0.78628500000000001</v>
      </c>
      <c r="AZ186" s="21">
        <v>28.0534</v>
      </c>
      <c r="BA186" s="21">
        <v>-1.34033E-2</v>
      </c>
      <c r="BB186" s="21">
        <v>176</v>
      </c>
      <c r="BC186" s="21">
        <v>0.78552200000000005</v>
      </c>
      <c r="BD186">
        <f t="shared" si="34"/>
        <v>16.547283950617281</v>
      </c>
      <c r="BE186">
        <f t="shared" si="35"/>
        <v>13.01088116111111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0.75866699999999998</v>
      </c>
      <c r="H187" s="21">
        <v>7.0288899999999996</v>
      </c>
      <c r="I187" s="21">
        <v>-1.34491E-2</v>
      </c>
      <c r="J187" s="21">
        <v>177</v>
      </c>
      <c r="K187" s="21">
        <v>0.75744599999999995</v>
      </c>
      <c r="L187">
        <f t="shared" si="24"/>
        <v>16.603827160493829</v>
      </c>
      <c r="M187">
        <f t="shared" si="25"/>
        <v>12.59677574037037</v>
      </c>
      <c r="N187" s="9"/>
      <c r="O187" s="21">
        <v>0.79132100000000005</v>
      </c>
      <c r="P187" s="21">
        <v>10.5459</v>
      </c>
      <c r="Q187" s="21">
        <v>-1.3333100000000001E-2</v>
      </c>
      <c r="R187" s="21">
        <v>177</v>
      </c>
      <c r="S187" s="21">
        <v>0.79040500000000002</v>
      </c>
      <c r="T187">
        <f t="shared" si="26"/>
        <v>16.460617283950615</v>
      </c>
      <c r="U187">
        <f t="shared" si="27"/>
        <v>13.025632129753086</v>
      </c>
      <c r="X187" s="9"/>
      <c r="Y187" s="21">
        <v>0.75866699999999998</v>
      </c>
      <c r="Z187" s="21">
        <v>15.7881</v>
      </c>
      <c r="AA187" s="21">
        <v>-1.34796E-2</v>
      </c>
      <c r="AB187" s="21">
        <v>177</v>
      </c>
      <c r="AC187" s="21">
        <v>0.75775099999999995</v>
      </c>
      <c r="AD187">
        <f t="shared" si="28"/>
        <v>16.641481481481478</v>
      </c>
      <c r="AE187">
        <f t="shared" si="29"/>
        <v>12.625342831111109</v>
      </c>
      <c r="AF187" s="9"/>
      <c r="AG187" s="21">
        <v>0.79132100000000005</v>
      </c>
      <c r="AH187" s="21">
        <v>19.305199999999999</v>
      </c>
      <c r="AI187" s="21">
        <v>-1.34552E-2</v>
      </c>
      <c r="AJ187" s="21">
        <v>177</v>
      </c>
      <c r="AK187" s="21">
        <v>0.79010000000000002</v>
      </c>
      <c r="AL187">
        <f t="shared" si="30"/>
        <v>16.611358024691356</v>
      </c>
      <c r="AM187">
        <f t="shared" si="31"/>
        <v>13.14491644345679</v>
      </c>
      <c r="AP187" s="9"/>
      <c r="AQ187" s="21">
        <v>0.75866699999999998</v>
      </c>
      <c r="AR187" s="21">
        <v>24.546299999999999</v>
      </c>
      <c r="AS187" s="21">
        <v>-1.3439899999999999E-2</v>
      </c>
      <c r="AT187" s="21">
        <v>177</v>
      </c>
      <c r="AU187" s="21">
        <v>0.75775099999999995</v>
      </c>
      <c r="AV187">
        <f t="shared" si="32"/>
        <v>16.592469135802467</v>
      </c>
      <c r="AW187">
        <f t="shared" si="33"/>
        <v>12.588158781851851</v>
      </c>
      <c r="AX187" s="9"/>
      <c r="AY187" s="21">
        <v>0.79132100000000005</v>
      </c>
      <c r="AZ187" s="21">
        <v>28.063500000000001</v>
      </c>
      <c r="BA187" s="21">
        <v>-1.33972E-2</v>
      </c>
      <c r="BB187" s="21">
        <v>177</v>
      </c>
      <c r="BC187" s="21">
        <v>0.79010000000000002</v>
      </c>
      <c r="BD187">
        <f t="shared" si="34"/>
        <v>16.539753086419751</v>
      </c>
      <c r="BE187">
        <f t="shared" si="35"/>
        <v>13.088253952098764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0.75363199999999997</v>
      </c>
      <c r="H188" s="21">
        <v>7.0389600000000003</v>
      </c>
      <c r="I188" s="21">
        <v>-1.3443E-2</v>
      </c>
      <c r="J188" s="21">
        <v>178</v>
      </c>
      <c r="K188" s="21">
        <v>0.75256299999999998</v>
      </c>
      <c r="L188">
        <f t="shared" si="24"/>
        <v>16.596296296296295</v>
      </c>
      <c r="M188">
        <f t="shared" si="25"/>
        <v>12.507499970370368</v>
      </c>
      <c r="N188" s="9"/>
      <c r="O188" s="21">
        <v>0.79635599999999995</v>
      </c>
      <c r="P188" s="21">
        <v>10.555999999999999</v>
      </c>
      <c r="Q188" s="21">
        <v>-1.3327E-2</v>
      </c>
      <c r="R188" s="21">
        <v>178</v>
      </c>
      <c r="S188" s="21">
        <v>0.79559299999999999</v>
      </c>
      <c r="T188">
        <f t="shared" si="26"/>
        <v>16.453086419753085</v>
      </c>
      <c r="U188">
        <f t="shared" si="27"/>
        <v>13.102514088888887</v>
      </c>
      <c r="X188" s="9"/>
      <c r="Y188" s="21">
        <v>0.75363199999999997</v>
      </c>
      <c r="Z188" s="21">
        <v>15.7982</v>
      </c>
      <c r="AA188" s="21">
        <v>-1.34857E-2</v>
      </c>
      <c r="AB188" s="21">
        <v>178</v>
      </c>
      <c r="AC188" s="21">
        <v>0.75286900000000001</v>
      </c>
      <c r="AD188">
        <f t="shared" si="28"/>
        <v>16.649012345679012</v>
      </c>
      <c r="AE188">
        <f t="shared" si="29"/>
        <v>12.547228472098764</v>
      </c>
      <c r="AF188" s="9"/>
      <c r="AG188" s="21">
        <v>0.79635599999999995</v>
      </c>
      <c r="AH188" s="21">
        <v>19.315200000000001</v>
      </c>
      <c r="AI188" s="21">
        <v>-1.34491E-2</v>
      </c>
      <c r="AJ188" s="21">
        <v>178</v>
      </c>
      <c r="AK188" s="21">
        <v>0.79559299999999999</v>
      </c>
      <c r="AL188">
        <f t="shared" si="30"/>
        <v>16.603827160493829</v>
      </c>
      <c r="AM188">
        <f t="shared" si="31"/>
        <v>13.222557382222222</v>
      </c>
      <c r="AP188" s="9"/>
      <c r="AQ188" s="21">
        <v>0.75363199999999997</v>
      </c>
      <c r="AR188" s="21">
        <v>24.5564</v>
      </c>
      <c r="AS188" s="21">
        <v>-1.3439899999999999E-2</v>
      </c>
      <c r="AT188" s="21">
        <v>178</v>
      </c>
      <c r="AU188" s="21">
        <v>0.75317400000000001</v>
      </c>
      <c r="AV188">
        <f t="shared" si="32"/>
        <v>16.592469135802467</v>
      </c>
      <c r="AW188">
        <f t="shared" si="33"/>
        <v>12.504615699753085</v>
      </c>
      <c r="AX188" s="9"/>
      <c r="AY188" s="21">
        <v>0.79635599999999995</v>
      </c>
      <c r="AZ188" s="21">
        <v>28.073499999999999</v>
      </c>
      <c r="BA188" s="21">
        <v>-1.3384999999999999E-2</v>
      </c>
      <c r="BB188" s="21">
        <v>178</v>
      </c>
      <c r="BC188" s="21">
        <v>0.79559299999999999</v>
      </c>
      <c r="BD188">
        <f t="shared" si="34"/>
        <v>16.52469135802469</v>
      </c>
      <c r="BE188">
        <f t="shared" si="35"/>
        <v>13.159537111111108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0.74859600000000004</v>
      </c>
      <c r="H189" s="21">
        <v>7.0490300000000001</v>
      </c>
      <c r="I189" s="21">
        <v>-1.3439899999999999E-2</v>
      </c>
      <c r="J189" s="21">
        <v>179</v>
      </c>
      <c r="K189" s="21">
        <v>0.74795500000000004</v>
      </c>
      <c r="L189">
        <f t="shared" si="24"/>
        <v>16.592469135802467</v>
      </c>
      <c r="M189">
        <f t="shared" si="25"/>
        <v>12.421056025185184</v>
      </c>
      <c r="N189" s="9"/>
      <c r="O189" s="21">
        <v>0.80139199999999999</v>
      </c>
      <c r="P189" s="21">
        <v>10.5661</v>
      </c>
      <c r="Q189" s="21">
        <v>-1.3327E-2</v>
      </c>
      <c r="R189" s="21">
        <v>179</v>
      </c>
      <c r="S189" s="21">
        <v>0.80017099999999997</v>
      </c>
      <c r="T189">
        <f t="shared" si="26"/>
        <v>16.453086419753085</v>
      </c>
      <c r="U189">
        <f t="shared" si="27"/>
        <v>13.185371832098763</v>
      </c>
      <c r="X189" s="9"/>
      <c r="Y189" s="21">
        <v>0.74859600000000004</v>
      </c>
      <c r="Z189" s="21">
        <v>15.808199999999999</v>
      </c>
      <c r="AA189" s="21">
        <v>-1.3494900000000001E-2</v>
      </c>
      <c r="AB189" s="21">
        <v>179</v>
      </c>
      <c r="AC189" s="21">
        <v>0.74795500000000004</v>
      </c>
      <c r="AD189">
        <f t="shared" si="28"/>
        <v>16.660370370370369</v>
      </c>
      <c r="AE189">
        <f t="shared" si="29"/>
        <v>12.471886617777777</v>
      </c>
      <c r="AF189" s="9"/>
      <c r="AG189" s="21">
        <v>0.80139199999999999</v>
      </c>
      <c r="AH189" s="21">
        <v>19.325299999999999</v>
      </c>
      <c r="AI189" s="21">
        <v>-1.34369E-2</v>
      </c>
      <c r="AJ189" s="21">
        <v>179</v>
      </c>
      <c r="AK189" s="21">
        <v>0.80017099999999997</v>
      </c>
      <c r="AL189">
        <f t="shared" si="30"/>
        <v>16.588765432098764</v>
      </c>
      <c r="AM189">
        <f t="shared" si="31"/>
        <v>13.294103907160492</v>
      </c>
      <c r="AP189" s="9"/>
      <c r="AQ189" s="21">
        <v>0.74859600000000004</v>
      </c>
      <c r="AR189" s="21">
        <v>24.566500000000001</v>
      </c>
      <c r="AS189" s="21">
        <v>-1.34369E-2</v>
      </c>
      <c r="AT189" s="21">
        <v>179</v>
      </c>
      <c r="AU189" s="21">
        <v>0.74798600000000004</v>
      </c>
      <c r="AV189">
        <f t="shared" si="32"/>
        <v>16.588765432098764</v>
      </c>
      <c r="AW189">
        <f t="shared" si="33"/>
        <v>12.418283447407408</v>
      </c>
      <c r="AX189" s="9"/>
      <c r="AY189" s="21">
        <v>0.80139199999999999</v>
      </c>
      <c r="AZ189" s="21">
        <v>28.083600000000001</v>
      </c>
      <c r="BA189" s="21">
        <v>-1.33759E-2</v>
      </c>
      <c r="BB189" s="21">
        <v>179</v>
      </c>
      <c r="BC189" s="21">
        <v>0.80108599999999996</v>
      </c>
      <c r="BD189">
        <f t="shared" si="34"/>
        <v>16.513456790123456</v>
      </c>
      <c r="BE189">
        <f t="shared" si="35"/>
        <v>13.233752163950617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0.74356100000000003</v>
      </c>
      <c r="H190" s="21">
        <v>7.0590999999999999</v>
      </c>
      <c r="I190" s="21">
        <v>-1.3439899999999999E-2</v>
      </c>
      <c r="J190" s="21">
        <v>180</v>
      </c>
      <c r="K190" s="21">
        <v>0.74285900000000005</v>
      </c>
      <c r="L190">
        <f t="shared" si="24"/>
        <v>16.592469135802467</v>
      </c>
      <c r="M190">
        <f t="shared" si="25"/>
        <v>12.337512943086418</v>
      </c>
      <c r="N190" s="9"/>
      <c r="O190" s="21">
        <v>0.806427</v>
      </c>
      <c r="P190" s="21">
        <v>10.5762</v>
      </c>
      <c r="Q190" s="21">
        <v>-1.3324000000000001E-2</v>
      </c>
      <c r="R190" s="21">
        <v>180</v>
      </c>
      <c r="S190" s="21">
        <v>0.80535900000000005</v>
      </c>
      <c r="T190">
        <f t="shared" si="26"/>
        <v>16.449382716049382</v>
      </c>
      <c r="U190">
        <f t="shared" si="27"/>
        <v>13.265226355555555</v>
      </c>
      <c r="X190" s="9"/>
      <c r="Y190" s="21">
        <v>0.74356100000000003</v>
      </c>
      <c r="Z190" s="21">
        <v>15.818300000000001</v>
      </c>
      <c r="AA190" s="21">
        <v>-1.34979E-2</v>
      </c>
      <c r="AB190" s="21">
        <v>180</v>
      </c>
      <c r="AC190" s="21">
        <v>0.74295</v>
      </c>
      <c r="AD190">
        <f t="shared" si="28"/>
        <v>16.664074074074072</v>
      </c>
      <c r="AE190">
        <f t="shared" si="29"/>
        <v>12.390755582592591</v>
      </c>
      <c r="AF190" s="9"/>
      <c r="AG190" s="21">
        <v>0.806427</v>
      </c>
      <c r="AH190" s="21">
        <v>19.3354</v>
      </c>
      <c r="AI190" s="21">
        <v>-1.3418599999999999E-2</v>
      </c>
      <c r="AJ190" s="21">
        <v>180</v>
      </c>
      <c r="AK190" s="21">
        <v>0.80535900000000005</v>
      </c>
      <c r="AL190">
        <f t="shared" si="30"/>
        <v>16.566172839506169</v>
      </c>
      <c r="AM190">
        <f t="shared" si="31"/>
        <v>13.359409064444442</v>
      </c>
      <c r="AP190" s="9"/>
      <c r="AQ190" s="21">
        <v>0.74356100000000003</v>
      </c>
      <c r="AR190" s="21">
        <v>24.576499999999999</v>
      </c>
      <c r="AS190" s="21">
        <v>-1.3439899999999999E-2</v>
      </c>
      <c r="AT190" s="21">
        <v>180</v>
      </c>
      <c r="AU190" s="21">
        <v>0.74282800000000004</v>
      </c>
      <c r="AV190">
        <f t="shared" si="32"/>
        <v>16.592469135802467</v>
      </c>
      <c r="AW190">
        <f t="shared" si="33"/>
        <v>12.337512943086418</v>
      </c>
      <c r="AX190" s="9"/>
      <c r="AY190" s="21">
        <v>0.806427</v>
      </c>
      <c r="AZ190" s="21">
        <v>28.093699999999998</v>
      </c>
      <c r="BA190" s="21">
        <v>-1.33759E-2</v>
      </c>
      <c r="BB190" s="21">
        <v>180</v>
      </c>
      <c r="BC190" s="21">
        <v>0.80505400000000005</v>
      </c>
      <c r="BD190">
        <f t="shared" si="34"/>
        <v>16.513456790123456</v>
      </c>
      <c r="BE190">
        <f t="shared" si="35"/>
        <v>13.316897418888889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0.73852499999999999</v>
      </c>
      <c r="H191" s="21">
        <v>7.0691699999999997</v>
      </c>
      <c r="I191" s="21">
        <v>-1.34491E-2</v>
      </c>
      <c r="J191" s="21">
        <v>181</v>
      </c>
      <c r="K191" s="21">
        <v>0.73782300000000001</v>
      </c>
      <c r="L191">
        <f t="shared" si="24"/>
        <v>16.603827160493829</v>
      </c>
      <c r="M191">
        <f t="shared" si="25"/>
        <v>12.262341453703705</v>
      </c>
      <c r="N191" s="9"/>
      <c r="O191" s="21">
        <v>0.81146200000000002</v>
      </c>
      <c r="P191" s="21">
        <v>10.5862</v>
      </c>
      <c r="Q191" s="21">
        <v>-1.3336199999999999E-2</v>
      </c>
      <c r="R191" s="21">
        <v>181</v>
      </c>
      <c r="S191" s="21">
        <v>0.81024200000000002</v>
      </c>
      <c r="T191">
        <f t="shared" si="26"/>
        <v>16.464444444444442</v>
      </c>
      <c r="U191">
        <f t="shared" si="27"/>
        <v>13.360271017777777</v>
      </c>
      <c r="X191" s="9"/>
      <c r="Y191" s="21">
        <v>0.73852499999999999</v>
      </c>
      <c r="Z191" s="21">
        <v>15.8284</v>
      </c>
      <c r="AA191" s="21">
        <v>-1.3504E-2</v>
      </c>
      <c r="AB191" s="21">
        <v>181</v>
      </c>
      <c r="AC191" s="21">
        <v>0.73779300000000003</v>
      </c>
      <c r="AD191">
        <f t="shared" si="28"/>
        <v>16.671604938271606</v>
      </c>
      <c r="AE191">
        <f t="shared" si="29"/>
        <v>12.312397037037037</v>
      </c>
      <c r="AF191" s="9"/>
      <c r="AG191" s="21">
        <v>0.81146200000000002</v>
      </c>
      <c r="AH191" s="21">
        <v>19.345400000000001</v>
      </c>
      <c r="AI191" s="21">
        <v>-1.3412500000000001E-2</v>
      </c>
      <c r="AJ191" s="21">
        <v>181</v>
      </c>
      <c r="AK191" s="21">
        <v>0.81085200000000002</v>
      </c>
      <c r="AL191">
        <f t="shared" si="30"/>
        <v>16.558641975308642</v>
      </c>
      <c r="AM191">
        <f t="shared" si="31"/>
        <v>13.436708734567901</v>
      </c>
      <c r="AP191" s="9"/>
      <c r="AQ191" s="21">
        <v>0.73852499999999999</v>
      </c>
      <c r="AR191" s="21">
        <v>24.586600000000001</v>
      </c>
      <c r="AS191" s="21">
        <v>-1.3443E-2</v>
      </c>
      <c r="AT191" s="21">
        <v>181</v>
      </c>
      <c r="AU191" s="21">
        <v>0.73785400000000001</v>
      </c>
      <c r="AV191">
        <f t="shared" si="32"/>
        <v>16.596296296296295</v>
      </c>
      <c r="AW191">
        <f t="shared" si="33"/>
        <v>12.256779722222221</v>
      </c>
      <c r="AX191" s="9"/>
      <c r="AY191" s="21">
        <v>0.81146200000000002</v>
      </c>
      <c r="AZ191" s="21">
        <v>28.1037</v>
      </c>
      <c r="BA191" s="21">
        <v>-1.3369799999999999E-2</v>
      </c>
      <c r="BB191" s="21">
        <v>181</v>
      </c>
      <c r="BC191" s="21">
        <v>0.81054700000000002</v>
      </c>
      <c r="BD191">
        <f t="shared" si="34"/>
        <v>16.505925925925922</v>
      </c>
      <c r="BE191">
        <f t="shared" si="35"/>
        <v>13.3939316637037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0.73348999999999998</v>
      </c>
      <c r="H192" s="21">
        <v>7.07925</v>
      </c>
      <c r="I192" s="21">
        <v>-1.34552E-2</v>
      </c>
      <c r="J192" s="21">
        <v>182</v>
      </c>
      <c r="K192" s="21">
        <v>0.732819</v>
      </c>
      <c r="L192">
        <f t="shared" si="24"/>
        <v>16.611358024691356</v>
      </c>
      <c r="M192">
        <f t="shared" si="25"/>
        <v>12.184264997530862</v>
      </c>
      <c r="N192" s="9"/>
      <c r="O192" s="21">
        <v>0.81649799999999995</v>
      </c>
      <c r="P192" s="21">
        <v>10.596299999999999</v>
      </c>
      <c r="Q192" s="21">
        <v>-1.3345299999999999E-2</v>
      </c>
      <c r="R192" s="21">
        <v>182</v>
      </c>
      <c r="S192" s="21">
        <v>0.81634499999999999</v>
      </c>
      <c r="T192">
        <f t="shared" si="26"/>
        <v>16.475679012345676</v>
      </c>
      <c r="U192">
        <f t="shared" si="27"/>
        <v>13.452358962222219</v>
      </c>
      <c r="X192" s="9"/>
      <c r="Y192" s="21">
        <v>0.73348999999999998</v>
      </c>
      <c r="Z192" s="21">
        <v>15.8385</v>
      </c>
      <c r="AA192" s="21">
        <v>-1.3501000000000001E-2</v>
      </c>
      <c r="AB192" s="21">
        <v>182</v>
      </c>
      <c r="AC192" s="21">
        <v>0.73287999999999998</v>
      </c>
      <c r="AD192">
        <f t="shared" si="28"/>
        <v>16.667901234567903</v>
      </c>
      <c r="AE192">
        <f t="shared" si="29"/>
        <v>12.225738876543211</v>
      </c>
      <c r="AF192" s="9"/>
      <c r="AG192" s="21">
        <v>0.81649799999999995</v>
      </c>
      <c r="AH192" s="21">
        <v>19.355499999999999</v>
      </c>
      <c r="AI192" s="21">
        <v>-1.3406400000000001E-2</v>
      </c>
      <c r="AJ192" s="21">
        <v>182</v>
      </c>
      <c r="AK192" s="21">
        <v>0.81603999999999999</v>
      </c>
      <c r="AL192">
        <f t="shared" si="30"/>
        <v>16.551111111111108</v>
      </c>
      <c r="AM192">
        <f t="shared" si="31"/>
        <v>13.513949119999998</v>
      </c>
      <c r="AP192" s="9"/>
      <c r="AQ192" s="21">
        <v>0.73348999999999998</v>
      </c>
      <c r="AR192" s="21">
        <v>24.596699999999998</v>
      </c>
      <c r="AS192" s="21">
        <v>-1.34491E-2</v>
      </c>
      <c r="AT192" s="21">
        <v>182</v>
      </c>
      <c r="AU192" s="21">
        <v>0.732819</v>
      </c>
      <c r="AV192">
        <f t="shared" si="32"/>
        <v>16.603827160493829</v>
      </c>
      <c r="AW192">
        <f t="shared" si="33"/>
        <v>12.178741183950619</v>
      </c>
      <c r="AX192" s="9"/>
      <c r="AY192" s="21">
        <v>0.81649799999999995</v>
      </c>
      <c r="AZ192" s="21">
        <v>28.113800000000001</v>
      </c>
      <c r="BA192" s="21">
        <v>-1.3369799999999999E-2</v>
      </c>
      <c r="BB192" s="21">
        <v>182</v>
      </c>
      <c r="BC192" s="21">
        <v>0.81481899999999996</v>
      </c>
      <c r="BD192">
        <f t="shared" si="34"/>
        <v>16.505925925925922</v>
      </c>
      <c r="BE192">
        <f t="shared" si="35"/>
        <v>13.477055506666662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0.72845499999999996</v>
      </c>
      <c r="H193" s="21">
        <v>7.0893199999999998</v>
      </c>
      <c r="I193" s="21">
        <v>-1.3473499999999999E-2</v>
      </c>
      <c r="J193" s="21">
        <v>183</v>
      </c>
      <c r="K193" s="21">
        <v>0.72769200000000001</v>
      </c>
      <c r="L193">
        <f t="shared" si="24"/>
        <v>16.633950617283947</v>
      </c>
      <c r="M193">
        <f t="shared" si="25"/>
        <v>12.117084496913577</v>
      </c>
      <c r="N193" s="9"/>
      <c r="O193" s="21">
        <v>0.82153299999999996</v>
      </c>
      <c r="P193" s="21">
        <v>10.606400000000001</v>
      </c>
      <c r="Q193" s="21">
        <v>-1.3339200000000001E-2</v>
      </c>
      <c r="R193" s="21">
        <v>183</v>
      </c>
      <c r="S193" s="21">
        <v>0.82092299999999996</v>
      </c>
      <c r="T193">
        <f t="shared" si="26"/>
        <v>16.468148148148149</v>
      </c>
      <c r="U193">
        <f t="shared" si="27"/>
        <v>13.529127152592592</v>
      </c>
      <c r="X193" s="9"/>
      <c r="Y193" s="21">
        <v>0.72845499999999996</v>
      </c>
      <c r="Z193" s="21">
        <v>15.8485</v>
      </c>
      <c r="AA193" s="21">
        <v>-1.3510100000000001E-2</v>
      </c>
      <c r="AB193" s="21">
        <v>183</v>
      </c>
      <c r="AC193" s="21">
        <v>0.72778299999999996</v>
      </c>
      <c r="AD193">
        <f t="shared" si="28"/>
        <v>16.679135802469133</v>
      </c>
      <c r="AE193">
        <f t="shared" si="29"/>
        <v>12.149999870987651</v>
      </c>
      <c r="AF193" s="9"/>
      <c r="AG193" s="21">
        <v>0.82153299999999996</v>
      </c>
      <c r="AH193" s="21">
        <v>19.365600000000001</v>
      </c>
      <c r="AI193" s="21">
        <v>-1.34094E-2</v>
      </c>
      <c r="AJ193" s="21">
        <v>183</v>
      </c>
      <c r="AK193" s="21">
        <v>0.82092299999999996</v>
      </c>
      <c r="AL193">
        <f t="shared" si="30"/>
        <v>16.554814814814815</v>
      </c>
      <c r="AM193">
        <f t="shared" si="31"/>
        <v>13.600326679259259</v>
      </c>
      <c r="AP193" s="9"/>
      <c r="AQ193" s="21">
        <v>0.72845499999999996</v>
      </c>
      <c r="AR193" s="21">
        <v>24.6067</v>
      </c>
      <c r="AS193" s="21">
        <v>-1.34491E-2</v>
      </c>
      <c r="AT193" s="21">
        <v>183</v>
      </c>
      <c r="AU193" s="21">
        <v>0.72781399999999996</v>
      </c>
      <c r="AV193">
        <f t="shared" si="32"/>
        <v>16.603827160493829</v>
      </c>
      <c r="AW193">
        <f t="shared" si="33"/>
        <v>12.095140914197531</v>
      </c>
      <c r="AX193" s="9"/>
      <c r="AY193" s="21">
        <v>0.82153299999999996</v>
      </c>
      <c r="AZ193" s="21">
        <v>28.123899999999999</v>
      </c>
      <c r="BA193" s="21">
        <v>-1.33667E-2</v>
      </c>
      <c r="BB193" s="21">
        <v>183</v>
      </c>
      <c r="BC193" s="21">
        <v>0.82061799999999996</v>
      </c>
      <c r="BD193">
        <f t="shared" si="34"/>
        <v>16.502098765432098</v>
      </c>
      <c r="BE193">
        <f t="shared" si="35"/>
        <v>13.557018705061727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0.72341900000000003</v>
      </c>
      <c r="H194" s="21">
        <v>7.0993899999999996</v>
      </c>
      <c r="I194" s="21">
        <v>-1.3473499999999999E-2</v>
      </c>
      <c r="J194" s="21">
        <v>184</v>
      </c>
      <c r="K194" s="21">
        <v>0.72274799999999995</v>
      </c>
      <c r="L194">
        <f t="shared" si="24"/>
        <v>16.633950617283947</v>
      </c>
      <c r="M194">
        <f t="shared" si="25"/>
        <v>12.033315921604936</v>
      </c>
      <c r="N194" s="9"/>
      <c r="O194" s="21">
        <v>0.826569</v>
      </c>
      <c r="P194" s="21">
        <v>10.616400000000001</v>
      </c>
      <c r="Q194" s="21">
        <v>-1.3333100000000001E-2</v>
      </c>
      <c r="R194" s="21">
        <v>184</v>
      </c>
      <c r="S194" s="21">
        <v>0.82519500000000001</v>
      </c>
      <c r="T194">
        <f t="shared" si="26"/>
        <v>16.460617283950615</v>
      </c>
      <c r="U194">
        <f t="shared" si="27"/>
        <v>13.605835967777775</v>
      </c>
      <c r="X194" s="9"/>
      <c r="Y194" s="21">
        <v>0.72341900000000003</v>
      </c>
      <c r="Z194" s="21">
        <v>15.858599999999999</v>
      </c>
      <c r="AA194" s="21">
        <v>-1.35132E-2</v>
      </c>
      <c r="AB194" s="21">
        <v>184</v>
      </c>
      <c r="AC194" s="21">
        <v>0.72271700000000005</v>
      </c>
      <c r="AD194">
        <f t="shared" si="28"/>
        <v>16.682962962962961</v>
      </c>
      <c r="AE194">
        <f t="shared" si="29"/>
        <v>12.068772383703703</v>
      </c>
      <c r="AF194" s="9"/>
      <c r="AG194" s="21">
        <v>0.826569</v>
      </c>
      <c r="AH194" s="21">
        <v>19.375699999999998</v>
      </c>
      <c r="AI194" s="21">
        <v>-1.34155E-2</v>
      </c>
      <c r="AJ194" s="21">
        <v>184</v>
      </c>
      <c r="AK194" s="21">
        <v>0.82550000000000001</v>
      </c>
      <c r="AL194">
        <f t="shared" si="30"/>
        <v>16.562345679012346</v>
      </c>
      <c r="AM194">
        <f t="shared" si="31"/>
        <v>13.689921505555555</v>
      </c>
      <c r="AP194" s="9"/>
      <c r="AQ194" s="21">
        <v>0.72341900000000003</v>
      </c>
      <c r="AR194" s="21">
        <v>24.616800000000001</v>
      </c>
      <c r="AS194" s="21">
        <v>-1.34552E-2</v>
      </c>
      <c r="AT194" s="21">
        <v>184</v>
      </c>
      <c r="AU194" s="21">
        <v>0.72274799999999995</v>
      </c>
      <c r="AV194">
        <f t="shared" si="32"/>
        <v>16.611358024691356</v>
      </c>
      <c r="AW194">
        <f t="shared" si="33"/>
        <v>12.016972010864196</v>
      </c>
      <c r="AX194" s="9"/>
      <c r="AY194" s="21">
        <v>0.826569</v>
      </c>
      <c r="AZ194" s="21">
        <v>28.133900000000001</v>
      </c>
      <c r="BA194" s="21">
        <v>-1.3369799999999999E-2</v>
      </c>
      <c r="BB194" s="21">
        <v>184</v>
      </c>
      <c r="BC194" s="21">
        <v>0.82580600000000004</v>
      </c>
      <c r="BD194">
        <f t="shared" si="34"/>
        <v>16.505925925925922</v>
      </c>
      <c r="BE194">
        <f t="shared" si="35"/>
        <v>13.643286686666663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0.71838400000000002</v>
      </c>
      <c r="H195" s="21">
        <v>7.1094600000000003</v>
      </c>
      <c r="I195" s="21">
        <v>-1.34857E-2</v>
      </c>
      <c r="J195" s="21">
        <v>185</v>
      </c>
      <c r="K195" s="21">
        <v>0.71765100000000004</v>
      </c>
      <c r="L195">
        <f t="shared" si="24"/>
        <v>16.649012345679012</v>
      </c>
      <c r="M195">
        <f t="shared" si="25"/>
        <v>11.960384084938271</v>
      </c>
      <c r="N195" s="9"/>
      <c r="O195" s="21">
        <v>0.83160400000000001</v>
      </c>
      <c r="P195" s="21">
        <v>10.6265</v>
      </c>
      <c r="Q195" s="21">
        <v>-1.3333100000000001E-2</v>
      </c>
      <c r="R195" s="21">
        <v>185</v>
      </c>
      <c r="S195" s="21">
        <v>0.83068799999999998</v>
      </c>
      <c r="T195">
        <f t="shared" si="26"/>
        <v>16.460617283950615</v>
      </c>
      <c r="U195">
        <f t="shared" si="27"/>
        <v>13.688715175802468</v>
      </c>
      <c r="X195" s="9"/>
      <c r="Y195" s="21">
        <v>0.71838400000000002</v>
      </c>
      <c r="Z195" s="21">
        <v>15.8687</v>
      </c>
      <c r="AA195" s="21">
        <v>-1.3507099999999999E-2</v>
      </c>
      <c r="AB195" s="21">
        <v>185</v>
      </c>
      <c r="AC195" s="21">
        <v>0.71771200000000002</v>
      </c>
      <c r="AD195">
        <f t="shared" si="28"/>
        <v>16.67543209876543</v>
      </c>
      <c r="AE195">
        <f t="shared" si="29"/>
        <v>11.979363612839505</v>
      </c>
      <c r="AF195" s="9"/>
      <c r="AG195" s="21">
        <v>0.83160400000000001</v>
      </c>
      <c r="AH195" s="21">
        <v>19.3857</v>
      </c>
      <c r="AI195" s="21">
        <v>-1.34094E-2</v>
      </c>
      <c r="AJ195" s="21">
        <v>185</v>
      </c>
      <c r="AK195" s="21">
        <v>0.83099400000000001</v>
      </c>
      <c r="AL195">
        <f t="shared" si="30"/>
        <v>16.554814814814815</v>
      </c>
      <c r="AM195">
        <f t="shared" si="31"/>
        <v>13.767050219259259</v>
      </c>
      <c r="AP195" s="9"/>
      <c r="AQ195" s="21">
        <v>0.71838400000000002</v>
      </c>
      <c r="AR195" s="21">
        <v>24.626899999999999</v>
      </c>
      <c r="AS195" s="21">
        <v>-1.3467399999999999E-2</v>
      </c>
      <c r="AT195" s="21">
        <v>185</v>
      </c>
      <c r="AU195" s="21">
        <v>0.71768200000000004</v>
      </c>
      <c r="AV195">
        <f t="shared" si="32"/>
        <v>16.626419753086417</v>
      </c>
      <c r="AW195">
        <f t="shared" si="33"/>
        <v>11.944153927901233</v>
      </c>
      <c r="AX195" s="9"/>
      <c r="AY195" s="21">
        <v>0.83160400000000001</v>
      </c>
      <c r="AZ195" s="21">
        <v>28.143999999999998</v>
      </c>
      <c r="BA195" s="21">
        <v>-1.33759E-2</v>
      </c>
      <c r="BB195" s="21">
        <v>185</v>
      </c>
      <c r="BC195" s="21">
        <v>0.83099400000000001</v>
      </c>
      <c r="BD195">
        <f t="shared" si="34"/>
        <v>16.513456790123456</v>
      </c>
      <c r="BE195">
        <f t="shared" si="35"/>
        <v>13.732656720493827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0.71334799999999998</v>
      </c>
      <c r="H196" s="21">
        <v>7.1195300000000001</v>
      </c>
      <c r="I196" s="21">
        <v>-1.34979E-2</v>
      </c>
      <c r="J196" s="21">
        <v>186</v>
      </c>
      <c r="K196" s="21">
        <v>0.712677</v>
      </c>
      <c r="L196">
        <f t="shared" si="24"/>
        <v>16.664074074074072</v>
      </c>
      <c r="M196">
        <f t="shared" si="25"/>
        <v>11.887283912592592</v>
      </c>
      <c r="N196" s="9"/>
      <c r="O196" s="21">
        <v>0.83663900000000002</v>
      </c>
      <c r="P196" s="21">
        <v>10.6366</v>
      </c>
      <c r="Q196" s="21">
        <v>-1.3330099999999999E-2</v>
      </c>
      <c r="R196" s="21">
        <v>186</v>
      </c>
      <c r="S196" s="21">
        <v>0.83557099999999995</v>
      </c>
      <c r="T196">
        <f t="shared" si="26"/>
        <v>16.456913580246912</v>
      </c>
      <c r="U196">
        <f t="shared" si="27"/>
        <v>13.768495720864196</v>
      </c>
      <c r="X196" s="9"/>
      <c r="Y196" s="21">
        <v>0.71334799999999998</v>
      </c>
      <c r="Z196" s="21">
        <v>15.8787</v>
      </c>
      <c r="AA196" s="21">
        <v>-1.3507099999999999E-2</v>
      </c>
      <c r="AB196" s="21">
        <v>186</v>
      </c>
      <c r="AC196" s="21">
        <v>0.712677</v>
      </c>
      <c r="AD196">
        <f t="shared" si="28"/>
        <v>16.67543209876543</v>
      </c>
      <c r="AE196">
        <f t="shared" si="29"/>
        <v>11.895386136790123</v>
      </c>
      <c r="AF196" s="9"/>
      <c r="AG196" s="21">
        <v>0.83663900000000002</v>
      </c>
      <c r="AH196" s="21">
        <v>19.395800000000001</v>
      </c>
      <c r="AI196" s="21">
        <v>-1.34003E-2</v>
      </c>
      <c r="AJ196" s="21">
        <v>186</v>
      </c>
      <c r="AK196" s="21">
        <v>0.83648699999999998</v>
      </c>
      <c r="AL196">
        <f t="shared" si="30"/>
        <v>16.543580246913578</v>
      </c>
      <c r="AM196">
        <f t="shared" si="31"/>
        <v>13.841004434197529</v>
      </c>
      <c r="AP196" s="9"/>
      <c r="AQ196" s="21">
        <v>0.71334799999999998</v>
      </c>
      <c r="AR196" s="21">
        <v>24.637</v>
      </c>
      <c r="AS196" s="21">
        <v>-1.34796E-2</v>
      </c>
      <c r="AT196" s="21">
        <v>186</v>
      </c>
      <c r="AU196" s="21">
        <v>0.712646</v>
      </c>
      <c r="AV196">
        <f t="shared" si="32"/>
        <v>16.641481481481478</v>
      </c>
      <c r="AW196">
        <f t="shared" si="33"/>
        <v>11.871167531851849</v>
      </c>
      <c r="AX196" s="9"/>
      <c r="AY196" s="21">
        <v>0.83663900000000002</v>
      </c>
      <c r="AZ196" s="21">
        <v>28.1541</v>
      </c>
      <c r="BA196" s="21">
        <v>-1.3369799999999999E-2</v>
      </c>
      <c r="BB196" s="21">
        <v>186</v>
      </c>
      <c r="BC196" s="21">
        <v>0.83557099999999995</v>
      </c>
      <c r="BD196">
        <f t="shared" si="34"/>
        <v>16.505925925925922</v>
      </c>
      <c r="BE196">
        <f t="shared" si="35"/>
        <v>13.809501360740738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0.70831299999999997</v>
      </c>
      <c r="H197" s="21">
        <v>7.1295999999999999</v>
      </c>
      <c r="I197" s="21">
        <v>-1.3504E-2</v>
      </c>
      <c r="J197" s="21">
        <v>187</v>
      </c>
      <c r="K197" s="21">
        <v>0.70748900000000003</v>
      </c>
      <c r="L197">
        <f t="shared" si="24"/>
        <v>16.671604938271606</v>
      </c>
      <c r="M197">
        <f t="shared" si="25"/>
        <v>11.808714508641977</v>
      </c>
      <c r="N197" s="9"/>
      <c r="O197" s="21">
        <v>0.84167499999999995</v>
      </c>
      <c r="P197" s="21">
        <v>10.646699999999999</v>
      </c>
      <c r="Q197" s="21">
        <v>-1.3324000000000001E-2</v>
      </c>
      <c r="R197" s="21">
        <v>187</v>
      </c>
      <c r="S197" s="21">
        <v>0.84106400000000003</v>
      </c>
      <c r="T197">
        <f t="shared" si="26"/>
        <v>16.449382716049382</v>
      </c>
      <c r="U197">
        <f t="shared" si="27"/>
        <v>13.845034197530863</v>
      </c>
      <c r="X197" s="9"/>
      <c r="Y197" s="21">
        <v>0.70831299999999997</v>
      </c>
      <c r="Z197" s="21">
        <v>15.8888</v>
      </c>
      <c r="AA197" s="21">
        <v>-1.3507099999999999E-2</v>
      </c>
      <c r="AB197" s="21">
        <v>187</v>
      </c>
      <c r="AC197" s="21">
        <v>0.70767199999999997</v>
      </c>
      <c r="AD197">
        <f t="shared" si="28"/>
        <v>16.67543209876543</v>
      </c>
      <c r="AE197">
        <f t="shared" si="29"/>
        <v>11.811425336172837</v>
      </c>
      <c r="AF197" s="9"/>
      <c r="AG197" s="21">
        <v>0.84167499999999995</v>
      </c>
      <c r="AH197" s="21">
        <v>19.405899999999999</v>
      </c>
      <c r="AI197" s="21">
        <v>-1.33911E-2</v>
      </c>
      <c r="AJ197" s="21">
        <v>187</v>
      </c>
      <c r="AK197" s="21">
        <v>0.84106400000000003</v>
      </c>
      <c r="AL197">
        <f t="shared" si="30"/>
        <v>16.53222222222222</v>
      </c>
      <c r="AM197">
        <f t="shared" si="31"/>
        <v>13.914758138888887</v>
      </c>
      <c r="AP197" s="9"/>
      <c r="AQ197" s="21">
        <v>0.70831299999999997</v>
      </c>
      <c r="AR197" s="21">
        <v>24.646999999999998</v>
      </c>
      <c r="AS197" s="21">
        <v>-1.34766E-2</v>
      </c>
      <c r="AT197" s="21">
        <v>187</v>
      </c>
      <c r="AU197" s="21">
        <v>0.70764199999999999</v>
      </c>
      <c r="AV197">
        <f t="shared" si="32"/>
        <v>16.637777777777774</v>
      </c>
      <c r="AW197">
        <f t="shared" si="33"/>
        <v>11.784754291111108</v>
      </c>
      <c r="AX197" s="9"/>
      <c r="AY197" s="21">
        <v>0.84167499999999995</v>
      </c>
      <c r="AZ197" s="21">
        <v>28.164200000000001</v>
      </c>
      <c r="BA197" s="21">
        <v>-1.33636E-2</v>
      </c>
      <c r="BB197" s="21">
        <v>187</v>
      </c>
      <c r="BC197" s="21">
        <v>0.84106400000000003</v>
      </c>
      <c r="BD197">
        <f t="shared" si="34"/>
        <v>16.498271604938271</v>
      </c>
      <c r="BE197">
        <f t="shared" si="35"/>
        <v>13.886182753086418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0.70327799999999996</v>
      </c>
      <c r="H198" s="21">
        <v>7.1396699999999997</v>
      </c>
      <c r="I198" s="21">
        <v>-1.35193E-2</v>
      </c>
      <c r="J198" s="21">
        <v>188</v>
      </c>
      <c r="K198" s="21">
        <v>0.70263699999999996</v>
      </c>
      <c r="L198">
        <f t="shared" si="24"/>
        <v>16.690493827160495</v>
      </c>
      <c r="M198">
        <f t="shared" si="25"/>
        <v>11.738057117777778</v>
      </c>
      <c r="N198" s="9"/>
      <c r="O198" s="21">
        <v>0.84670999999999996</v>
      </c>
      <c r="P198" s="21">
        <v>10.656700000000001</v>
      </c>
      <c r="Q198" s="21">
        <v>-1.33087E-2</v>
      </c>
      <c r="R198" s="21">
        <v>188</v>
      </c>
      <c r="S198" s="21">
        <v>0.846252</v>
      </c>
      <c r="T198">
        <f t="shared" si="26"/>
        <v>16.430493827160493</v>
      </c>
      <c r="U198">
        <f t="shared" si="27"/>
        <v>13.91186342839506</v>
      </c>
      <c r="X198" s="9"/>
      <c r="Y198" s="21">
        <v>0.70327799999999996</v>
      </c>
      <c r="Z198" s="21">
        <v>15.898899999999999</v>
      </c>
      <c r="AA198" s="21">
        <v>-1.3504E-2</v>
      </c>
      <c r="AB198" s="21">
        <v>188</v>
      </c>
      <c r="AC198" s="21">
        <v>0.70266700000000004</v>
      </c>
      <c r="AD198">
        <f t="shared" si="28"/>
        <v>16.671604938271606</v>
      </c>
      <c r="AE198">
        <f t="shared" si="29"/>
        <v>11.724772977777778</v>
      </c>
      <c r="AF198" s="9"/>
      <c r="AG198" s="21">
        <v>0.84670999999999996</v>
      </c>
      <c r="AH198" s="21">
        <v>19.415900000000001</v>
      </c>
      <c r="AI198" s="21">
        <v>-1.3382E-2</v>
      </c>
      <c r="AJ198" s="21">
        <v>188</v>
      </c>
      <c r="AK198" s="21">
        <v>0.845642</v>
      </c>
      <c r="AL198">
        <f t="shared" si="30"/>
        <v>16.520987654320987</v>
      </c>
      <c r="AM198">
        <f t="shared" si="31"/>
        <v>13.988485456790121</v>
      </c>
      <c r="AP198" s="9"/>
      <c r="AQ198" s="21">
        <v>0.70327799999999996</v>
      </c>
      <c r="AR198" s="21">
        <v>24.6571</v>
      </c>
      <c r="AS198" s="21">
        <v>-1.34796E-2</v>
      </c>
      <c r="AT198" s="21">
        <v>188</v>
      </c>
      <c r="AU198" s="21">
        <v>0.70260599999999995</v>
      </c>
      <c r="AV198">
        <f t="shared" si="32"/>
        <v>16.641481481481478</v>
      </c>
      <c r="AW198">
        <f t="shared" si="33"/>
        <v>11.70358781333333</v>
      </c>
      <c r="AX198" s="9"/>
      <c r="AY198" s="21">
        <v>0.84670999999999996</v>
      </c>
      <c r="AZ198" s="21">
        <v>28.174199999999999</v>
      </c>
      <c r="BA198" s="21">
        <v>-1.33606E-2</v>
      </c>
      <c r="BB198" s="21">
        <v>188</v>
      </c>
      <c r="BC198" s="21">
        <v>0.845947</v>
      </c>
      <c r="BD198">
        <f t="shared" si="34"/>
        <v>16.494567901234568</v>
      </c>
      <c r="BE198">
        <f t="shared" si="35"/>
        <v>13.96611558765432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0.69824200000000003</v>
      </c>
      <c r="H199" s="21">
        <v>7.1497400000000004</v>
      </c>
      <c r="I199" s="21">
        <v>-1.35254E-2</v>
      </c>
      <c r="J199" s="21">
        <v>189</v>
      </c>
      <c r="K199" s="21">
        <v>0.69757100000000005</v>
      </c>
      <c r="L199">
        <f t="shared" si="24"/>
        <v>16.698024691358025</v>
      </c>
      <c r="M199">
        <f t="shared" si="25"/>
        <v>11.65926215654321</v>
      </c>
      <c r="N199" s="9"/>
      <c r="O199" s="21">
        <v>0.851746</v>
      </c>
      <c r="P199" s="21">
        <v>10.6668</v>
      </c>
      <c r="Q199" s="21">
        <v>-1.3302599999999999E-2</v>
      </c>
      <c r="R199" s="21">
        <v>189</v>
      </c>
      <c r="S199" s="21">
        <v>0.85052499999999998</v>
      </c>
      <c r="T199">
        <f t="shared" si="26"/>
        <v>16.422962962962963</v>
      </c>
      <c r="U199">
        <f t="shared" si="27"/>
        <v>13.988193011851852</v>
      </c>
      <c r="X199" s="9"/>
      <c r="Y199" s="21">
        <v>0.69824200000000003</v>
      </c>
      <c r="Z199" s="21">
        <v>15.909000000000001</v>
      </c>
      <c r="AA199" s="21">
        <v>-1.3504E-2</v>
      </c>
      <c r="AB199" s="21">
        <v>189</v>
      </c>
      <c r="AC199" s="21">
        <v>0.69772299999999998</v>
      </c>
      <c r="AD199">
        <f t="shared" si="28"/>
        <v>16.671604938271606</v>
      </c>
      <c r="AE199">
        <f t="shared" si="29"/>
        <v>11.640814775308643</v>
      </c>
      <c r="AF199" s="9"/>
      <c r="AG199" s="21">
        <v>0.851746</v>
      </c>
      <c r="AH199" s="21">
        <v>19.425999999999998</v>
      </c>
      <c r="AI199" s="21">
        <v>-1.3378900000000001E-2</v>
      </c>
      <c r="AJ199" s="21">
        <v>189</v>
      </c>
      <c r="AK199" s="21">
        <v>0.85082999999999998</v>
      </c>
      <c r="AL199">
        <f t="shared" si="30"/>
        <v>16.517160493827159</v>
      </c>
      <c r="AM199">
        <f t="shared" si="31"/>
        <v>14.068425381975308</v>
      </c>
      <c r="AP199" s="9"/>
      <c r="AQ199" s="21">
        <v>0.69824200000000003</v>
      </c>
      <c r="AR199" s="21">
        <v>24.667200000000001</v>
      </c>
      <c r="AS199" s="21">
        <v>-1.3473499999999999E-2</v>
      </c>
      <c r="AT199" s="21">
        <v>189</v>
      </c>
      <c r="AU199" s="21">
        <v>0.69747899999999996</v>
      </c>
      <c r="AV199">
        <f t="shared" si="32"/>
        <v>16.633950617283947</v>
      </c>
      <c r="AW199">
        <f t="shared" si="33"/>
        <v>11.614522946913578</v>
      </c>
      <c r="AX199" s="9"/>
      <c r="AY199" s="21">
        <v>0.851746</v>
      </c>
      <c r="AZ199" s="21">
        <v>28.1843</v>
      </c>
      <c r="BA199" s="21">
        <v>-1.33545E-2</v>
      </c>
      <c r="BB199" s="21">
        <v>189</v>
      </c>
      <c r="BC199" s="21">
        <v>0.85052499999999998</v>
      </c>
      <c r="BD199">
        <f t="shared" si="34"/>
        <v>16.487037037037037</v>
      </c>
      <c r="BE199">
        <f t="shared" si="35"/>
        <v>14.042767848148149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0.69320700000000002</v>
      </c>
      <c r="H200" s="21">
        <v>7.1598100000000002</v>
      </c>
      <c r="I200" s="21">
        <v>-1.3522299999999999E-2</v>
      </c>
      <c r="J200" s="21">
        <v>190</v>
      </c>
      <c r="K200" s="21">
        <v>0.69250500000000004</v>
      </c>
      <c r="L200">
        <f t="shared" si="24"/>
        <v>16.694197530864194</v>
      </c>
      <c r="M200">
        <f t="shared" si="25"/>
        <v>11.572534587777776</v>
      </c>
      <c r="N200" s="9"/>
      <c r="O200" s="21">
        <v>0.85678100000000001</v>
      </c>
      <c r="P200" s="21">
        <v>10.6769</v>
      </c>
      <c r="Q200" s="21">
        <v>-1.32996E-2</v>
      </c>
      <c r="R200" s="21">
        <v>190</v>
      </c>
      <c r="S200" s="21">
        <v>0.85601799999999995</v>
      </c>
      <c r="T200">
        <f t="shared" si="26"/>
        <v>16.41925925925926</v>
      </c>
      <c r="U200">
        <f t="shared" si="27"/>
        <v>14.067709367407408</v>
      </c>
      <c r="X200" s="9"/>
      <c r="Y200" s="21">
        <v>0.69320700000000002</v>
      </c>
      <c r="Z200" s="21">
        <v>15.919</v>
      </c>
      <c r="AA200" s="21">
        <v>-1.34979E-2</v>
      </c>
      <c r="AB200" s="21">
        <v>190</v>
      </c>
      <c r="AC200" s="21">
        <v>0.69256600000000001</v>
      </c>
      <c r="AD200">
        <f t="shared" si="28"/>
        <v>16.664074074074072</v>
      </c>
      <c r="AE200">
        <f t="shared" si="29"/>
        <v>11.551652796666666</v>
      </c>
      <c r="AF200" s="9"/>
      <c r="AG200" s="21">
        <v>0.85678100000000001</v>
      </c>
      <c r="AH200" s="21">
        <v>19.4361</v>
      </c>
      <c r="AI200" s="21">
        <v>-1.3382E-2</v>
      </c>
      <c r="AJ200" s="21">
        <v>190</v>
      </c>
      <c r="AK200" s="21">
        <v>0.85632299999999995</v>
      </c>
      <c r="AL200">
        <f t="shared" si="30"/>
        <v>16.520987654320987</v>
      </c>
      <c r="AM200">
        <f t="shared" si="31"/>
        <v>14.154868323456789</v>
      </c>
      <c r="AP200" s="9"/>
      <c r="AQ200" s="21">
        <v>0.69320700000000002</v>
      </c>
      <c r="AR200" s="21">
        <v>24.677199999999999</v>
      </c>
      <c r="AS200" s="21">
        <v>-1.3461300000000001E-2</v>
      </c>
      <c r="AT200" s="21">
        <v>190</v>
      </c>
      <c r="AU200" s="21">
        <v>0.69250500000000004</v>
      </c>
      <c r="AV200">
        <f t="shared" si="32"/>
        <v>16.618888888888886</v>
      </c>
      <c r="AW200">
        <f t="shared" si="33"/>
        <v>11.520330109999998</v>
      </c>
      <c r="AX200" s="9"/>
      <c r="AY200" s="21">
        <v>0.85678100000000001</v>
      </c>
      <c r="AZ200" s="21">
        <v>28.194400000000002</v>
      </c>
      <c r="BA200" s="21">
        <v>-1.33484E-2</v>
      </c>
      <c r="BB200" s="21">
        <v>190</v>
      </c>
      <c r="BC200" s="21">
        <v>0.85571299999999995</v>
      </c>
      <c r="BD200">
        <f t="shared" si="34"/>
        <v>16.479506172839503</v>
      </c>
      <c r="BE200">
        <f t="shared" si="35"/>
        <v>14.119327778271602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0.68817099999999998</v>
      </c>
      <c r="H201" s="21">
        <v>7.16988</v>
      </c>
      <c r="I201" s="21">
        <v>-1.3522299999999999E-2</v>
      </c>
      <c r="J201" s="21">
        <v>191</v>
      </c>
      <c r="K201" s="21">
        <v>0.687469</v>
      </c>
      <c r="L201">
        <f t="shared" si="24"/>
        <v>16.694197530864194</v>
      </c>
      <c r="M201">
        <f t="shared" si="25"/>
        <v>11.488462609012343</v>
      </c>
      <c r="N201" s="9"/>
      <c r="O201" s="21">
        <v>0.86181600000000003</v>
      </c>
      <c r="P201" s="21">
        <v>10.6869</v>
      </c>
      <c r="Q201" s="21">
        <v>-1.3296499999999999E-2</v>
      </c>
      <c r="R201" s="21">
        <v>191</v>
      </c>
      <c r="S201" s="21">
        <v>0.86059600000000003</v>
      </c>
      <c r="T201">
        <f t="shared" si="26"/>
        <v>16.415432098765429</v>
      </c>
      <c r="U201">
        <f t="shared" si="27"/>
        <v>14.147082029629628</v>
      </c>
      <c r="X201" s="9"/>
      <c r="Y201" s="21">
        <v>0.68817099999999998</v>
      </c>
      <c r="Z201" s="21">
        <v>15.9291</v>
      </c>
      <c r="AA201" s="21">
        <v>-1.3501000000000001E-2</v>
      </c>
      <c r="AB201" s="21">
        <v>191</v>
      </c>
      <c r="AC201" s="21">
        <v>0.6875</v>
      </c>
      <c r="AD201">
        <f t="shared" si="28"/>
        <v>16.667901234567903</v>
      </c>
      <c r="AE201">
        <f t="shared" si="29"/>
        <v>11.470366260493828</v>
      </c>
      <c r="AF201" s="9"/>
      <c r="AG201" s="21">
        <v>0.86181600000000003</v>
      </c>
      <c r="AH201" s="21">
        <v>19.446200000000001</v>
      </c>
      <c r="AI201" s="21">
        <v>-1.33759E-2</v>
      </c>
      <c r="AJ201" s="21">
        <v>191</v>
      </c>
      <c r="AK201" s="21">
        <v>0.86151100000000003</v>
      </c>
      <c r="AL201">
        <f t="shared" si="30"/>
        <v>16.513456790123456</v>
      </c>
      <c r="AM201">
        <f t="shared" si="31"/>
        <v>14.231561277037036</v>
      </c>
      <c r="AP201" s="9"/>
      <c r="AQ201" s="21">
        <v>0.68817099999999998</v>
      </c>
      <c r="AR201" s="21">
        <v>24.6873</v>
      </c>
      <c r="AS201" s="21">
        <v>-1.34644E-2</v>
      </c>
      <c r="AT201" s="21">
        <v>191</v>
      </c>
      <c r="AU201" s="21">
        <v>0.68759199999999998</v>
      </c>
      <c r="AV201">
        <f t="shared" si="32"/>
        <v>16.622716049382717</v>
      </c>
      <c r="AW201">
        <f t="shared" si="33"/>
        <v>11.439271126419753</v>
      </c>
      <c r="AX201" s="9"/>
      <c r="AY201" s="21">
        <v>0.86181600000000003</v>
      </c>
      <c r="AZ201" s="21">
        <v>28.2044</v>
      </c>
      <c r="BA201" s="21">
        <v>-1.33545E-2</v>
      </c>
      <c r="BB201" s="21">
        <v>191</v>
      </c>
      <c r="BC201" s="21">
        <v>0.86120600000000003</v>
      </c>
      <c r="BD201">
        <f t="shared" si="34"/>
        <v>16.487037037037037</v>
      </c>
      <c r="BE201">
        <f t="shared" si="35"/>
        <v>14.208792311111111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0.68313599999999997</v>
      </c>
      <c r="H202" s="21">
        <v>7.1799600000000003</v>
      </c>
      <c r="I202" s="21">
        <v>-1.35193E-2</v>
      </c>
      <c r="J202" s="21">
        <v>192</v>
      </c>
      <c r="K202" s="21">
        <v>0.68243399999999999</v>
      </c>
      <c r="L202">
        <f t="shared" si="24"/>
        <v>16.690493827160495</v>
      </c>
      <c r="M202">
        <f t="shared" si="25"/>
        <v>11.401877191111112</v>
      </c>
      <c r="N202" s="9"/>
      <c r="O202" s="21">
        <v>0.86685199999999996</v>
      </c>
      <c r="P202" s="21">
        <v>10.696999999999999</v>
      </c>
      <c r="Q202" s="21">
        <v>-1.32935E-2</v>
      </c>
      <c r="R202" s="21">
        <v>192</v>
      </c>
      <c r="S202" s="21">
        <v>0.86517299999999997</v>
      </c>
      <c r="T202">
        <f t="shared" si="26"/>
        <v>16.411728395061726</v>
      </c>
      <c r="U202">
        <f t="shared" si="27"/>
        <v>14.226539582716047</v>
      </c>
      <c r="X202" s="9"/>
      <c r="Y202" s="21">
        <v>0.68313599999999997</v>
      </c>
      <c r="Z202" s="21">
        <v>15.9392</v>
      </c>
      <c r="AA202" s="21">
        <v>-1.3501000000000001E-2</v>
      </c>
      <c r="AB202" s="21">
        <v>192</v>
      </c>
      <c r="AC202" s="21">
        <v>0.68243399999999999</v>
      </c>
      <c r="AD202">
        <f t="shared" si="28"/>
        <v>16.667901234567903</v>
      </c>
      <c r="AE202">
        <f t="shared" si="29"/>
        <v>11.386443377777779</v>
      </c>
      <c r="AF202" s="9"/>
      <c r="AG202" s="21">
        <v>0.86685199999999996</v>
      </c>
      <c r="AH202" s="21">
        <v>19.456199999999999</v>
      </c>
      <c r="AI202" s="21">
        <v>-1.3378900000000001E-2</v>
      </c>
      <c r="AJ202" s="21">
        <v>192</v>
      </c>
      <c r="AK202" s="21">
        <v>0.865784</v>
      </c>
      <c r="AL202">
        <f t="shared" si="30"/>
        <v>16.517160493827159</v>
      </c>
      <c r="AM202">
        <f t="shared" si="31"/>
        <v>14.317933608395061</v>
      </c>
      <c r="AP202" s="9"/>
      <c r="AQ202" s="21">
        <v>0.68313599999999997</v>
      </c>
      <c r="AR202" s="21">
        <v>24.697399999999998</v>
      </c>
      <c r="AS202" s="21">
        <v>-1.3473499999999999E-2</v>
      </c>
      <c r="AT202" s="21">
        <v>192</v>
      </c>
      <c r="AU202" s="21">
        <v>0.68249499999999996</v>
      </c>
      <c r="AV202">
        <f t="shared" si="32"/>
        <v>16.633950617283947</v>
      </c>
      <c r="AW202">
        <f t="shared" si="33"/>
        <v>11.363250488888886</v>
      </c>
      <c r="AX202" s="9"/>
      <c r="AY202" s="21">
        <v>0.86685199999999996</v>
      </c>
      <c r="AZ202" s="21">
        <v>28.214500000000001</v>
      </c>
      <c r="BA202" s="21">
        <v>-1.33575E-2</v>
      </c>
      <c r="BB202" s="21">
        <v>192</v>
      </c>
      <c r="BC202" s="21">
        <v>0.865479</v>
      </c>
      <c r="BD202">
        <f t="shared" si="34"/>
        <v>16.49074074074074</v>
      </c>
      <c r="BE202">
        <f t="shared" si="35"/>
        <v>14.295031592592592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0.67810099999999995</v>
      </c>
      <c r="H203" s="21">
        <v>7.1900300000000001</v>
      </c>
      <c r="I203" s="21">
        <v>-1.3507099999999999E-2</v>
      </c>
      <c r="J203" s="21">
        <v>193</v>
      </c>
      <c r="K203" s="21">
        <v>0.67758200000000002</v>
      </c>
      <c r="L203">
        <f t="shared" si="24"/>
        <v>16.67543209876543</v>
      </c>
      <c r="M203">
        <f t="shared" si="25"/>
        <v>11.307627181604936</v>
      </c>
      <c r="N203" s="9"/>
      <c r="O203" s="21">
        <v>0.87188699999999997</v>
      </c>
      <c r="P203" s="21">
        <v>10.707100000000001</v>
      </c>
      <c r="Q203" s="21">
        <v>-1.32935E-2</v>
      </c>
      <c r="R203" s="21">
        <v>193</v>
      </c>
      <c r="S203" s="21">
        <v>0.87036100000000005</v>
      </c>
      <c r="T203">
        <f t="shared" si="26"/>
        <v>16.411728395061726</v>
      </c>
      <c r="U203">
        <f t="shared" si="27"/>
        <v>14.309172635185183</v>
      </c>
      <c r="X203" s="9"/>
      <c r="Y203" s="21">
        <v>0.67810099999999995</v>
      </c>
      <c r="Z203" s="21">
        <v>15.949199999999999</v>
      </c>
      <c r="AA203" s="21">
        <v>-1.34888E-2</v>
      </c>
      <c r="AB203" s="21">
        <v>193</v>
      </c>
      <c r="AC203" s="21">
        <v>0.67752100000000004</v>
      </c>
      <c r="AD203">
        <f t="shared" si="28"/>
        <v>16.652839506172839</v>
      </c>
      <c r="AE203">
        <f t="shared" si="29"/>
        <v>11.292307121975307</v>
      </c>
      <c r="AF203" s="9"/>
      <c r="AG203" s="21">
        <v>0.87188699999999997</v>
      </c>
      <c r="AH203" s="21">
        <v>19.4663</v>
      </c>
      <c r="AI203" s="21">
        <v>-1.3369799999999999E-2</v>
      </c>
      <c r="AJ203" s="21">
        <v>193</v>
      </c>
      <c r="AK203" s="21">
        <v>0.87158199999999997</v>
      </c>
      <c r="AL203">
        <f t="shared" si="30"/>
        <v>16.505925925925922</v>
      </c>
      <c r="AM203">
        <f t="shared" si="31"/>
        <v>14.391302237777774</v>
      </c>
      <c r="AP203" s="9"/>
      <c r="AQ203" s="21">
        <v>0.67810099999999995</v>
      </c>
      <c r="AR203" s="21">
        <v>24.7075</v>
      </c>
      <c r="AS203" s="21">
        <v>-1.34888E-2</v>
      </c>
      <c r="AT203" s="21">
        <v>193</v>
      </c>
      <c r="AU203" s="21">
        <v>0.67739899999999997</v>
      </c>
      <c r="AV203">
        <f t="shared" si="32"/>
        <v>16.652839506172839</v>
      </c>
      <c r="AW203">
        <f t="shared" si="33"/>
        <v>11.292307121975307</v>
      </c>
      <c r="AX203" s="9"/>
      <c r="AY203" s="21">
        <v>0.87188699999999997</v>
      </c>
      <c r="AZ203" s="21">
        <v>28.224599999999999</v>
      </c>
      <c r="BA203" s="21">
        <v>-1.3369799999999999E-2</v>
      </c>
      <c r="BB203" s="21">
        <v>193</v>
      </c>
      <c r="BC203" s="21">
        <v>0.87066699999999997</v>
      </c>
      <c r="BD203">
        <f t="shared" si="34"/>
        <v>16.505925925925922</v>
      </c>
      <c r="BE203">
        <f t="shared" si="35"/>
        <v>14.391302237777774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0.67306500000000002</v>
      </c>
      <c r="H204" s="21">
        <v>7.2000999999999999</v>
      </c>
      <c r="I204" s="21">
        <v>-1.3501000000000001E-2</v>
      </c>
      <c r="J204" s="21">
        <v>194</v>
      </c>
      <c r="K204" s="21">
        <v>0.67236300000000004</v>
      </c>
      <c r="L204">
        <f t="shared" ref="L204:L267" si="36">-I204/$F$2*1000</f>
        <v>16.667901234567903</v>
      </c>
      <c r="M204">
        <f t="shared" ref="M204:M267" si="37">L204*G204</f>
        <v>11.218580944444446</v>
      </c>
      <c r="N204" s="9"/>
      <c r="O204" s="21">
        <v>0.87692300000000001</v>
      </c>
      <c r="P204" s="21">
        <v>10.7172</v>
      </c>
      <c r="Q204" s="21">
        <v>-1.3284300000000001E-2</v>
      </c>
      <c r="R204" s="21">
        <v>194</v>
      </c>
      <c r="S204" s="21">
        <v>0.87554900000000002</v>
      </c>
      <c r="T204">
        <f t="shared" ref="T204:T267" si="38">-Q204/$F$2*1000</f>
        <v>16.400370370370371</v>
      </c>
      <c r="U204">
        <f t="shared" ref="U204:U267" si="39">T204*O204</f>
        <v>14.381861986296297</v>
      </c>
      <c r="X204" s="9"/>
      <c r="Y204" s="21">
        <v>0.67306500000000002</v>
      </c>
      <c r="Z204" s="21">
        <v>15.959300000000001</v>
      </c>
      <c r="AA204" s="21">
        <v>-1.34857E-2</v>
      </c>
      <c r="AB204" s="21">
        <v>194</v>
      </c>
      <c r="AC204" s="21">
        <v>0.67236300000000004</v>
      </c>
      <c r="AD204">
        <f t="shared" ref="AD204:AD267" si="40">-AA204/$F$2*1000</f>
        <v>16.649012345679012</v>
      </c>
      <c r="AE204">
        <f t="shared" ref="AE204:AE267" si="41">AD204*Y204</f>
        <v>11.205867494444444</v>
      </c>
      <c r="AF204" s="9"/>
      <c r="AG204" s="21">
        <v>0.87692300000000001</v>
      </c>
      <c r="AH204" s="21">
        <v>19.476400000000002</v>
      </c>
      <c r="AI204" s="21">
        <v>-1.3369799999999999E-2</v>
      </c>
      <c r="AJ204" s="21">
        <v>194</v>
      </c>
      <c r="AK204" s="21">
        <v>0.87585400000000002</v>
      </c>
      <c r="AL204">
        <f t="shared" ref="AL204:AL267" si="42">-AI204/$F$2*1000</f>
        <v>16.505925925925922</v>
      </c>
      <c r="AM204">
        <f t="shared" ref="AM204:AM267" si="43">AL204*AG204</f>
        <v>14.474426080740738</v>
      </c>
      <c r="AP204" s="9"/>
      <c r="AQ204" s="21">
        <v>0.67306500000000002</v>
      </c>
      <c r="AR204" s="21">
        <v>24.717500000000001</v>
      </c>
      <c r="AS204" s="21">
        <v>-1.3501000000000001E-2</v>
      </c>
      <c r="AT204" s="21">
        <v>194</v>
      </c>
      <c r="AU204" s="21">
        <v>0.67242400000000002</v>
      </c>
      <c r="AV204">
        <f t="shared" ref="AV204:AV267" si="44">-AS204/$F$2*1000</f>
        <v>16.667901234567903</v>
      </c>
      <c r="AW204">
        <f t="shared" ref="AW204:AW267" si="45">AV204*AQ204</f>
        <v>11.218580944444446</v>
      </c>
      <c r="AX204" s="9"/>
      <c r="AY204" s="21">
        <v>0.87692300000000001</v>
      </c>
      <c r="AZ204" s="21">
        <v>28.2347</v>
      </c>
      <c r="BA204" s="21">
        <v>-1.33667E-2</v>
      </c>
      <c r="BB204" s="21">
        <v>194</v>
      </c>
      <c r="BC204" s="21">
        <v>0.87677000000000005</v>
      </c>
      <c r="BD204">
        <f t="shared" ref="BD204:BD267" si="46">-BA204/$F$2*1000</f>
        <v>16.502098765432098</v>
      </c>
      <c r="BE204">
        <f t="shared" ref="BE204:BE267" si="47">BD204*AY204</f>
        <v>14.471069955679011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0.66803000000000001</v>
      </c>
      <c r="H205" s="21">
        <v>7.2101699999999997</v>
      </c>
      <c r="I205" s="21">
        <v>-1.3494900000000001E-2</v>
      </c>
      <c r="J205" s="21">
        <v>195</v>
      </c>
      <c r="K205" s="21">
        <v>0.66729700000000003</v>
      </c>
      <c r="L205">
        <f t="shared" si="36"/>
        <v>16.660370370370369</v>
      </c>
      <c r="M205">
        <f t="shared" si="37"/>
        <v>11.129627218518518</v>
      </c>
      <c r="N205" s="9"/>
      <c r="O205" s="21">
        <v>0.88195800000000002</v>
      </c>
      <c r="P205" s="21">
        <v>10.7272</v>
      </c>
      <c r="Q205" s="21">
        <v>-1.32751E-2</v>
      </c>
      <c r="R205" s="21">
        <v>195</v>
      </c>
      <c r="S205" s="21">
        <v>0.88104199999999999</v>
      </c>
      <c r="T205">
        <f t="shared" si="38"/>
        <v>16.38901234567901</v>
      </c>
      <c r="U205">
        <f t="shared" si="39"/>
        <v>14.454420550370369</v>
      </c>
      <c r="X205" s="9"/>
      <c r="Y205" s="21">
        <v>0.66803000000000001</v>
      </c>
      <c r="Z205" s="21">
        <v>15.9694</v>
      </c>
      <c r="AA205" s="21">
        <v>-1.34857E-2</v>
      </c>
      <c r="AB205" s="21">
        <v>195</v>
      </c>
      <c r="AC205" s="21">
        <v>0.66735800000000001</v>
      </c>
      <c r="AD205">
        <f t="shared" si="40"/>
        <v>16.649012345679012</v>
      </c>
      <c r="AE205">
        <f t="shared" si="41"/>
        <v>11.12203971728395</v>
      </c>
      <c r="AF205" s="9"/>
      <c r="AG205" s="21">
        <v>0.88195800000000002</v>
      </c>
      <c r="AH205" s="21">
        <v>19.4864</v>
      </c>
      <c r="AI205" s="21">
        <v>-1.3369799999999999E-2</v>
      </c>
      <c r="AJ205" s="21">
        <v>195</v>
      </c>
      <c r="AK205" s="21">
        <v>0.88043199999999999</v>
      </c>
      <c r="AL205">
        <f t="shared" si="42"/>
        <v>16.505925925925922</v>
      </c>
      <c r="AM205">
        <f t="shared" si="43"/>
        <v>14.557533417777774</v>
      </c>
      <c r="AP205" s="9"/>
      <c r="AQ205" s="21">
        <v>0.66803000000000001</v>
      </c>
      <c r="AR205" s="21">
        <v>24.727599999999999</v>
      </c>
      <c r="AS205" s="21">
        <v>-1.3510100000000001E-2</v>
      </c>
      <c r="AT205" s="21">
        <v>195</v>
      </c>
      <c r="AU205" s="21">
        <v>0.66738900000000001</v>
      </c>
      <c r="AV205">
        <f t="shared" si="44"/>
        <v>16.679135802469133</v>
      </c>
      <c r="AW205">
        <f t="shared" si="45"/>
        <v>11.142163090123455</v>
      </c>
      <c r="AX205" s="9"/>
      <c r="AY205" s="21">
        <v>0.88195800000000002</v>
      </c>
      <c r="AZ205" s="21">
        <v>28.244700000000002</v>
      </c>
      <c r="BA205" s="21">
        <v>-1.33545E-2</v>
      </c>
      <c r="BB205" s="21">
        <v>195</v>
      </c>
      <c r="BC205" s="21">
        <v>0.88073699999999999</v>
      </c>
      <c r="BD205">
        <f t="shared" si="46"/>
        <v>16.487037037037037</v>
      </c>
      <c r="BE205">
        <f t="shared" si="47"/>
        <v>14.540874211111111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0.66299399999999997</v>
      </c>
      <c r="H206" s="21">
        <v>7.2202400000000004</v>
      </c>
      <c r="I206" s="21">
        <v>-1.34918E-2</v>
      </c>
      <c r="J206" s="21">
        <v>196</v>
      </c>
      <c r="K206" s="21">
        <v>0.662323</v>
      </c>
      <c r="L206">
        <f t="shared" si="36"/>
        <v>16.656543209876542</v>
      </c>
      <c r="M206">
        <f t="shared" si="37"/>
        <v>11.043188208888887</v>
      </c>
      <c r="N206" s="9"/>
      <c r="O206" s="21">
        <v>0.88699300000000003</v>
      </c>
      <c r="P206" s="21">
        <v>10.737299999999999</v>
      </c>
      <c r="Q206" s="21">
        <v>-1.32782E-2</v>
      </c>
      <c r="R206" s="21">
        <v>196</v>
      </c>
      <c r="S206" s="21">
        <v>0.88653599999999999</v>
      </c>
      <c r="T206">
        <f t="shared" si="38"/>
        <v>16.392839506172837</v>
      </c>
      <c r="U206">
        <f t="shared" si="39"/>
        <v>14.540333892098763</v>
      </c>
      <c r="X206" s="9"/>
      <c r="Y206" s="21">
        <v>0.66299399999999997</v>
      </c>
      <c r="Z206" s="21">
        <v>15.9794</v>
      </c>
      <c r="AA206" s="21">
        <v>-1.3494900000000001E-2</v>
      </c>
      <c r="AB206" s="21">
        <v>196</v>
      </c>
      <c r="AC206" s="21">
        <v>0.66226200000000002</v>
      </c>
      <c r="AD206">
        <f t="shared" si="40"/>
        <v>16.660370370370369</v>
      </c>
      <c r="AE206">
        <f t="shared" si="41"/>
        <v>11.045725593333332</v>
      </c>
      <c r="AF206" s="9"/>
      <c r="AG206" s="21">
        <v>0.88699300000000003</v>
      </c>
      <c r="AH206" s="21">
        <v>19.496500000000001</v>
      </c>
      <c r="AI206" s="21">
        <v>-1.3369799999999999E-2</v>
      </c>
      <c r="AJ206" s="21">
        <v>196</v>
      </c>
      <c r="AK206" s="21">
        <v>0.88592499999999996</v>
      </c>
      <c r="AL206">
        <f t="shared" si="42"/>
        <v>16.505925925925922</v>
      </c>
      <c r="AM206">
        <f t="shared" si="43"/>
        <v>14.640640754814813</v>
      </c>
      <c r="AP206" s="9"/>
      <c r="AQ206" s="21">
        <v>0.66299399999999997</v>
      </c>
      <c r="AR206" s="21">
        <v>24.7377</v>
      </c>
      <c r="AS206" s="21">
        <v>-1.3516200000000001E-2</v>
      </c>
      <c r="AT206" s="21">
        <v>196</v>
      </c>
      <c r="AU206" s="21">
        <v>0.66238399999999997</v>
      </c>
      <c r="AV206">
        <f t="shared" si="44"/>
        <v>16.686666666666664</v>
      </c>
      <c r="AW206">
        <f t="shared" si="45"/>
        <v>11.063159879999997</v>
      </c>
      <c r="AX206" s="9"/>
      <c r="AY206" s="21">
        <v>0.88699300000000003</v>
      </c>
      <c r="AZ206" s="21">
        <v>28.254799999999999</v>
      </c>
      <c r="BA206" s="21">
        <v>-1.33545E-2</v>
      </c>
      <c r="BB206" s="21">
        <v>196</v>
      </c>
      <c r="BC206" s="21">
        <v>0.88561999999999996</v>
      </c>
      <c r="BD206">
        <f t="shared" si="46"/>
        <v>16.487037037037037</v>
      </c>
      <c r="BE206">
        <f t="shared" si="47"/>
        <v>14.623886442592594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0.65795899999999996</v>
      </c>
      <c r="H207" s="21">
        <v>7.2303100000000002</v>
      </c>
      <c r="I207" s="21">
        <v>-1.34827E-2</v>
      </c>
      <c r="J207" s="21">
        <v>197</v>
      </c>
      <c r="K207" s="21">
        <v>0.65728799999999998</v>
      </c>
      <c r="L207">
        <f t="shared" si="36"/>
        <v>16.645308641975308</v>
      </c>
      <c r="M207">
        <f t="shared" si="37"/>
        <v>10.951930628765432</v>
      </c>
      <c r="N207" s="9"/>
      <c r="O207" s="21">
        <v>0.89202899999999996</v>
      </c>
      <c r="P207" s="21">
        <v>10.747400000000001</v>
      </c>
      <c r="Q207" s="21">
        <v>-1.32751E-2</v>
      </c>
      <c r="R207" s="21">
        <v>197</v>
      </c>
      <c r="S207" s="21">
        <v>0.89172399999999996</v>
      </c>
      <c r="T207">
        <f t="shared" si="38"/>
        <v>16.38901234567901</v>
      </c>
      <c r="U207">
        <f t="shared" si="39"/>
        <v>14.619474293703702</v>
      </c>
      <c r="X207" s="9"/>
      <c r="Y207" s="21">
        <v>0.65795899999999996</v>
      </c>
      <c r="Z207" s="21">
        <v>15.9895</v>
      </c>
      <c r="AA207" s="21">
        <v>-1.3510100000000001E-2</v>
      </c>
      <c r="AB207" s="21">
        <v>197</v>
      </c>
      <c r="AC207" s="21">
        <v>0.65731799999999996</v>
      </c>
      <c r="AD207">
        <f t="shared" si="40"/>
        <v>16.679135802469133</v>
      </c>
      <c r="AE207">
        <f t="shared" si="41"/>
        <v>10.974187513456789</v>
      </c>
      <c r="AF207" s="9"/>
      <c r="AG207" s="21">
        <v>0.89202899999999996</v>
      </c>
      <c r="AH207" s="21">
        <v>19.506599999999999</v>
      </c>
      <c r="AI207" s="21">
        <v>-1.33667E-2</v>
      </c>
      <c r="AJ207" s="21">
        <v>197</v>
      </c>
      <c r="AK207" s="21">
        <v>0.89111300000000004</v>
      </c>
      <c r="AL207">
        <f t="shared" si="42"/>
        <v>16.502098765432098</v>
      </c>
      <c r="AM207">
        <f t="shared" si="43"/>
        <v>14.720350659629629</v>
      </c>
      <c r="AP207" s="9"/>
      <c r="AQ207" s="21">
        <v>0.65795899999999996</v>
      </c>
      <c r="AR207" s="21">
        <v>24.747699999999998</v>
      </c>
      <c r="AS207" s="21">
        <v>-1.3522299999999999E-2</v>
      </c>
      <c r="AT207" s="21">
        <v>197</v>
      </c>
      <c r="AU207" s="21">
        <v>0.65725699999999998</v>
      </c>
      <c r="AV207">
        <f t="shared" si="44"/>
        <v>16.694197530864194</v>
      </c>
      <c r="AW207">
        <f t="shared" si="45"/>
        <v>10.984097513209873</v>
      </c>
      <c r="AX207" s="9"/>
      <c r="AY207" s="21">
        <v>0.89202899999999996</v>
      </c>
      <c r="AZ207" s="21">
        <v>28.264900000000001</v>
      </c>
      <c r="BA207" s="21">
        <v>-1.33545E-2</v>
      </c>
      <c r="BB207" s="21">
        <v>197</v>
      </c>
      <c r="BC207" s="21">
        <v>0.89111300000000004</v>
      </c>
      <c r="BD207">
        <f t="shared" si="46"/>
        <v>16.487037037037037</v>
      </c>
      <c r="BE207">
        <f t="shared" si="47"/>
        <v>14.706915161111111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0.65292399999999995</v>
      </c>
      <c r="H208" s="21">
        <v>7.24038</v>
      </c>
      <c r="I208" s="21">
        <v>-1.34918E-2</v>
      </c>
      <c r="J208" s="21">
        <v>198</v>
      </c>
      <c r="K208" s="21">
        <v>0.65222199999999997</v>
      </c>
      <c r="L208">
        <f t="shared" si="36"/>
        <v>16.656543209876542</v>
      </c>
      <c r="M208">
        <f t="shared" si="37"/>
        <v>10.87545681876543</v>
      </c>
      <c r="N208" s="9"/>
      <c r="O208" s="21">
        <v>0.89706399999999997</v>
      </c>
      <c r="P208" s="21">
        <v>10.757400000000001</v>
      </c>
      <c r="Q208" s="21">
        <v>-1.32751E-2</v>
      </c>
      <c r="R208" s="21">
        <v>198</v>
      </c>
      <c r="S208" s="21">
        <v>0.89630100000000001</v>
      </c>
      <c r="T208">
        <f t="shared" si="38"/>
        <v>16.38901234567901</v>
      </c>
      <c r="U208">
        <f t="shared" si="39"/>
        <v>14.701992970864195</v>
      </c>
      <c r="X208" s="9"/>
      <c r="Y208" s="21">
        <v>0.65292399999999995</v>
      </c>
      <c r="Z208" s="21">
        <v>15.999599999999999</v>
      </c>
      <c r="AA208" s="21">
        <v>-1.35132E-2</v>
      </c>
      <c r="AB208" s="21">
        <v>198</v>
      </c>
      <c r="AC208" s="21">
        <v>0.65234400000000003</v>
      </c>
      <c r="AD208">
        <f t="shared" si="40"/>
        <v>16.682962962962961</v>
      </c>
      <c r="AE208">
        <f t="shared" si="41"/>
        <v>10.892706909629627</v>
      </c>
      <c r="AF208" s="9"/>
      <c r="AG208" s="21">
        <v>0.89706399999999997</v>
      </c>
      <c r="AH208" s="21">
        <v>19.5166</v>
      </c>
      <c r="AI208" s="21">
        <v>-1.33667E-2</v>
      </c>
      <c r="AJ208" s="21">
        <v>198</v>
      </c>
      <c r="AK208" s="21">
        <v>0.89599600000000001</v>
      </c>
      <c r="AL208">
        <f t="shared" si="42"/>
        <v>16.502098765432098</v>
      </c>
      <c r="AM208">
        <f t="shared" si="43"/>
        <v>14.80343872691358</v>
      </c>
      <c r="AP208" s="9"/>
      <c r="AQ208" s="21">
        <v>0.65292399999999995</v>
      </c>
      <c r="AR208" s="21">
        <v>24.7578</v>
      </c>
      <c r="AS208" s="21">
        <v>-1.3522299999999999E-2</v>
      </c>
      <c r="AT208" s="21">
        <v>198</v>
      </c>
      <c r="AU208" s="21">
        <v>0.65222199999999997</v>
      </c>
      <c r="AV208">
        <f t="shared" si="44"/>
        <v>16.694197530864194</v>
      </c>
      <c r="AW208">
        <f t="shared" si="45"/>
        <v>10.900042228641972</v>
      </c>
      <c r="AX208" s="9"/>
      <c r="AY208" s="21">
        <v>0.89706399999999997</v>
      </c>
      <c r="AZ208" s="21">
        <v>28.274899999999999</v>
      </c>
      <c r="BA208" s="21">
        <v>-1.33545E-2</v>
      </c>
      <c r="BB208" s="21">
        <v>198</v>
      </c>
      <c r="BC208" s="21">
        <v>0.89599600000000001</v>
      </c>
      <c r="BD208">
        <f t="shared" si="46"/>
        <v>16.487037037037037</v>
      </c>
      <c r="BE208">
        <f t="shared" si="47"/>
        <v>14.789927392592592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0.64788800000000002</v>
      </c>
      <c r="H209" s="21">
        <v>7.2504499999999998</v>
      </c>
      <c r="I209" s="21">
        <v>-1.3494900000000001E-2</v>
      </c>
      <c r="J209" s="21">
        <v>199</v>
      </c>
      <c r="K209" s="21">
        <v>0.64724700000000002</v>
      </c>
      <c r="L209">
        <f t="shared" si="36"/>
        <v>16.660370370370369</v>
      </c>
      <c r="M209">
        <f t="shared" si="37"/>
        <v>10.794054038518519</v>
      </c>
      <c r="N209" s="9"/>
      <c r="O209" s="21">
        <v>0.90210000000000001</v>
      </c>
      <c r="P209" s="21">
        <v>10.7675</v>
      </c>
      <c r="Q209" s="21">
        <v>-1.32721E-2</v>
      </c>
      <c r="R209" s="21">
        <v>199</v>
      </c>
      <c r="S209" s="21">
        <v>0.90057399999999999</v>
      </c>
      <c r="T209">
        <f t="shared" si="38"/>
        <v>16.385308641975307</v>
      </c>
      <c r="U209">
        <f t="shared" si="39"/>
        <v>14.781186925925924</v>
      </c>
      <c r="X209" s="9"/>
      <c r="Y209" s="21">
        <v>0.64788800000000002</v>
      </c>
      <c r="Z209" s="21">
        <v>16.009699999999999</v>
      </c>
      <c r="AA209" s="21">
        <v>-1.35193E-2</v>
      </c>
      <c r="AB209" s="21">
        <v>199</v>
      </c>
      <c r="AC209" s="21">
        <v>0.64727800000000002</v>
      </c>
      <c r="AD209">
        <f t="shared" si="40"/>
        <v>16.690493827160495</v>
      </c>
      <c r="AE209">
        <f t="shared" si="41"/>
        <v>10.813570664691358</v>
      </c>
      <c r="AF209" s="9"/>
      <c r="AG209" s="21">
        <v>0.90210000000000001</v>
      </c>
      <c r="AH209" s="21">
        <v>19.526700000000002</v>
      </c>
      <c r="AI209" s="21">
        <v>-1.33759E-2</v>
      </c>
      <c r="AJ209" s="21">
        <v>199</v>
      </c>
      <c r="AK209" s="21">
        <v>0.90118399999999999</v>
      </c>
      <c r="AL209">
        <f t="shared" si="42"/>
        <v>16.513456790123456</v>
      </c>
      <c r="AM209">
        <f t="shared" si="43"/>
        <v>14.896789370370371</v>
      </c>
      <c r="AP209" s="9"/>
      <c r="AQ209" s="21">
        <v>0.64788800000000002</v>
      </c>
      <c r="AR209" s="21">
        <v>24.767900000000001</v>
      </c>
      <c r="AS209" s="21">
        <v>-1.3522299999999999E-2</v>
      </c>
      <c r="AT209" s="21">
        <v>199</v>
      </c>
      <c r="AU209" s="21">
        <v>0.64724700000000002</v>
      </c>
      <c r="AV209">
        <f t="shared" si="44"/>
        <v>16.694197530864194</v>
      </c>
      <c r="AW209">
        <f t="shared" si="45"/>
        <v>10.815970249876541</v>
      </c>
      <c r="AX209" s="9"/>
      <c r="AY209" s="21">
        <v>0.90210000000000001</v>
      </c>
      <c r="AZ209" s="21">
        <v>28.285</v>
      </c>
      <c r="BA209" s="21">
        <v>-1.3351399999999999E-2</v>
      </c>
      <c r="BB209" s="21">
        <v>199</v>
      </c>
      <c r="BC209" s="21">
        <v>0.90148899999999998</v>
      </c>
      <c r="BD209">
        <f t="shared" si="46"/>
        <v>16.483209876543206</v>
      </c>
      <c r="BE209">
        <f t="shared" si="47"/>
        <v>14.869503629629627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0.64285300000000001</v>
      </c>
      <c r="H210" s="21">
        <v>7.2605199999999996</v>
      </c>
      <c r="I210" s="21">
        <v>-1.3494900000000001E-2</v>
      </c>
      <c r="J210" s="21">
        <v>200</v>
      </c>
      <c r="K210" s="21">
        <v>0.64221200000000001</v>
      </c>
      <c r="L210">
        <f t="shared" si="36"/>
        <v>16.660370370370369</v>
      </c>
      <c r="M210">
        <f t="shared" si="37"/>
        <v>10.710169073703703</v>
      </c>
      <c r="N210" s="9"/>
      <c r="O210" s="21">
        <v>0.90713500000000002</v>
      </c>
      <c r="P210" s="21">
        <v>10.7776</v>
      </c>
      <c r="Q210" s="21">
        <v>-1.32721E-2</v>
      </c>
      <c r="R210" s="21">
        <v>200</v>
      </c>
      <c r="S210" s="21">
        <v>0.90606699999999996</v>
      </c>
      <c r="T210">
        <f t="shared" si="38"/>
        <v>16.385308641975307</v>
      </c>
      <c r="U210">
        <f t="shared" si="39"/>
        <v>14.86368695493827</v>
      </c>
      <c r="X210" s="9"/>
      <c r="Y210" s="21">
        <v>0.64285300000000001</v>
      </c>
      <c r="Z210" s="21">
        <v>16.0197</v>
      </c>
      <c r="AA210" s="21">
        <v>-1.3516200000000001E-2</v>
      </c>
      <c r="AB210" s="21">
        <v>200</v>
      </c>
      <c r="AC210" s="21">
        <v>0.64224199999999998</v>
      </c>
      <c r="AD210">
        <f t="shared" si="40"/>
        <v>16.686666666666664</v>
      </c>
      <c r="AE210">
        <f t="shared" si="41"/>
        <v>10.727073726666665</v>
      </c>
      <c r="AF210" s="9"/>
      <c r="AG210" s="21">
        <v>0.90713500000000002</v>
      </c>
      <c r="AH210" s="21">
        <v>19.536799999999999</v>
      </c>
      <c r="AI210" s="21">
        <v>-1.33667E-2</v>
      </c>
      <c r="AJ210" s="21">
        <v>200</v>
      </c>
      <c r="AK210" s="21">
        <v>0.90606699999999996</v>
      </c>
      <c r="AL210">
        <f t="shared" si="42"/>
        <v>16.502098765432098</v>
      </c>
      <c r="AM210">
        <f t="shared" si="43"/>
        <v>14.969631363580246</v>
      </c>
      <c r="AP210" s="9"/>
      <c r="AQ210" s="21">
        <v>0.64285300000000001</v>
      </c>
      <c r="AR210" s="21">
        <v>24.777999999999999</v>
      </c>
      <c r="AS210" s="21">
        <v>-1.35193E-2</v>
      </c>
      <c r="AT210" s="21">
        <v>200</v>
      </c>
      <c r="AU210" s="21">
        <v>0.642181</v>
      </c>
      <c r="AV210">
        <f t="shared" si="44"/>
        <v>16.690493827160495</v>
      </c>
      <c r="AW210">
        <f t="shared" si="45"/>
        <v>10.729534028271607</v>
      </c>
      <c r="AX210" s="9"/>
      <c r="AY210" s="21">
        <v>0.90713500000000002</v>
      </c>
      <c r="AZ210" s="21">
        <v>28.295100000000001</v>
      </c>
      <c r="BA210" s="21">
        <v>-1.33484E-2</v>
      </c>
      <c r="BB210" s="21">
        <v>200</v>
      </c>
      <c r="BC210" s="21">
        <v>0.90637199999999996</v>
      </c>
      <c r="BD210">
        <f t="shared" si="46"/>
        <v>16.479506172839503</v>
      </c>
      <c r="BE210">
        <f t="shared" si="47"/>
        <v>14.949136832098763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0.63781699999999997</v>
      </c>
      <c r="H211" s="21">
        <v>7.2705900000000003</v>
      </c>
      <c r="I211" s="21">
        <v>-1.3494900000000001E-2</v>
      </c>
      <c r="J211" s="21">
        <v>201</v>
      </c>
      <c r="K211" s="21">
        <v>0.63717699999999999</v>
      </c>
      <c r="L211">
        <f t="shared" si="36"/>
        <v>16.660370370370369</v>
      </c>
      <c r="M211">
        <f t="shared" si="37"/>
        <v>10.626267448518517</v>
      </c>
      <c r="N211" s="9"/>
      <c r="O211" s="21">
        <v>0.91217000000000004</v>
      </c>
      <c r="P211" s="21">
        <v>10.787699999999999</v>
      </c>
      <c r="Q211" s="21">
        <v>-1.32599E-2</v>
      </c>
      <c r="R211" s="21">
        <v>201</v>
      </c>
      <c r="S211" s="21">
        <v>0.91186500000000004</v>
      </c>
      <c r="T211">
        <f t="shared" si="38"/>
        <v>16.370246913580246</v>
      </c>
      <c r="U211">
        <f t="shared" si="39"/>
        <v>14.932448127160493</v>
      </c>
      <c r="X211" s="9"/>
      <c r="Y211" s="21">
        <v>0.63781699999999997</v>
      </c>
      <c r="Z211" s="21">
        <v>16.029800000000002</v>
      </c>
      <c r="AA211" s="21">
        <v>-1.3516200000000001E-2</v>
      </c>
      <c r="AB211" s="21">
        <v>201</v>
      </c>
      <c r="AC211" s="21">
        <v>0.63720699999999997</v>
      </c>
      <c r="AD211">
        <f t="shared" si="40"/>
        <v>16.686666666666664</v>
      </c>
      <c r="AE211">
        <f t="shared" si="41"/>
        <v>10.64303967333333</v>
      </c>
      <c r="AF211" s="9"/>
      <c r="AG211" s="21">
        <v>0.91217000000000004</v>
      </c>
      <c r="AH211" s="21">
        <v>19.546900000000001</v>
      </c>
      <c r="AI211" s="21">
        <v>-1.33545E-2</v>
      </c>
      <c r="AJ211" s="21">
        <v>201</v>
      </c>
      <c r="AK211" s="21">
        <v>0.91156000000000004</v>
      </c>
      <c r="AL211">
        <f t="shared" si="42"/>
        <v>16.487037037037037</v>
      </c>
      <c r="AM211">
        <f t="shared" si="43"/>
        <v>15.038980574074076</v>
      </c>
      <c r="AP211" s="9"/>
      <c r="AQ211" s="21">
        <v>0.63781699999999997</v>
      </c>
      <c r="AR211" s="21">
        <v>24.788</v>
      </c>
      <c r="AS211" s="21">
        <v>-1.3522299999999999E-2</v>
      </c>
      <c r="AT211" s="21">
        <v>201</v>
      </c>
      <c r="AU211" s="21">
        <v>0.63711499999999999</v>
      </c>
      <c r="AV211">
        <f t="shared" si="44"/>
        <v>16.694197530864194</v>
      </c>
      <c r="AW211">
        <f t="shared" si="45"/>
        <v>10.647842986543207</v>
      </c>
      <c r="AX211" s="9"/>
      <c r="AY211" s="21">
        <v>0.91217000000000004</v>
      </c>
      <c r="AZ211" s="21">
        <v>28.305199999999999</v>
      </c>
      <c r="BA211" s="21">
        <v>-1.3345299999999999E-2</v>
      </c>
      <c r="BB211" s="21">
        <v>201</v>
      </c>
      <c r="BC211" s="21">
        <v>0.91095000000000004</v>
      </c>
      <c r="BD211">
        <f t="shared" si="46"/>
        <v>16.475679012345676</v>
      </c>
      <c r="BE211">
        <f t="shared" si="47"/>
        <v>15.028620124691356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0.63278199999999996</v>
      </c>
      <c r="H212" s="21">
        <v>7.2806699999999998</v>
      </c>
      <c r="I212" s="21">
        <v>-1.3507099999999999E-2</v>
      </c>
      <c r="J212" s="21">
        <v>202</v>
      </c>
      <c r="K212" s="21">
        <v>0.63214099999999995</v>
      </c>
      <c r="L212">
        <f t="shared" si="36"/>
        <v>16.67543209876543</v>
      </c>
      <c r="M212">
        <f t="shared" si="37"/>
        <v>10.551913274320986</v>
      </c>
      <c r="N212" s="9"/>
      <c r="O212" s="21">
        <v>0.91720599999999997</v>
      </c>
      <c r="P212" s="21">
        <v>10.797700000000001</v>
      </c>
      <c r="Q212" s="21">
        <v>-1.3250700000000001E-2</v>
      </c>
      <c r="R212" s="21">
        <v>202</v>
      </c>
      <c r="S212" s="21">
        <v>0.91644300000000001</v>
      </c>
      <c r="T212">
        <f t="shared" si="38"/>
        <v>16.358888888888888</v>
      </c>
      <c r="U212">
        <f t="shared" si="39"/>
        <v>15.004471042222221</v>
      </c>
      <c r="X212" s="9"/>
      <c r="Y212" s="21">
        <v>0.63278199999999996</v>
      </c>
      <c r="Z212" s="21">
        <v>16.039899999999999</v>
      </c>
      <c r="AA212" s="21">
        <v>-1.35132E-2</v>
      </c>
      <c r="AB212" s="21">
        <v>202</v>
      </c>
      <c r="AC212" s="21">
        <v>0.63214099999999995</v>
      </c>
      <c r="AD212">
        <f t="shared" si="40"/>
        <v>16.682962962962961</v>
      </c>
      <c r="AE212">
        <f t="shared" si="41"/>
        <v>10.556678669629628</v>
      </c>
      <c r="AF212" s="9"/>
      <c r="AG212" s="21">
        <v>0.91720599999999997</v>
      </c>
      <c r="AH212" s="21">
        <v>19.556899999999999</v>
      </c>
      <c r="AI212" s="21">
        <v>-1.3339200000000001E-2</v>
      </c>
      <c r="AJ212" s="21">
        <v>202</v>
      </c>
      <c r="AK212" s="21">
        <v>0.91613800000000001</v>
      </c>
      <c r="AL212">
        <f t="shared" si="42"/>
        <v>16.468148148148149</v>
      </c>
      <c r="AM212">
        <f t="shared" si="43"/>
        <v>15.10468429037037</v>
      </c>
      <c r="AP212" s="9"/>
      <c r="AQ212" s="21">
        <v>0.63278199999999996</v>
      </c>
      <c r="AR212" s="21">
        <v>24.798100000000002</v>
      </c>
      <c r="AS212" s="21">
        <v>-1.3522299999999999E-2</v>
      </c>
      <c r="AT212" s="21">
        <v>202</v>
      </c>
      <c r="AU212" s="21">
        <v>0.63205</v>
      </c>
      <c r="AV212">
        <f t="shared" si="44"/>
        <v>16.694197530864194</v>
      </c>
      <c r="AW212">
        <f t="shared" si="45"/>
        <v>10.563787701975306</v>
      </c>
      <c r="AX212" s="9"/>
      <c r="AY212" s="21">
        <v>0.91720599999999997</v>
      </c>
      <c r="AZ212" s="21">
        <v>28.315200000000001</v>
      </c>
      <c r="BA212" s="21">
        <v>-1.33484E-2</v>
      </c>
      <c r="BB212" s="21">
        <v>202</v>
      </c>
      <c r="BC212" s="21">
        <v>0.91644300000000001</v>
      </c>
      <c r="BD212">
        <f t="shared" si="46"/>
        <v>16.479506172839503</v>
      </c>
      <c r="BE212">
        <f t="shared" si="47"/>
        <v>15.115101938765429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0.62774700000000005</v>
      </c>
      <c r="H213" s="21">
        <v>7.2907400000000004</v>
      </c>
      <c r="I213" s="21">
        <v>-1.3522299999999999E-2</v>
      </c>
      <c r="J213" s="21">
        <v>203</v>
      </c>
      <c r="K213" s="21">
        <v>0.62713600000000003</v>
      </c>
      <c r="L213">
        <f t="shared" si="36"/>
        <v>16.694197530864194</v>
      </c>
      <c r="M213">
        <f t="shared" si="37"/>
        <v>10.479732417407407</v>
      </c>
      <c r="N213" s="9"/>
      <c r="O213" s="21">
        <v>0.92224099999999998</v>
      </c>
      <c r="P213" s="21">
        <v>10.8078</v>
      </c>
      <c r="Q213" s="21">
        <v>-1.32446E-2</v>
      </c>
      <c r="R213" s="21">
        <v>203</v>
      </c>
      <c r="S213" s="21">
        <v>0.92102099999999998</v>
      </c>
      <c r="T213">
        <f t="shared" si="38"/>
        <v>16.351358024691358</v>
      </c>
      <c r="U213">
        <f t="shared" si="39"/>
        <v>15.079892776049382</v>
      </c>
      <c r="X213" s="9"/>
      <c r="Y213" s="21">
        <v>0.62774700000000005</v>
      </c>
      <c r="Z213" s="21">
        <v>16.049900000000001</v>
      </c>
      <c r="AA213" s="21">
        <v>-1.3516200000000001E-2</v>
      </c>
      <c r="AB213" s="21">
        <v>203</v>
      </c>
      <c r="AC213" s="21">
        <v>0.62707500000000005</v>
      </c>
      <c r="AD213">
        <f t="shared" si="40"/>
        <v>16.686666666666664</v>
      </c>
      <c r="AE213">
        <f t="shared" si="41"/>
        <v>10.47500494</v>
      </c>
      <c r="AF213" s="9"/>
      <c r="AG213" s="21">
        <v>0.92224099999999998</v>
      </c>
      <c r="AH213" s="21">
        <v>19.567</v>
      </c>
      <c r="AI213" s="21">
        <v>-1.3324000000000001E-2</v>
      </c>
      <c r="AJ213" s="21">
        <v>203</v>
      </c>
      <c r="AK213" s="21">
        <v>0.92193599999999998</v>
      </c>
      <c r="AL213">
        <f t="shared" si="42"/>
        <v>16.449382716049382</v>
      </c>
      <c r="AM213">
        <f t="shared" si="43"/>
        <v>15.170295165432098</v>
      </c>
      <c r="AP213" s="9"/>
      <c r="AQ213" s="21">
        <v>0.62774700000000005</v>
      </c>
      <c r="AR213" s="21">
        <v>24.808199999999999</v>
      </c>
      <c r="AS213" s="21">
        <v>-1.35193E-2</v>
      </c>
      <c r="AT213" s="21">
        <v>203</v>
      </c>
      <c r="AU213" s="21">
        <v>0.62701399999999996</v>
      </c>
      <c r="AV213">
        <f t="shared" si="44"/>
        <v>16.690493827160495</v>
      </c>
      <c r="AW213">
        <f t="shared" si="45"/>
        <v>10.47740742851852</v>
      </c>
      <c r="AX213" s="9"/>
      <c r="AY213" s="21">
        <v>0.92224099999999998</v>
      </c>
      <c r="AZ213" s="21">
        <v>28.325299999999999</v>
      </c>
      <c r="BA213" s="21">
        <v>-1.3339200000000001E-2</v>
      </c>
      <c r="BB213" s="21">
        <v>203</v>
      </c>
      <c r="BC213" s="21">
        <v>0.92193599999999998</v>
      </c>
      <c r="BD213">
        <f t="shared" si="46"/>
        <v>16.468148148148149</v>
      </c>
      <c r="BE213">
        <f t="shared" si="47"/>
        <v>15.187601416296296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0.62271100000000001</v>
      </c>
      <c r="H214" s="21">
        <v>7.3008100000000002</v>
      </c>
      <c r="I214" s="21">
        <v>-1.35406E-2</v>
      </c>
      <c r="J214" s="21">
        <v>204</v>
      </c>
      <c r="K214" s="21">
        <v>0.62219199999999997</v>
      </c>
      <c r="L214">
        <f t="shared" si="36"/>
        <v>16.716790123456789</v>
      </c>
      <c r="M214">
        <f t="shared" si="37"/>
        <v>10.409729094567901</v>
      </c>
      <c r="N214" s="9"/>
      <c r="O214" s="21">
        <v>0.92727700000000002</v>
      </c>
      <c r="P214" s="21">
        <v>10.8179</v>
      </c>
      <c r="Q214" s="21">
        <v>-1.32385E-2</v>
      </c>
      <c r="R214" s="21">
        <v>204</v>
      </c>
      <c r="S214" s="21">
        <v>0.92620800000000003</v>
      </c>
      <c r="T214">
        <f t="shared" si="38"/>
        <v>16.343827160493824</v>
      </c>
      <c r="U214">
        <f t="shared" si="39"/>
        <v>15.155255017901231</v>
      </c>
      <c r="X214" s="9"/>
      <c r="Y214" s="21">
        <v>0.62271100000000001</v>
      </c>
      <c r="Z214" s="21">
        <v>16.059999999999999</v>
      </c>
      <c r="AA214" s="21">
        <v>-1.3522299999999999E-2</v>
      </c>
      <c r="AB214" s="21">
        <v>204</v>
      </c>
      <c r="AC214" s="21">
        <v>0.62210100000000002</v>
      </c>
      <c r="AD214">
        <f t="shared" si="40"/>
        <v>16.694197530864194</v>
      </c>
      <c r="AE214">
        <f t="shared" si="41"/>
        <v>10.395660438641974</v>
      </c>
      <c r="AF214" s="9"/>
      <c r="AG214" s="21">
        <v>0.92727700000000002</v>
      </c>
      <c r="AH214" s="21">
        <v>19.577100000000002</v>
      </c>
      <c r="AI214" s="21">
        <v>-1.33148E-2</v>
      </c>
      <c r="AJ214" s="21">
        <v>204</v>
      </c>
      <c r="AK214" s="21">
        <v>0.92651399999999995</v>
      </c>
      <c r="AL214">
        <f t="shared" si="42"/>
        <v>16.438024691358024</v>
      </c>
      <c r="AM214">
        <f t="shared" si="43"/>
        <v>15.242602221728394</v>
      </c>
      <c r="AP214" s="9"/>
      <c r="AQ214" s="21">
        <v>0.62271100000000001</v>
      </c>
      <c r="AR214" s="21">
        <v>24.818200000000001</v>
      </c>
      <c r="AS214" s="21">
        <v>-1.35132E-2</v>
      </c>
      <c r="AT214" s="21">
        <v>204</v>
      </c>
      <c r="AU214" s="21">
        <v>0.62200900000000003</v>
      </c>
      <c r="AV214">
        <f t="shared" si="44"/>
        <v>16.682962962962961</v>
      </c>
      <c r="AW214">
        <f t="shared" si="45"/>
        <v>10.388664549629629</v>
      </c>
      <c r="AX214" s="9"/>
      <c r="AY214" s="21">
        <v>0.92727700000000002</v>
      </c>
      <c r="AZ214" s="21">
        <v>28.3354</v>
      </c>
      <c r="BA214" s="21">
        <v>-1.3327E-2</v>
      </c>
      <c r="BB214" s="21">
        <v>204</v>
      </c>
      <c r="BC214" s="21">
        <v>0.92590300000000003</v>
      </c>
      <c r="BD214">
        <f t="shared" si="46"/>
        <v>16.453086419753085</v>
      </c>
      <c r="BE214">
        <f t="shared" si="47"/>
        <v>15.256568616049382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0.617676</v>
      </c>
      <c r="H215" s="21">
        <v>7.31088</v>
      </c>
      <c r="I215" s="21">
        <v>-1.3549800000000001E-2</v>
      </c>
      <c r="J215" s="21">
        <v>205</v>
      </c>
      <c r="K215" s="21">
        <v>0.617035</v>
      </c>
      <c r="L215">
        <f t="shared" si="36"/>
        <v>16.728148148148147</v>
      </c>
      <c r="M215">
        <f t="shared" si="37"/>
        <v>10.332575635555555</v>
      </c>
      <c r="N215" s="9"/>
      <c r="O215" s="21">
        <v>0.93231200000000003</v>
      </c>
      <c r="P215" s="21">
        <v>10.8279</v>
      </c>
      <c r="Q215" s="21">
        <v>-1.3229400000000001E-2</v>
      </c>
      <c r="R215" s="21">
        <v>205</v>
      </c>
      <c r="S215" s="21">
        <v>0.93170200000000003</v>
      </c>
      <c r="T215">
        <f t="shared" si="38"/>
        <v>16.332592592592594</v>
      </c>
      <c r="U215">
        <f t="shared" si="39"/>
        <v>15.227072065185187</v>
      </c>
      <c r="X215" s="9"/>
      <c r="Y215" s="21">
        <v>0.617676</v>
      </c>
      <c r="Z215" s="21">
        <v>16.0701</v>
      </c>
      <c r="AA215" s="21">
        <v>-1.35193E-2</v>
      </c>
      <c r="AB215" s="21">
        <v>205</v>
      </c>
      <c r="AC215" s="21">
        <v>0.617035</v>
      </c>
      <c r="AD215">
        <f t="shared" si="40"/>
        <v>16.690493827160495</v>
      </c>
      <c r="AE215">
        <f t="shared" si="41"/>
        <v>10.309317465185186</v>
      </c>
      <c r="AF215" s="9"/>
      <c r="AG215" s="21">
        <v>0.93231200000000003</v>
      </c>
      <c r="AH215" s="21">
        <v>19.5871</v>
      </c>
      <c r="AI215" s="21">
        <v>-1.3302599999999999E-2</v>
      </c>
      <c r="AJ215" s="21">
        <v>205</v>
      </c>
      <c r="AK215" s="21">
        <v>0.931396</v>
      </c>
      <c r="AL215">
        <f t="shared" si="42"/>
        <v>16.422962962962963</v>
      </c>
      <c r="AM215">
        <f t="shared" si="43"/>
        <v>15.311325445925926</v>
      </c>
      <c r="AP215" s="9"/>
      <c r="AQ215" s="21">
        <v>0.617676</v>
      </c>
      <c r="AR215" s="21">
        <v>24.828299999999999</v>
      </c>
      <c r="AS215" s="21">
        <v>-1.3516200000000001E-2</v>
      </c>
      <c r="AT215" s="21">
        <v>205</v>
      </c>
      <c r="AU215" s="21">
        <v>0.61706499999999997</v>
      </c>
      <c r="AV215">
        <f t="shared" si="44"/>
        <v>16.686666666666664</v>
      </c>
      <c r="AW215">
        <f t="shared" si="45"/>
        <v>10.306953519999999</v>
      </c>
      <c r="AX215" s="9"/>
      <c r="AY215" s="21">
        <v>0.93231200000000003</v>
      </c>
      <c r="AZ215" s="21">
        <v>28.345400000000001</v>
      </c>
      <c r="BA215" s="21">
        <v>-1.33209E-2</v>
      </c>
      <c r="BB215" s="21">
        <v>205</v>
      </c>
      <c r="BC215" s="21">
        <v>0.931396</v>
      </c>
      <c r="BD215">
        <f t="shared" si="46"/>
        <v>16.445555555555554</v>
      </c>
      <c r="BE215">
        <f t="shared" si="47"/>
        <v>15.332388791111111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0.61263999999999996</v>
      </c>
      <c r="H216" s="21">
        <v>7.3209499999999998</v>
      </c>
      <c r="I216" s="21">
        <v>-1.3546799999999999E-2</v>
      </c>
      <c r="J216" s="21">
        <v>206</v>
      </c>
      <c r="K216" s="21">
        <v>0.61196899999999999</v>
      </c>
      <c r="L216">
        <f t="shared" si="36"/>
        <v>16.72444444444444</v>
      </c>
      <c r="M216">
        <f t="shared" si="37"/>
        <v>10.246063644444442</v>
      </c>
      <c r="N216" s="9"/>
      <c r="O216" s="21">
        <v>0.93734700000000004</v>
      </c>
      <c r="P216" s="21">
        <v>10.837999999999999</v>
      </c>
      <c r="Q216" s="21">
        <v>-1.32263E-2</v>
      </c>
      <c r="R216" s="21">
        <v>206</v>
      </c>
      <c r="S216" s="21">
        <v>0.937195</v>
      </c>
      <c r="T216">
        <f t="shared" si="38"/>
        <v>16.328765432098766</v>
      </c>
      <c r="U216">
        <f t="shared" si="39"/>
        <v>15.305719291481482</v>
      </c>
      <c r="X216" s="9"/>
      <c r="Y216" s="21">
        <v>0.61263999999999996</v>
      </c>
      <c r="Z216" s="21">
        <v>16.080200000000001</v>
      </c>
      <c r="AA216" s="21">
        <v>-1.3522299999999999E-2</v>
      </c>
      <c r="AB216" s="21">
        <v>206</v>
      </c>
      <c r="AC216" s="21">
        <v>0.61196899999999999</v>
      </c>
      <c r="AD216">
        <f t="shared" si="40"/>
        <v>16.694197530864194</v>
      </c>
      <c r="AE216">
        <f t="shared" si="41"/>
        <v>10.22753317530864</v>
      </c>
      <c r="AF216" s="9"/>
      <c r="AG216" s="21">
        <v>0.93734700000000004</v>
      </c>
      <c r="AH216" s="21">
        <v>19.597200000000001</v>
      </c>
      <c r="AI216" s="21">
        <v>-1.32874E-2</v>
      </c>
      <c r="AJ216" s="21">
        <v>206</v>
      </c>
      <c r="AK216" s="21">
        <v>0.93689</v>
      </c>
      <c r="AL216">
        <f t="shared" si="42"/>
        <v>16.404197530864195</v>
      </c>
      <c r="AM216">
        <f t="shared" si="43"/>
        <v>15.376425342962962</v>
      </c>
      <c r="AP216" s="9"/>
      <c r="AQ216" s="21">
        <v>0.61263999999999996</v>
      </c>
      <c r="AR216" s="21">
        <v>24.8384</v>
      </c>
      <c r="AS216" s="21">
        <v>-1.3528399999999999E-2</v>
      </c>
      <c r="AT216" s="21">
        <v>206</v>
      </c>
      <c r="AU216" s="21">
        <v>0.61199999999999999</v>
      </c>
      <c r="AV216">
        <f t="shared" si="44"/>
        <v>16.701728395061725</v>
      </c>
      <c r="AW216">
        <f t="shared" si="45"/>
        <v>10.232146883950614</v>
      </c>
      <c r="AX216" s="9"/>
      <c r="AY216" s="21">
        <v>0.93734700000000004</v>
      </c>
      <c r="AZ216" s="21">
        <v>28.355499999999999</v>
      </c>
      <c r="BA216" s="21">
        <v>-1.3324000000000001E-2</v>
      </c>
      <c r="BB216" s="21">
        <v>206</v>
      </c>
      <c r="BC216" s="21">
        <v>0.93658399999999997</v>
      </c>
      <c r="BD216">
        <f t="shared" si="46"/>
        <v>16.449382716049382</v>
      </c>
      <c r="BE216">
        <f t="shared" si="47"/>
        <v>15.41877954074074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0.60760499999999995</v>
      </c>
      <c r="H217" s="21">
        <v>7.3310199999999996</v>
      </c>
      <c r="I217" s="21">
        <v>-1.3555899999999999E-2</v>
      </c>
      <c r="J217" s="21">
        <v>207</v>
      </c>
      <c r="K217" s="21">
        <v>0.60699499999999995</v>
      </c>
      <c r="L217">
        <f t="shared" si="36"/>
        <v>16.735679012345678</v>
      </c>
      <c r="M217">
        <f t="shared" si="37"/>
        <v>10.168682246296294</v>
      </c>
      <c r="N217" s="9"/>
      <c r="O217" s="21">
        <v>0.94238299999999997</v>
      </c>
      <c r="P217" s="21">
        <v>10.848100000000001</v>
      </c>
      <c r="Q217" s="21">
        <v>-1.32233E-2</v>
      </c>
      <c r="R217" s="21">
        <v>207</v>
      </c>
      <c r="S217" s="21">
        <v>0.94177200000000005</v>
      </c>
      <c r="T217">
        <f t="shared" si="38"/>
        <v>16.32506172839506</v>
      </c>
      <c r="U217">
        <f t="shared" si="39"/>
        <v>15.384460646790121</v>
      </c>
      <c r="X217" s="9"/>
      <c r="Y217" s="21">
        <v>0.60760499999999995</v>
      </c>
      <c r="Z217" s="21">
        <v>16.090199999999999</v>
      </c>
      <c r="AA217" s="21">
        <v>-1.3528399999999999E-2</v>
      </c>
      <c r="AB217" s="21">
        <v>207</v>
      </c>
      <c r="AC217" s="21">
        <v>0.60696399999999995</v>
      </c>
      <c r="AD217">
        <f t="shared" si="40"/>
        <v>16.701728395061725</v>
      </c>
      <c r="AE217">
        <f t="shared" si="41"/>
        <v>10.148053681481478</v>
      </c>
      <c r="AF217" s="9"/>
      <c r="AG217" s="21">
        <v>0.94238299999999997</v>
      </c>
      <c r="AH217" s="21">
        <v>19.607299999999999</v>
      </c>
      <c r="AI217" s="21">
        <v>-1.32782E-2</v>
      </c>
      <c r="AJ217" s="21">
        <v>207</v>
      </c>
      <c r="AK217" s="21">
        <v>0.94085700000000005</v>
      </c>
      <c r="AL217">
        <f t="shared" si="42"/>
        <v>16.392839506172837</v>
      </c>
      <c r="AM217">
        <f t="shared" si="43"/>
        <v>15.448333272345677</v>
      </c>
      <c r="AP217" s="9"/>
      <c r="AQ217" s="21">
        <v>0.60760499999999995</v>
      </c>
      <c r="AR217" s="21">
        <v>24.848400000000002</v>
      </c>
      <c r="AS217" s="21">
        <v>-1.35406E-2</v>
      </c>
      <c r="AT217" s="21">
        <v>207</v>
      </c>
      <c r="AU217" s="21">
        <v>0.60702500000000004</v>
      </c>
      <c r="AV217">
        <f t="shared" si="44"/>
        <v>16.716790123456789</v>
      </c>
      <c r="AW217">
        <f t="shared" si="45"/>
        <v>10.157205262962961</v>
      </c>
      <c r="AX217" s="9"/>
      <c r="AY217" s="21">
        <v>0.94238299999999997</v>
      </c>
      <c r="AZ217" s="21">
        <v>28.365600000000001</v>
      </c>
      <c r="BA217" s="21">
        <v>-1.33209E-2</v>
      </c>
      <c r="BB217" s="21">
        <v>207</v>
      </c>
      <c r="BC217" s="21">
        <v>0.94177200000000005</v>
      </c>
      <c r="BD217">
        <f t="shared" si="46"/>
        <v>16.445555555555554</v>
      </c>
      <c r="BE217">
        <f t="shared" si="47"/>
        <v>15.498011981111109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0.60257000000000005</v>
      </c>
      <c r="H218" s="21">
        <v>7.3410900000000003</v>
      </c>
      <c r="I218" s="21">
        <v>-1.3559E-2</v>
      </c>
      <c r="J218" s="21">
        <v>208</v>
      </c>
      <c r="K218" s="21">
        <v>0.60180699999999998</v>
      </c>
      <c r="L218">
        <f t="shared" si="36"/>
        <v>16.739506172839505</v>
      </c>
      <c r="M218">
        <f t="shared" si="37"/>
        <v>10.086724234567901</v>
      </c>
      <c r="N218" s="9"/>
      <c r="O218" s="21">
        <v>0.94741799999999998</v>
      </c>
      <c r="P218" s="21">
        <v>10.8581</v>
      </c>
      <c r="Q218" s="21">
        <v>-1.32324E-2</v>
      </c>
      <c r="R218" s="21">
        <v>208</v>
      </c>
      <c r="S218" s="21">
        <v>0.94635000000000002</v>
      </c>
      <c r="T218">
        <f t="shared" si="38"/>
        <v>16.336296296296297</v>
      </c>
      <c r="U218">
        <f t="shared" si="39"/>
        <v>15.477301164444444</v>
      </c>
      <c r="X218" s="9"/>
      <c r="Y218" s="21">
        <v>0.60257000000000005</v>
      </c>
      <c r="Z218" s="21">
        <v>16.100300000000001</v>
      </c>
      <c r="AA218" s="21">
        <v>-1.35406E-2</v>
      </c>
      <c r="AB218" s="21">
        <v>208</v>
      </c>
      <c r="AC218" s="21">
        <v>0.60189800000000004</v>
      </c>
      <c r="AD218">
        <f t="shared" si="40"/>
        <v>16.716790123456789</v>
      </c>
      <c r="AE218">
        <f t="shared" si="41"/>
        <v>10.073036224691359</v>
      </c>
      <c r="AF218" s="9"/>
      <c r="AG218" s="21">
        <v>0.94741799999999998</v>
      </c>
      <c r="AH218" s="21">
        <v>19.6174</v>
      </c>
      <c r="AI218" s="21">
        <v>-1.3269E-2</v>
      </c>
      <c r="AJ218" s="21">
        <v>208</v>
      </c>
      <c r="AK218" s="21">
        <v>0.94696000000000002</v>
      </c>
      <c r="AL218">
        <f t="shared" si="42"/>
        <v>16.38148148148148</v>
      </c>
      <c r="AM218">
        <f t="shared" si="43"/>
        <v>15.520110422222221</v>
      </c>
      <c r="AP218" s="9"/>
      <c r="AQ218" s="21">
        <v>0.60257000000000005</v>
      </c>
      <c r="AR218" s="21">
        <v>24.858499999999999</v>
      </c>
      <c r="AS218" s="21">
        <v>-1.3546799999999999E-2</v>
      </c>
      <c r="AT218" s="21">
        <v>208</v>
      </c>
      <c r="AU218" s="21">
        <v>0.60189800000000004</v>
      </c>
      <c r="AV218">
        <f t="shared" si="44"/>
        <v>16.72444444444444</v>
      </c>
      <c r="AW218">
        <f t="shared" si="45"/>
        <v>10.077648488888887</v>
      </c>
      <c r="AX218" s="9"/>
      <c r="AY218" s="21">
        <v>0.94741799999999998</v>
      </c>
      <c r="AZ218" s="21">
        <v>28.375699999999998</v>
      </c>
      <c r="BA218" s="21">
        <v>-1.3324000000000001E-2</v>
      </c>
      <c r="BB218" s="21">
        <v>208</v>
      </c>
      <c r="BC218" s="21">
        <v>0.94635000000000002</v>
      </c>
      <c r="BD218">
        <f t="shared" si="46"/>
        <v>16.449382716049382</v>
      </c>
      <c r="BE218">
        <f t="shared" si="47"/>
        <v>15.584441274074072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0.59753400000000001</v>
      </c>
      <c r="H219" s="21">
        <v>7.3511600000000001</v>
      </c>
      <c r="I219" s="21">
        <v>-1.35773E-2</v>
      </c>
      <c r="J219" s="21">
        <v>209</v>
      </c>
      <c r="K219" s="21">
        <v>0.59689300000000001</v>
      </c>
      <c r="L219">
        <f t="shared" si="36"/>
        <v>16.7620987654321</v>
      </c>
      <c r="M219">
        <f t="shared" si="37"/>
        <v>10.015923923703705</v>
      </c>
      <c r="N219" s="9"/>
      <c r="O219" s="21">
        <v>0.95245400000000002</v>
      </c>
      <c r="P219" s="21">
        <v>10.8682</v>
      </c>
      <c r="Q219" s="21">
        <v>-1.32324E-2</v>
      </c>
      <c r="R219" s="21">
        <v>209</v>
      </c>
      <c r="S219" s="21">
        <v>0.951233</v>
      </c>
      <c r="T219">
        <f t="shared" si="38"/>
        <v>16.336296296296297</v>
      </c>
      <c r="U219">
        <f t="shared" si="39"/>
        <v>15.559570752592593</v>
      </c>
      <c r="X219" s="9"/>
      <c r="Y219" s="21">
        <v>0.59753400000000001</v>
      </c>
      <c r="Z219" s="21">
        <v>16.110399999999998</v>
      </c>
      <c r="AA219" s="21">
        <v>-1.35406E-2</v>
      </c>
      <c r="AB219" s="21">
        <v>209</v>
      </c>
      <c r="AC219" s="21">
        <v>0.59680200000000005</v>
      </c>
      <c r="AD219">
        <f t="shared" si="40"/>
        <v>16.716790123456789</v>
      </c>
      <c r="AE219">
        <f t="shared" si="41"/>
        <v>9.9888504696296287</v>
      </c>
      <c r="AF219" s="9"/>
      <c r="AG219" s="21">
        <v>0.95245400000000002</v>
      </c>
      <c r="AH219" s="21">
        <v>19.627400000000002</v>
      </c>
      <c r="AI219" s="21">
        <v>-1.32538E-2</v>
      </c>
      <c r="AJ219" s="21">
        <v>209</v>
      </c>
      <c r="AK219" s="21">
        <v>0.950928</v>
      </c>
      <c r="AL219">
        <f t="shared" si="42"/>
        <v>16.362716049382716</v>
      </c>
      <c r="AM219">
        <f t="shared" si="43"/>
        <v>15.584734352098765</v>
      </c>
      <c r="AP219" s="9"/>
      <c r="AQ219" s="21">
        <v>0.59753400000000001</v>
      </c>
      <c r="AR219" s="21">
        <v>24.868600000000001</v>
      </c>
      <c r="AS219" s="21">
        <v>-1.3546799999999999E-2</v>
      </c>
      <c r="AT219" s="21">
        <v>209</v>
      </c>
      <c r="AU219" s="21">
        <v>0.59689300000000001</v>
      </c>
      <c r="AV219">
        <f t="shared" si="44"/>
        <v>16.72444444444444</v>
      </c>
      <c r="AW219">
        <f t="shared" si="45"/>
        <v>9.9934241866666653</v>
      </c>
      <c r="AX219" s="9"/>
      <c r="AY219" s="21">
        <v>0.95245400000000002</v>
      </c>
      <c r="AZ219" s="21">
        <v>28.3857</v>
      </c>
      <c r="BA219" s="21">
        <v>-1.33148E-2</v>
      </c>
      <c r="BB219" s="21">
        <v>209</v>
      </c>
      <c r="BC219" s="21">
        <v>0.95153799999999999</v>
      </c>
      <c r="BD219">
        <f t="shared" si="46"/>
        <v>16.438024691358024</v>
      </c>
      <c r="BE219">
        <f t="shared" si="47"/>
        <v>15.656462369382716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0.592499</v>
      </c>
      <c r="H220" s="21">
        <v>7.3612299999999999</v>
      </c>
      <c r="I220" s="21">
        <v>-1.3598600000000001E-2</v>
      </c>
      <c r="J220" s="21">
        <v>210</v>
      </c>
      <c r="K220" s="21">
        <v>0.59197999999999995</v>
      </c>
      <c r="L220">
        <f t="shared" si="36"/>
        <v>16.788395061728394</v>
      </c>
      <c r="M220">
        <f t="shared" si="37"/>
        <v>9.9471072856790119</v>
      </c>
      <c r="N220" s="9"/>
      <c r="O220" s="21">
        <v>0.95748900000000003</v>
      </c>
      <c r="P220" s="21">
        <v>10.878299999999999</v>
      </c>
      <c r="Q220" s="21">
        <v>-1.32263E-2</v>
      </c>
      <c r="R220" s="21">
        <v>210</v>
      </c>
      <c r="S220" s="21">
        <v>0.95672599999999997</v>
      </c>
      <c r="T220">
        <f t="shared" si="38"/>
        <v>16.328765432098766</v>
      </c>
      <c r="U220">
        <f t="shared" si="39"/>
        <v>15.634613284814817</v>
      </c>
      <c r="X220" s="9"/>
      <c r="Y220" s="21">
        <v>0.592499</v>
      </c>
      <c r="Z220" s="21">
        <v>16.1204</v>
      </c>
      <c r="AA220" s="21">
        <v>-1.35345E-2</v>
      </c>
      <c r="AB220" s="21">
        <v>210</v>
      </c>
      <c r="AC220" s="21">
        <v>0.59191899999999997</v>
      </c>
      <c r="AD220">
        <f t="shared" si="40"/>
        <v>16.709259259259255</v>
      </c>
      <c r="AE220">
        <f t="shared" si="41"/>
        <v>9.9002194018518495</v>
      </c>
      <c r="AF220" s="9"/>
      <c r="AG220" s="21">
        <v>0.95748900000000003</v>
      </c>
      <c r="AH220" s="21">
        <v>19.637499999999999</v>
      </c>
      <c r="AI220" s="21">
        <v>-1.32446E-2</v>
      </c>
      <c r="AJ220" s="21">
        <v>210</v>
      </c>
      <c r="AK220" s="21">
        <v>0.95672599999999997</v>
      </c>
      <c r="AL220">
        <f t="shared" si="42"/>
        <v>16.351358024691358</v>
      </c>
      <c r="AM220">
        <f t="shared" si="43"/>
        <v>15.656245443703703</v>
      </c>
      <c r="AP220" s="9"/>
      <c r="AQ220" s="21">
        <v>0.592499</v>
      </c>
      <c r="AR220" s="21">
        <v>24.878699999999998</v>
      </c>
      <c r="AS220" s="21">
        <v>-1.3555899999999999E-2</v>
      </c>
      <c r="AT220" s="21">
        <v>210</v>
      </c>
      <c r="AU220" s="21">
        <v>0.591858</v>
      </c>
      <c r="AV220">
        <f t="shared" si="44"/>
        <v>16.735679012345678</v>
      </c>
      <c r="AW220">
        <f t="shared" si="45"/>
        <v>9.9158730791358014</v>
      </c>
      <c r="AX220" s="9"/>
      <c r="AY220" s="21">
        <v>0.95748900000000003</v>
      </c>
      <c r="AZ220" s="21">
        <v>28.395800000000001</v>
      </c>
      <c r="BA220" s="21">
        <v>-1.33118E-2</v>
      </c>
      <c r="BB220" s="21">
        <v>210</v>
      </c>
      <c r="BC220" s="21">
        <v>0.95703099999999997</v>
      </c>
      <c r="BD220">
        <f t="shared" si="46"/>
        <v>16.434320987654321</v>
      </c>
      <c r="BE220">
        <f t="shared" si="47"/>
        <v>15.735681568148149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0.58746299999999996</v>
      </c>
      <c r="H221" s="21">
        <v>7.3712999999999997</v>
      </c>
      <c r="I221" s="21">
        <v>-1.36078E-2</v>
      </c>
      <c r="J221" s="21">
        <v>211</v>
      </c>
      <c r="K221" s="21">
        <v>0.58679199999999998</v>
      </c>
      <c r="L221">
        <f t="shared" si="36"/>
        <v>16.799753086419752</v>
      </c>
      <c r="M221">
        <f t="shared" si="37"/>
        <v>9.8692333474074054</v>
      </c>
      <c r="N221" s="9"/>
      <c r="O221" s="21">
        <v>0.96252400000000005</v>
      </c>
      <c r="P221" s="21">
        <v>10.888400000000001</v>
      </c>
      <c r="Q221" s="21">
        <v>-1.32202E-2</v>
      </c>
      <c r="R221" s="21">
        <v>211</v>
      </c>
      <c r="S221" s="21">
        <v>0.96130400000000005</v>
      </c>
      <c r="T221">
        <f t="shared" si="38"/>
        <v>16.321234567901232</v>
      </c>
      <c r="U221">
        <f t="shared" si="39"/>
        <v>15.709579981234567</v>
      </c>
      <c r="X221" s="9"/>
      <c r="Y221" s="21">
        <v>0.58746299999999996</v>
      </c>
      <c r="Z221" s="21">
        <v>16.130500000000001</v>
      </c>
      <c r="AA221" s="21">
        <v>-1.35345E-2</v>
      </c>
      <c r="AB221" s="21">
        <v>211</v>
      </c>
      <c r="AC221" s="21">
        <v>0.58682299999999998</v>
      </c>
      <c r="AD221">
        <f t="shared" si="40"/>
        <v>16.709259259259255</v>
      </c>
      <c r="AE221">
        <f t="shared" si="41"/>
        <v>9.8160715722222189</v>
      </c>
      <c r="AF221" s="9"/>
      <c r="AG221" s="21">
        <v>0.96252400000000005</v>
      </c>
      <c r="AH221" s="21">
        <v>19.647600000000001</v>
      </c>
      <c r="AI221" s="21">
        <v>-1.32446E-2</v>
      </c>
      <c r="AJ221" s="21">
        <v>211</v>
      </c>
      <c r="AK221" s="21">
        <v>0.96130400000000005</v>
      </c>
      <c r="AL221">
        <f t="shared" si="42"/>
        <v>16.351358024691358</v>
      </c>
      <c r="AM221">
        <f t="shared" si="43"/>
        <v>15.738574531358026</v>
      </c>
      <c r="AP221" s="9"/>
      <c r="AQ221" s="21">
        <v>0.58746299999999996</v>
      </c>
      <c r="AR221" s="21">
        <v>24.8887</v>
      </c>
      <c r="AS221" s="21">
        <v>-1.35529E-2</v>
      </c>
      <c r="AT221" s="21">
        <v>211</v>
      </c>
      <c r="AU221" s="21">
        <v>0.58667000000000002</v>
      </c>
      <c r="AV221">
        <f t="shared" si="44"/>
        <v>16.731975308641974</v>
      </c>
      <c r="AW221">
        <f t="shared" si="45"/>
        <v>9.8294164107407394</v>
      </c>
      <c r="AX221" s="9"/>
      <c r="AY221" s="21">
        <v>0.96252400000000005</v>
      </c>
      <c r="AZ221" s="21">
        <v>28.405899999999999</v>
      </c>
      <c r="BA221" s="21">
        <v>-1.3302599999999999E-2</v>
      </c>
      <c r="BB221" s="21">
        <v>211</v>
      </c>
      <c r="BC221" s="21">
        <v>0.96130400000000005</v>
      </c>
      <c r="BD221">
        <f t="shared" si="46"/>
        <v>16.422962962962963</v>
      </c>
      <c r="BE221">
        <f t="shared" si="47"/>
        <v>15.807496002962964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0.58242799999999995</v>
      </c>
      <c r="H222" s="21">
        <v>7.3813800000000001</v>
      </c>
      <c r="I222" s="21">
        <v>-1.362E-2</v>
      </c>
      <c r="J222" s="21">
        <v>212</v>
      </c>
      <c r="K222" s="21">
        <v>0.58181799999999995</v>
      </c>
      <c r="L222">
        <f t="shared" si="36"/>
        <v>16.814814814814813</v>
      </c>
      <c r="M222">
        <f t="shared" si="37"/>
        <v>9.7934189629629618</v>
      </c>
      <c r="N222" s="9"/>
      <c r="O222" s="21">
        <v>0.96755999999999998</v>
      </c>
      <c r="P222" s="21">
        <v>10.898400000000001</v>
      </c>
      <c r="Q222" s="21">
        <v>-1.3207999999999999E-2</v>
      </c>
      <c r="R222" s="21">
        <v>212</v>
      </c>
      <c r="S222" s="21">
        <v>0.96649200000000002</v>
      </c>
      <c r="T222">
        <f t="shared" si="38"/>
        <v>16.306172839506171</v>
      </c>
      <c r="U222">
        <f t="shared" si="39"/>
        <v>15.777200592592591</v>
      </c>
      <c r="X222" s="9"/>
      <c r="Y222" s="21">
        <v>0.58242799999999995</v>
      </c>
      <c r="Z222" s="21">
        <v>16.140599999999999</v>
      </c>
      <c r="AA222" s="21">
        <v>-1.3528399999999999E-2</v>
      </c>
      <c r="AB222" s="21">
        <v>212</v>
      </c>
      <c r="AC222" s="21">
        <v>0.58175699999999997</v>
      </c>
      <c r="AD222">
        <f t="shared" si="40"/>
        <v>16.701728395061725</v>
      </c>
      <c r="AE222">
        <f t="shared" si="41"/>
        <v>9.727554265679009</v>
      </c>
      <c r="AF222" s="9"/>
      <c r="AG222" s="21">
        <v>0.96755999999999998</v>
      </c>
      <c r="AH222" s="21">
        <v>19.657599999999999</v>
      </c>
      <c r="AI222" s="21">
        <v>-1.3241599999999999E-2</v>
      </c>
      <c r="AJ222" s="21">
        <v>212</v>
      </c>
      <c r="AK222" s="21">
        <v>0.96679700000000002</v>
      </c>
      <c r="AL222">
        <f t="shared" si="42"/>
        <v>16.347654320987651</v>
      </c>
      <c r="AM222">
        <f t="shared" si="43"/>
        <v>15.817336414814811</v>
      </c>
      <c r="AP222" s="9"/>
      <c r="AQ222" s="21">
        <v>0.58242799999999995</v>
      </c>
      <c r="AR222" s="21">
        <v>24.898800000000001</v>
      </c>
      <c r="AS222" s="21">
        <v>-1.3549800000000001E-2</v>
      </c>
      <c r="AT222" s="21">
        <v>212</v>
      </c>
      <c r="AU222" s="21">
        <v>0.58169599999999999</v>
      </c>
      <c r="AV222">
        <f t="shared" si="44"/>
        <v>16.728148148148147</v>
      </c>
      <c r="AW222">
        <f t="shared" si="45"/>
        <v>9.7429418696296288</v>
      </c>
      <c r="AX222" s="9"/>
      <c r="AY222" s="21">
        <v>0.96755999999999998</v>
      </c>
      <c r="AZ222" s="21">
        <v>28.415900000000001</v>
      </c>
      <c r="BA222" s="21">
        <v>-1.32996E-2</v>
      </c>
      <c r="BB222" s="21">
        <v>212</v>
      </c>
      <c r="BC222" s="21">
        <v>0.96649200000000002</v>
      </c>
      <c r="BD222">
        <f t="shared" si="46"/>
        <v>16.41925925925926</v>
      </c>
      <c r="BE222">
        <f t="shared" si="47"/>
        <v>15.886618488888889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0.57739300000000005</v>
      </c>
      <c r="H223" s="21">
        <v>7.3914499999999999</v>
      </c>
      <c r="I223" s="21">
        <v>-1.3629199999999999E-2</v>
      </c>
      <c r="J223" s="21">
        <v>213</v>
      </c>
      <c r="K223" s="21">
        <v>0.57669099999999995</v>
      </c>
      <c r="L223">
        <f t="shared" si="36"/>
        <v>16.826172839506171</v>
      </c>
      <c r="M223">
        <f t="shared" si="37"/>
        <v>9.7153144143209875</v>
      </c>
      <c r="N223" s="9"/>
      <c r="O223" s="21">
        <v>0.97259499999999999</v>
      </c>
      <c r="P223" s="21">
        <v>10.9085</v>
      </c>
      <c r="Q223" s="21">
        <v>-1.31989E-2</v>
      </c>
      <c r="R223" s="21">
        <v>213</v>
      </c>
      <c r="S223" s="21">
        <v>0.97198499999999999</v>
      </c>
      <c r="T223">
        <f t="shared" si="38"/>
        <v>16.294938271604938</v>
      </c>
      <c r="U223">
        <f t="shared" si="39"/>
        <v>15.848375488271603</v>
      </c>
      <c r="X223" s="9"/>
      <c r="Y223" s="21">
        <v>0.57739300000000005</v>
      </c>
      <c r="Z223" s="21">
        <v>16.150700000000001</v>
      </c>
      <c r="AA223" s="21">
        <v>-1.3528399999999999E-2</v>
      </c>
      <c r="AB223" s="21">
        <v>213</v>
      </c>
      <c r="AC223" s="21">
        <v>0.57678200000000002</v>
      </c>
      <c r="AD223">
        <f t="shared" si="40"/>
        <v>16.701728395061725</v>
      </c>
      <c r="AE223">
        <f t="shared" si="41"/>
        <v>9.643461063209875</v>
      </c>
      <c r="AF223" s="9"/>
      <c r="AG223" s="21">
        <v>0.97259499999999999</v>
      </c>
      <c r="AH223" s="21">
        <v>19.6677</v>
      </c>
      <c r="AI223" s="21">
        <v>-1.32324E-2</v>
      </c>
      <c r="AJ223" s="21">
        <v>213</v>
      </c>
      <c r="AK223" s="21">
        <v>0.97198499999999999</v>
      </c>
      <c r="AL223">
        <f t="shared" si="42"/>
        <v>16.336296296296297</v>
      </c>
      <c r="AM223">
        <f t="shared" si="43"/>
        <v>15.888600096296296</v>
      </c>
      <c r="AP223" s="9"/>
      <c r="AQ223" s="21">
        <v>0.57739300000000005</v>
      </c>
      <c r="AR223" s="21">
        <v>24.908899999999999</v>
      </c>
      <c r="AS223" s="21">
        <v>-1.35529E-2</v>
      </c>
      <c r="AT223" s="21">
        <v>213</v>
      </c>
      <c r="AU223" s="21">
        <v>0.57665999999999995</v>
      </c>
      <c r="AV223">
        <f t="shared" si="44"/>
        <v>16.731975308641974</v>
      </c>
      <c r="AW223">
        <f t="shared" si="45"/>
        <v>9.6609254193827159</v>
      </c>
      <c r="AX223" s="9"/>
      <c r="AY223" s="21">
        <v>0.97259499999999999</v>
      </c>
      <c r="AZ223" s="21">
        <v>28.425999999999998</v>
      </c>
      <c r="BA223" s="21">
        <v>-1.3296499999999999E-2</v>
      </c>
      <c r="BB223" s="21">
        <v>213</v>
      </c>
      <c r="BC223" s="21">
        <v>0.97106899999999996</v>
      </c>
      <c r="BD223">
        <f t="shared" si="46"/>
        <v>16.415432098765429</v>
      </c>
      <c r="BE223">
        <f t="shared" si="47"/>
        <v>15.965567182098763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0.572357</v>
      </c>
      <c r="H224" s="21">
        <v>7.4015199999999997</v>
      </c>
      <c r="I224" s="21">
        <v>-1.3638300000000001E-2</v>
      </c>
      <c r="J224" s="21">
        <v>214</v>
      </c>
      <c r="K224" s="21">
        <v>0.57162500000000005</v>
      </c>
      <c r="L224">
        <f t="shared" si="36"/>
        <v>16.837407407407408</v>
      </c>
      <c r="M224">
        <f t="shared" si="37"/>
        <v>9.6370079914814823</v>
      </c>
      <c r="N224" s="9"/>
      <c r="O224" s="21">
        <v>0.97763100000000003</v>
      </c>
      <c r="P224" s="21">
        <v>10.9186</v>
      </c>
      <c r="Q224" s="21">
        <v>-1.31866E-2</v>
      </c>
      <c r="R224" s="21">
        <v>214</v>
      </c>
      <c r="S224" s="21">
        <v>0.97625700000000004</v>
      </c>
      <c r="T224">
        <f t="shared" si="38"/>
        <v>16.279753086419749</v>
      </c>
      <c r="U224">
        <f t="shared" si="39"/>
        <v>15.915591289629626</v>
      </c>
      <c r="X224" s="9"/>
      <c r="Y224" s="21">
        <v>0.572357</v>
      </c>
      <c r="Z224" s="21">
        <v>16.160699999999999</v>
      </c>
      <c r="AA224" s="21">
        <v>-1.35345E-2</v>
      </c>
      <c r="AB224" s="21">
        <v>214</v>
      </c>
      <c r="AC224" s="21">
        <v>0.57168600000000003</v>
      </c>
      <c r="AD224">
        <f t="shared" si="40"/>
        <v>16.709259259259255</v>
      </c>
      <c r="AE224">
        <f t="shared" si="41"/>
        <v>9.5636615018518505</v>
      </c>
      <c r="AF224" s="9"/>
      <c r="AG224" s="21">
        <v>0.97763100000000003</v>
      </c>
      <c r="AH224" s="21">
        <v>19.677800000000001</v>
      </c>
      <c r="AI224" s="21">
        <v>-1.3229400000000001E-2</v>
      </c>
      <c r="AJ224" s="21">
        <v>214</v>
      </c>
      <c r="AK224" s="21">
        <v>0.97656299999999996</v>
      </c>
      <c r="AL224">
        <f t="shared" si="42"/>
        <v>16.332592592592594</v>
      </c>
      <c r="AM224">
        <f t="shared" si="43"/>
        <v>15.96724882888889</v>
      </c>
      <c r="AP224" s="9"/>
      <c r="AQ224" s="21">
        <v>0.572357</v>
      </c>
      <c r="AR224" s="21">
        <v>24.918900000000001</v>
      </c>
      <c r="AS224" s="21">
        <v>-1.3549800000000001E-2</v>
      </c>
      <c r="AT224" s="21">
        <v>214</v>
      </c>
      <c r="AU224" s="21">
        <v>0.57162500000000005</v>
      </c>
      <c r="AV224">
        <f t="shared" si="44"/>
        <v>16.728148148148147</v>
      </c>
      <c r="AW224">
        <f t="shared" si="45"/>
        <v>9.5744726896296299</v>
      </c>
      <c r="AX224" s="9"/>
      <c r="AY224" s="21">
        <v>0.97763100000000003</v>
      </c>
      <c r="AZ224" s="21">
        <v>28.4361</v>
      </c>
      <c r="BA224" s="21">
        <v>-1.3284300000000001E-2</v>
      </c>
      <c r="BB224" s="21">
        <v>214</v>
      </c>
      <c r="BC224" s="21">
        <v>0.97625700000000004</v>
      </c>
      <c r="BD224">
        <f t="shared" si="46"/>
        <v>16.400370370370371</v>
      </c>
      <c r="BE224">
        <f t="shared" si="47"/>
        <v>16.033510485555556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0.56732199999999999</v>
      </c>
      <c r="H225" s="21">
        <v>7.4115900000000003</v>
      </c>
      <c r="I225" s="21">
        <v>-1.36414E-2</v>
      </c>
      <c r="J225" s="21">
        <v>215</v>
      </c>
      <c r="K225" s="21">
        <v>0.56668099999999999</v>
      </c>
      <c r="L225">
        <f t="shared" si="36"/>
        <v>16.841234567901232</v>
      </c>
      <c r="M225">
        <f t="shared" si="37"/>
        <v>9.5544028775308618</v>
      </c>
      <c r="N225" s="9"/>
      <c r="O225" s="21">
        <v>0.98266600000000004</v>
      </c>
      <c r="P225" s="21">
        <v>10.928599999999999</v>
      </c>
      <c r="Q225" s="21">
        <v>-1.31775E-2</v>
      </c>
      <c r="R225" s="21">
        <v>215</v>
      </c>
      <c r="S225" s="21">
        <v>0.98144500000000001</v>
      </c>
      <c r="T225">
        <f t="shared" si="38"/>
        <v>16.268518518518519</v>
      </c>
      <c r="U225">
        <f t="shared" si="39"/>
        <v>15.986520018518521</v>
      </c>
      <c r="X225" s="9"/>
      <c r="Y225" s="21">
        <v>0.56732199999999999</v>
      </c>
      <c r="Z225" s="21">
        <v>16.1708</v>
      </c>
      <c r="AA225" s="21">
        <v>-1.35529E-2</v>
      </c>
      <c r="AB225" s="21">
        <v>215</v>
      </c>
      <c r="AC225" s="21">
        <v>0.56671099999999996</v>
      </c>
      <c r="AD225">
        <f t="shared" si="40"/>
        <v>16.731975308641974</v>
      </c>
      <c r="AE225">
        <f t="shared" si="41"/>
        <v>9.4924176960493813</v>
      </c>
      <c r="AF225" s="9"/>
      <c r="AG225" s="21">
        <v>0.98266600000000004</v>
      </c>
      <c r="AH225" s="21">
        <v>19.687899999999999</v>
      </c>
      <c r="AI225" s="21">
        <v>-1.32233E-2</v>
      </c>
      <c r="AJ225" s="21">
        <v>215</v>
      </c>
      <c r="AK225" s="21">
        <v>0.98144500000000001</v>
      </c>
      <c r="AL225">
        <f t="shared" si="42"/>
        <v>16.32506172839506</v>
      </c>
      <c r="AM225">
        <f t="shared" si="43"/>
        <v>16.042083108395062</v>
      </c>
      <c r="AP225" s="9"/>
      <c r="AQ225" s="21">
        <v>0.56732199999999999</v>
      </c>
      <c r="AR225" s="21">
        <v>24.928999999999998</v>
      </c>
      <c r="AS225" s="21">
        <v>-1.35529E-2</v>
      </c>
      <c r="AT225" s="21">
        <v>215</v>
      </c>
      <c r="AU225" s="21">
        <v>0.56668099999999999</v>
      </c>
      <c r="AV225">
        <f t="shared" si="44"/>
        <v>16.731975308641974</v>
      </c>
      <c r="AW225">
        <f t="shared" si="45"/>
        <v>9.4924176960493813</v>
      </c>
      <c r="AX225" s="9"/>
      <c r="AY225" s="21">
        <v>0.98266600000000004</v>
      </c>
      <c r="AZ225" s="21">
        <v>28.446200000000001</v>
      </c>
      <c r="BA225" s="21">
        <v>-1.32874E-2</v>
      </c>
      <c r="BB225" s="21">
        <v>215</v>
      </c>
      <c r="BC225" s="21">
        <v>0.98114000000000001</v>
      </c>
      <c r="BD225">
        <f t="shared" si="46"/>
        <v>16.404197530864195</v>
      </c>
      <c r="BE225">
        <f t="shared" si="47"/>
        <v>16.119847170864197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0.56228599999999995</v>
      </c>
      <c r="H226" s="21">
        <v>7.4216600000000001</v>
      </c>
      <c r="I226" s="21">
        <v>-1.3632200000000001E-2</v>
      </c>
      <c r="J226" s="21">
        <v>216</v>
      </c>
      <c r="K226" s="21">
        <v>0.56173700000000004</v>
      </c>
      <c r="L226">
        <f t="shared" si="36"/>
        <v>16.829876543209878</v>
      </c>
      <c r="M226">
        <f t="shared" si="37"/>
        <v>9.4632039619753083</v>
      </c>
      <c r="N226" s="9"/>
      <c r="O226" s="21">
        <v>0.98770100000000005</v>
      </c>
      <c r="P226" s="21">
        <v>10.938700000000001</v>
      </c>
      <c r="Q226" s="21">
        <v>-1.31805E-2</v>
      </c>
      <c r="R226" s="21">
        <v>216</v>
      </c>
      <c r="S226" s="21">
        <v>0.98724400000000001</v>
      </c>
      <c r="T226">
        <f t="shared" si="38"/>
        <v>16.272222222222219</v>
      </c>
      <c r="U226">
        <f t="shared" si="39"/>
        <v>16.07209016111111</v>
      </c>
      <c r="X226" s="9"/>
      <c r="Y226" s="21">
        <v>0.56228599999999995</v>
      </c>
      <c r="Z226" s="21">
        <v>16.180900000000001</v>
      </c>
      <c r="AA226" s="21">
        <v>-1.35681E-2</v>
      </c>
      <c r="AB226" s="21">
        <v>216</v>
      </c>
      <c r="AC226" s="21">
        <v>0.56161499999999998</v>
      </c>
      <c r="AD226">
        <f t="shared" si="40"/>
        <v>16.750740740740738</v>
      </c>
      <c r="AE226">
        <f t="shared" si="41"/>
        <v>9.4187070081481465</v>
      </c>
      <c r="AF226" s="9"/>
      <c r="AG226" s="21">
        <v>0.98770100000000005</v>
      </c>
      <c r="AH226" s="21">
        <v>19.697900000000001</v>
      </c>
      <c r="AI226" s="21">
        <v>-1.32202E-2</v>
      </c>
      <c r="AJ226" s="21">
        <v>216</v>
      </c>
      <c r="AK226" s="21">
        <v>0.98693799999999998</v>
      </c>
      <c r="AL226">
        <f t="shared" si="42"/>
        <v>16.321234567901232</v>
      </c>
      <c r="AM226">
        <f t="shared" si="43"/>
        <v>16.120499703950617</v>
      </c>
      <c r="AP226" s="9"/>
      <c r="AQ226" s="21">
        <v>0.56228599999999995</v>
      </c>
      <c r="AR226" s="21">
        <v>24.9391</v>
      </c>
      <c r="AS226" s="21">
        <v>-1.3546799999999999E-2</v>
      </c>
      <c r="AT226" s="21">
        <v>216</v>
      </c>
      <c r="AU226" s="21">
        <v>0.56170699999999996</v>
      </c>
      <c r="AV226">
        <f t="shared" si="44"/>
        <v>16.72444444444444</v>
      </c>
      <c r="AW226">
        <f t="shared" si="45"/>
        <v>9.4039209688888867</v>
      </c>
      <c r="AX226" s="9"/>
      <c r="AY226" s="21">
        <v>0.98770100000000005</v>
      </c>
      <c r="AZ226" s="21">
        <v>28.456199999999999</v>
      </c>
      <c r="BA226" s="21">
        <v>-1.3284300000000001E-2</v>
      </c>
      <c r="BB226" s="21">
        <v>216</v>
      </c>
      <c r="BC226" s="21">
        <v>0.98602299999999998</v>
      </c>
      <c r="BD226">
        <f t="shared" si="46"/>
        <v>16.400370370370371</v>
      </c>
      <c r="BE226">
        <f t="shared" si="47"/>
        <v>16.198662215185188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0.55725100000000005</v>
      </c>
      <c r="H227" s="21">
        <v>7.4317299999999999</v>
      </c>
      <c r="I227" s="21">
        <v>-1.36139E-2</v>
      </c>
      <c r="J227" s="21">
        <v>217</v>
      </c>
      <c r="K227" s="21">
        <v>0.55670200000000003</v>
      </c>
      <c r="L227">
        <f t="shared" si="36"/>
        <v>16.807283950617283</v>
      </c>
      <c r="M227">
        <f t="shared" si="37"/>
        <v>9.3658757887654325</v>
      </c>
      <c r="N227" s="9"/>
      <c r="O227" s="21">
        <v>0.99273699999999998</v>
      </c>
      <c r="P227" s="21">
        <v>10.9488</v>
      </c>
      <c r="Q227" s="21">
        <v>-1.31897E-2</v>
      </c>
      <c r="R227" s="21">
        <v>217</v>
      </c>
      <c r="S227" s="21">
        <v>0.99212599999999995</v>
      </c>
      <c r="T227">
        <f t="shared" si="38"/>
        <v>16.28358024691358</v>
      </c>
      <c r="U227">
        <f t="shared" si="39"/>
        <v>16.165312603580247</v>
      </c>
      <c r="X227" s="9"/>
      <c r="Y227" s="21">
        <v>0.55725100000000005</v>
      </c>
      <c r="Z227" s="21">
        <v>16.190899999999999</v>
      </c>
      <c r="AA227" s="21">
        <v>-1.35681E-2</v>
      </c>
      <c r="AB227" s="21">
        <v>217</v>
      </c>
      <c r="AC227" s="21">
        <v>0.55654899999999996</v>
      </c>
      <c r="AD227">
        <f t="shared" si="40"/>
        <v>16.750740740740738</v>
      </c>
      <c r="AE227">
        <f t="shared" si="41"/>
        <v>9.3343670285185176</v>
      </c>
      <c r="AF227" s="9"/>
      <c r="AG227" s="21">
        <v>0.99273699999999998</v>
      </c>
      <c r="AH227" s="21">
        <v>19.707999999999998</v>
      </c>
      <c r="AI227" s="21">
        <v>-1.32202E-2</v>
      </c>
      <c r="AJ227" s="21">
        <v>217</v>
      </c>
      <c r="AK227" s="21">
        <v>0.99121099999999995</v>
      </c>
      <c r="AL227">
        <f t="shared" si="42"/>
        <v>16.321234567901232</v>
      </c>
      <c r="AM227">
        <f t="shared" si="43"/>
        <v>16.202693441234565</v>
      </c>
      <c r="AP227" s="9"/>
      <c r="AQ227" s="21">
        <v>0.55725100000000005</v>
      </c>
      <c r="AR227" s="21">
        <v>24.949200000000001</v>
      </c>
      <c r="AS227" s="21">
        <v>-1.35529E-2</v>
      </c>
      <c r="AT227" s="21">
        <v>217</v>
      </c>
      <c r="AU227" s="21">
        <v>0.55654899999999996</v>
      </c>
      <c r="AV227">
        <f t="shared" si="44"/>
        <v>16.731975308641974</v>
      </c>
      <c r="AW227">
        <f t="shared" si="45"/>
        <v>9.3239099727160504</v>
      </c>
      <c r="AX227" s="9"/>
      <c r="AY227" s="21">
        <v>0.99273699999999998</v>
      </c>
      <c r="AZ227" s="21">
        <v>28.4663</v>
      </c>
      <c r="BA227" s="21">
        <v>-1.32751E-2</v>
      </c>
      <c r="BB227" s="21">
        <v>217</v>
      </c>
      <c r="BC227" s="21">
        <v>0.99151599999999995</v>
      </c>
      <c r="BD227">
        <f t="shared" si="46"/>
        <v>16.38901234567901</v>
      </c>
      <c r="BE227">
        <f t="shared" si="47"/>
        <v>16.269978949012344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0.55221600000000004</v>
      </c>
      <c r="H228" s="21">
        <v>7.4417999999999997</v>
      </c>
      <c r="I228" s="21">
        <v>-1.36017E-2</v>
      </c>
      <c r="J228" s="21">
        <v>218</v>
      </c>
      <c r="K228" s="21">
        <v>0.55160500000000001</v>
      </c>
      <c r="L228">
        <f t="shared" si="36"/>
        <v>16.792222222222222</v>
      </c>
      <c r="M228">
        <f t="shared" si="37"/>
        <v>9.2729337866666679</v>
      </c>
      <c r="N228" s="9"/>
      <c r="O228" s="21">
        <v>0.99777199999999999</v>
      </c>
      <c r="P228" s="21">
        <v>10.9589</v>
      </c>
      <c r="Q228" s="21">
        <v>-1.31836E-2</v>
      </c>
      <c r="R228" s="21">
        <v>218</v>
      </c>
      <c r="S228" s="21">
        <v>0.99670400000000003</v>
      </c>
      <c r="T228">
        <f t="shared" si="38"/>
        <v>16.276049382716046</v>
      </c>
      <c r="U228">
        <f t="shared" si="39"/>
        <v>16.239786344691353</v>
      </c>
      <c r="X228" s="9"/>
      <c r="Y228" s="21">
        <v>0.55221600000000004</v>
      </c>
      <c r="Z228" s="21">
        <v>16.201000000000001</v>
      </c>
      <c r="AA228" s="21">
        <v>-1.35681E-2</v>
      </c>
      <c r="AB228" s="21">
        <v>218</v>
      </c>
      <c r="AC228" s="21">
        <v>0.55157500000000004</v>
      </c>
      <c r="AD228">
        <f t="shared" si="40"/>
        <v>16.750740740740738</v>
      </c>
      <c r="AE228">
        <f t="shared" si="41"/>
        <v>9.2500270488888887</v>
      </c>
      <c r="AF228" s="9"/>
      <c r="AG228" s="21">
        <v>0.99777199999999999</v>
      </c>
      <c r="AH228" s="21">
        <v>19.7181</v>
      </c>
      <c r="AI228" s="21">
        <v>-1.32172E-2</v>
      </c>
      <c r="AJ228" s="21">
        <v>218</v>
      </c>
      <c r="AK228" s="21">
        <v>0.99700900000000003</v>
      </c>
      <c r="AL228">
        <f t="shared" si="42"/>
        <v>16.317530864197529</v>
      </c>
      <c r="AM228">
        <f t="shared" si="43"/>
        <v>16.281175405432098</v>
      </c>
      <c r="AP228" s="9"/>
      <c r="AQ228" s="21">
        <v>0.55221600000000004</v>
      </c>
      <c r="AR228" s="21">
        <v>24.959199999999999</v>
      </c>
      <c r="AS228" s="21">
        <v>-1.3559E-2</v>
      </c>
      <c r="AT228" s="21">
        <v>218</v>
      </c>
      <c r="AU228" s="21">
        <v>0.55154400000000003</v>
      </c>
      <c r="AV228">
        <f t="shared" si="44"/>
        <v>16.739506172839505</v>
      </c>
      <c r="AW228">
        <f t="shared" si="45"/>
        <v>9.2438231407407407</v>
      </c>
      <c r="AX228" s="9"/>
      <c r="AY228" s="21">
        <v>0.99777199999999999</v>
      </c>
      <c r="AZ228" s="21">
        <v>28.476400000000002</v>
      </c>
      <c r="BA228" s="21">
        <v>-1.32721E-2</v>
      </c>
      <c r="BB228" s="21">
        <v>218</v>
      </c>
      <c r="BC228" s="21">
        <v>0.99639900000000003</v>
      </c>
      <c r="BD228">
        <f t="shared" si="46"/>
        <v>16.385308641975307</v>
      </c>
      <c r="BE228">
        <f t="shared" si="47"/>
        <v>16.348802174320987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0.54718</v>
      </c>
      <c r="H229" s="21">
        <v>7.4518700000000004</v>
      </c>
      <c r="I229" s="21">
        <v>-1.3595599999999999E-2</v>
      </c>
      <c r="J229" s="21">
        <v>219</v>
      </c>
      <c r="K229" s="21">
        <v>0.546539</v>
      </c>
      <c r="L229">
        <f t="shared" si="36"/>
        <v>16.784691358024691</v>
      </c>
      <c r="M229">
        <f t="shared" si="37"/>
        <v>9.1842474172839506</v>
      </c>
      <c r="N229" s="9"/>
      <c r="O229" s="21">
        <v>1.00281</v>
      </c>
      <c r="P229" s="21">
        <v>10.9689</v>
      </c>
      <c r="Q229" s="21">
        <v>-1.31805E-2</v>
      </c>
      <c r="R229" s="21">
        <v>219</v>
      </c>
      <c r="S229" s="21">
        <v>1.00159</v>
      </c>
      <c r="T229">
        <f t="shared" si="38"/>
        <v>16.272222222222219</v>
      </c>
      <c r="U229">
        <f t="shared" si="39"/>
        <v>16.317947166666663</v>
      </c>
      <c r="X229" s="9"/>
      <c r="Y229" s="21">
        <v>0.54718</v>
      </c>
      <c r="Z229" s="21">
        <v>16.211099999999998</v>
      </c>
      <c r="AA229" s="21">
        <v>-1.35681E-2</v>
      </c>
      <c r="AB229" s="21">
        <v>219</v>
      </c>
      <c r="AC229" s="21">
        <v>0.54650900000000002</v>
      </c>
      <c r="AD229">
        <f t="shared" si="40"/>
        <v>16.750740740740738</v>
      </c>
      <c r="AE229">
        <f t="shared" si="41"/>
        <v>9.1656703185185169</v>
      </c>
      <c r="AF229" s="9"/>
      <c r="AG229" s="21">
        <v>1.00281</v>
      </c>
      <c r="AH229" s="21">
        <v>19.728100000000001</v>
      </c>
      <c r="AI229" s="21">
        <v>-1.32263E-2</v>
      </c>
      <c r="AJ229" s="21">
        <v>219</v>
      </c>
      <c r="AK229" s="21">
        <v>1.0018899999999999</v>
      </c>
      <c r="AL229">
        <f t="shared" si="42"/>
        <v>16.328765432098766</v>
      </c>
      <c r="AM229">
        <f t="shared" si="43"/>
        <v>16.374649262962965</v>
      </c>
      <c r="AP229" s="9"/>
      <c r="AQ229" s="21">
        <v>0.54718</v>
      </c>
      <c r="AR229" s="21">
        <v>24.9693</v>
      </c>
      <c r="AS229" s="21">
        <v>-1.3559E-2</v>
      </c>
      <c r="AT229" s="21">
        <v>219</v>
      </c>
      <c r="AU229" s="21">
        <v>0.54650900000000002</v>
      </c>
      <c r="AV229">
        <f t="shared" si="44"/>
        <v>16.739506172839505</v>
      </c>
      <c r="AW229">
        <f t="shared" si="45"/>
        <v>9.15952298765432</v>
      </c>
      <c r="AX229" s="9"/>
      <c r="AY229" s="21">
        <v>1.00281</v>
      </c>
      <c r="AZ229" s="21">
        <v>28.4864</v>
      </c>
      <c r="BA229" s="21">
        <v>-1.3269E-2</v>
      </c>
      <c r="BB229" s="21">
        <v>219</v>
      </c>
      <c r="BC229" s="21">
        <v>1.0018899999999999</v>
      </c>
      <c r="BD229">
        <f t="shared" si="46"/>
        <v>16.38148148148148</v>
      </c>
      <c r="BE229">
        <f t="shared" si="47"/>
        <v>16.427513444444443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0.54214499999999999</v>
      </c>
      <c r="H230" s="21">
        <v>7.4619400000000002</v>
      </c>
      <c r="I230" s="21">
        <v>-1.3595599999999999E-2</v>
      </c>
      <c r="J230" s="21">
        <v>220</v>
      </c>
      <c r="K230" s="21">
        <v>0.54138200000000003</v>
      </c>
      <c r="L230">
        <f t="shared" si="36"/>
        <v>16.784691358024691</v>
      </c>
      <c r="M230">
        <f t="shared" si="37"/>
        <v>9.0997364962962966</v>
      </c>
      <c r="N230" s="9"/>
      <c r="O230" s="21">
        <v>1.0078400000000001</v>
      </c>
      <c r="P230" s="21">
        <v>10.978999999999999</v>
      </c>
      <c r="Q230" s="21">
        <v>-1.31927E-2</v>
      </c>
      <c r="R230" s="21">
        <v>220</v>
      </c>
      <c r="S230" s="21">
        <v>1.00708</v>
      </c>
      <c r="T230">
        <f t="shared" si="38"/>
        <v>16.287283950617283</v>
      </c>
      <c r="U230">
        <f t="shared" si="39"/>
        <v>16.414976256790123</v>
      </c>
      <c r="X230" s="9"/>
      <c r="Y230" s="21">
        <v>0.54214499999999999</v>
      </c>
      <c r="Z230" s="21">
        <v>16.2212</v>
      </c>
      <c r="AA230" s="21">
        <v>-1.35742E-2</v>
      </c>
      <c r="AB230" s="21">
        <v>220</v>
      </c>
      <c r="AC230" s="21">
        <v>0.54135100000000003</v>
      </c>
      <c r="AD230">
        <f t="shared" si="40"/>
        <v>16.758271604938273</v>
      </c>
      <c r="AE230">
        <f t="shared" si="41"/>
        <v>9.0854131592592591</v>
      </c>
      <c r="AF230" s="9"/>
      <c r="AG230" s="21">
        <v>1.0078400000000001</v>
      </c>
      <c r="AH230" s="21">
        <v>19.738199999999999</v>
      </c>
      <c r="AI230" s="21">
        <v>-1.32172E-2</v>
      </c>
      <c r="AJ230" s="21">
        <v>220</v>
      </c>
      <c r="AK230" s="21">
        <v>1.0061599999999999</v>
      </c>
      <c r="AL230">
        <f t="shared" si="42"/>
        <v>16.317530864197529</v>
      </c>
      <c r="AM230">
        <f t="shared" si="43"/>
        <v>16.445460306172841</v>
      </c>
      <c r="AP230" s="9"/>
      <c r="AQ230" s="21">
        <v>0.54214499999999999</v>
      </c>
      <c r="AR230" s="21">
        <v>24.979399999999998</v>
      </c>
      <c r="AS230" s="21">
        <v>-1.3555899999999999E-2</v>
      </c>
      <c r="AT230" s="21">
        <v>220</v>
      </c>
      <c r="AU230" s="21">
        <v>0.54150399999999999</v>
      </c>
      <c r="AV230">
        <f t="shared" si="44"/>
        <v>16.735679012345678</v>
      </c>
      <c r="AW230">
        <f t="shared" si="45"/>
        <v>9.0731646981481475</v>
      </c>
      <c r="AX230" s="9"/>
      <c r="AY230" s="21">
        <v>1.0078400000000001</v>
      </c>
      <c r="AZ230" s="21">
        <v>28.496500000000001</v>
      </c>
      <c r="BA230" s="21">
        <v>-1.32599E-2</v>
      </c>
      <c r="BB230" s="21">
        <v>220</v>
      </c>
      <c r="BC230" s="21">
        <v>1.00647</v>
      </c>
      <c r="BD230">
        <f t="shared" si="46"/>
        <v>16.370246913580246</v>
      </c>
      <c r="BE230">
        <f t="shared" si="47"/>
        <v>16.498589649382716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0.53710899999999995</v>
      </c>
      <c r="H231" s="21">
        <v>7.47201</v>
      </c>
      <c r="I231" s="21">
        <v>-1.3595599999999999E-2</v>
      </c>
      <c r="J231" s="21">
        <v>221</v>
      </c>
      <c r="K231" s="21">
        <v>0.53634599999999999</v>
      </c>
      <c r="L231">
        <f t="shared" si="36"/>
        <v>16.784691358024691</v>
      </c>
      <c r="M231">
        <f t="shared" si="37"/>
        <v>9.0152087906172831</v>
      </c>
      <c r="N231" s="9"/>
      <c r="O231" s="21">
        <v>1.01288</v>
      </c>
      <c r="P231" s="21">
        <v>10.989100000000001</v>
      </c>
      <c r="Q231" s="21">
        <v>-1.31927E-2</v>
      </c>
      <c r="R231" s="21">
        <v>221</v>
      </c>
      <c r="S231" s="21">
        <v>1.01227</v>
      </c>
      <c r="T231">
        <f t="shared" si="38"/>
        <v>16.287283950617283</v>
      </c>
      <c r="U231">
        <f t="shared" si="39"/>
        <v>16.497064167901232</v>
      </c>
      <c r="X231" s="9"/>
      <c r="Y231" s="21">
        <v>0.53710899999999995</v>
      </c>
      <c r="Z231" s="21">
        <v>16.231200000000001</v>
      </c>
      <c r="AA231" s="21">
        <v>-1.35773E-2</v>
      </c>
      <c r="AB231" s="21">
        <v>221</v>
      </c>
      <c r="AC231" s="21">
        <v>0.53643799999999997</v>
      </c>
      <c r="AD231">
        <f t="shared" si="40"/>
        <v>16.7620987654321</v>
      </c>
      <c r="AE231">
        <f t="shared" si="41"/>
        <v>9.0030741058024688</v>
      </c>
      <c r="AF231" s="9"/>
      <c r="AG231" s="21">
        <v>1.01288</v>
      </c>
      <c r="AH231" s="21">
        <v>19.7483</v>
      </c>
      <c r="AI231" s="21">
        <v>-1.32111E-2</v>
      </c>
      <c r="AJ231" s="21">
        <v>221</v>
      </c>
      <c r="AK231" s="21">
        <v>1.01227</v>
      </c>
      <c r="AL231">
        <f t="shared" si="42"/>
        <v>16.309999999999999</v>
      </c>
      <c r="AM231">
        <f t="shared" si="43"/>
        <v>16.520072799999998</v>
      </c>
      <c r="AP231" s="9"/>
      <c r="AQ231" s="21">
        <v>0.53710899999999995</v>
      </c>
      <c r="AR231" s="21">
        <v>24.9894</v>
      </c>
      <c r="AS231" s="21">
        <v>-1.3555899999999999E-2</v>
      </c>
      <c r="AT231" s="21">
        <v>221</v>
      </c>
      <c r="AU231" s="21">
        <v>0.53649899999999995</v>
      </c>
      <c r="AV231">
        <f t="shared" si="44"/>
        <v>16.735679012345678</v>
      </c>
      <c r="AW231">
        <f t="shared" si="45"/>
        <v>8.9888838186419733</v>
      </c>
      <c r="AX231" s="9"/>
      <c r="AY231" s="21">
        <v>1.01288</v>
      </c>
      <c r="AZ231" s="21">
        <v>28.506599999999999</v>
      </c>
      <c r="BA231" s="21">
        <v>-1.3247699999999999E-2</v>
      </c>
      <c r="BB231" s="21">
        <v>221</v>
      </c>
      <c r="BC231" s="21">
        <v>1.01166</v>
      </c>
      <c r="BD231">
        <f t="shared" si="46"/>
        <v>16.355185185185185</v>
      </c>
      <c r="BE231">
        <f t="shared" si="47"/>
        <v>16.565839970370369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0.53207400000000005</v>
      </c>
      <c r="H232" s="21">
        <v>7.4820900000000004</v>
      </c>
      <c r="I232" s="21">
        <v>-1.3589499999999999E-2</v>
      </c>
      <c r="J232" s="21">
        <v>222</v>
      </c>
      <c r="K232" s="21">
        <v>0.53140299999999996</v>
      </c>
      <c r="L232">
        <f t="shared" si="36"/>
        <v>16.777160493827161</v>
      </c>
      <c r="M232">
        <f t="shared" si="37"/>
        <v>8.9266908925925943</v>
      </c>
      <c r="N232" s="9"/>
      <c r="O232" s="21">
        <v>1.0179100000000001</v>
      </c>
      <c r="P232" s="21">
        <v>10.9991</v>
      </c>
      <c r="Q232" s="21">
        <v>-1.31805E-2</v>
      </c>
      <c r="R232" s="21">
        <v>222</v>
      </c>
      <c r="S232" s="21">
        <v>1.01654</v>
      </c>
      <c r="T232">
        <f t="shared" si="38"/>
        <v>16.272222222222219</v>
      </c>
      <c r="U232">
        <f t="shared" si="39"/>
        <v>16.563657722222221</v>
      </c>
      <c r="X232" s="9"/>
      <c r="Y232" s="21">
        <v>0.53207400000000005</v>
      </c>
      <c r="Z232" s="21">
        <v>16.241299999999999</v>
      </c>
      <c r="AA232" s="21">
        <v>-1.35864E-2</v>
      </c>
      <c r="AB232" s="21">
        <v>222</v>
      </c>
      <c r="AC232" s="21">
        <v>0.53134199999999998</v>
      </c>
      <c r="AD232">
        <f t="shared" si="40"/>
        <v>16.77333333333333</v>
      </c>
      <c r="AE232">
        <f t="shared" si="41"/>
        <v>8.9246545599999987</v>
      </c>
      <c r="AF232" s="9"/>
      <c r="AG232" s="21">
        <v>1.0179100000000001</v>
      </c>
      <c r="AH232" s="21">
        <v>19.758400000000002</v>
      </c>
      <c r="AI232" s="21">
        <v>-1.3205E-2</v>
      </c>
      <c r="AJ232" s="21">
        <v>222</v>
      </c>
      <c r="AK232" s="21">
        <v>1.01715</v>
      </c>
      <c r="AL232">
        <f t="shared" si="42"/>
        <v>16.302469135802468</v>
      </c>
      <c r="AM232">
        <f t="shared" si="43"/>
        <v>16.59444635802469</v>
      </c>
      <c r="AP232" s="9"/>
      <c r="AQ232" s="21">
        <v>0.53207400000000005</v>
      </c>
      <c r="AR232" s="21">
        <v>24.999500000000001</v>
      </c>
      <c r="AS232" s="21">
        <v>-1.3555899999999999E-2</v>
      </c>
      <c r="AT232" s="21">
        <v>222</v>
      </c>
      <c r="AU232" s="21">
        <v>0.53137199999999996</v>
      </c>
      <c r="AV232">
        <f t="shared" si="44"/>
        <v>16.735679012345678</v>
      </c>
      <c r="AW232">
        <f t="shared" si="45"/>
        <v>8.9046196748148141</v>
      </c>
      <c r="AX232" s="9"/>
      <c r="AY232" s="21">
        <v>1.0179100000000001</v>
      </c>
      <c r="AZ232" s="21">
        <v>28.5166</v>
      </c>
      <c r="BA232" s="21">
        <v>-1.32385E-2</v>
      </c>
      <c r="BB232" s="21">
        <v>222</v>
      </c>
      <c r="BC232" s="21">
        <v>1.01685</v>
      </c>
      <c r="BD232">
        <f t="shared" si="46"/>
        <v>16.343827160493824</v>
      </c>
      <c r="BE232">
        <f t="shared" si="47"/>
        <v>16.636545104938271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0.52703900000000004</v>
      </c>
      <c r="H233" s="21">
        <v>7.4921600000000002</v>
      </c>
      <c r="I233" s="21">
        <v>-1.3595599999999999E-2</v>
      </c>
      <c r="J233" s="21">
        <v>223</v>
      </c>
      <c r="K233" s="21">
        <v>0.52630600000000005</v>
      </c>
      <c r="L233">
        <f t="shared" si="36"/>
        <v>16.784691358024691</v>
      </c>
      <c r="M233">
        <f t="shared" si="37"/>
        <v>8.8461869486419751</v>
      </c>
      <c r="N233" s="9"/>
      <c r="O233" s="21">
        <v>1.02295</v>
      </c>
      <c r="P233" s="21">
        <v>11.0092</v>
      </c>
      <c r="Q233" s="21">
        <v>-1.3162200000000001E-2</v>
      </c>
      <c r="R233" s="21">
        <v>223</v>
      </c>
      <c r="S233" s="21">
        <v>1.02142</v>
      </c>
      <c r="T233">
        <f t="shared" si="38"/>
        <v>16.249629629629627</v>
      </c>
      <c r="U233">
        <f t="shared" si="39"/>
        <v>16.622558629629626</v>
      </c>
      <c r="X233" s="9"/>
      <c r="Y233" s="21">
        <v>0.52703900000000004</v>
      </c>
      <c r="Z233" s="21">
        <v>16.2514</v>
      </c>
      <c r="AA233" s="21">
        <v>-1.3598600000000001E-2</v>
      </c>
      <c r="AB233" s="21">
        <v>223</v>
      </c>
      <c r="AC233" s="21">
        <v>0.52639800000000003</v>
      </c>
      <c r="AD233">
        <f t="shared" si="40"/>
        <v>16.788395061728394</v>
      </c>
      <c r="AE233">
        <f t="shared" si="41"/>
        <v>8.8481389449382721</v>
      </c>
      <c r="AF233" s="9"/>
      <c r="AG233" s="21">
        <v>1.02295</v>
      </c>
      <c r="AH233" s="21">
        <v>19.7684</v>
      </c>
      <c r="AI233" s="21">
        <v>-1.31989E-2</v>
      </c>
      <c r="AJ233" s="21">
        <v>223</v>
      </c>
      <c r="AK233" s="21">
        <v>1.02203</v>
      </c>
      <c r="AL233">
        <f t="shared" si="42"/>
        <v>16.294938271604938</v>
      </c>
      <c r="AM233">
        <f t="shared" si="43"/>
        <v>16.66890710493827</v>
      </c>
      <c r="AP233" s="9"/>
      <c r="AQ233" s="21">
        <v>0.52703900000000004</v>
      </c>
      <c r="AR233" s="21">
        <v>25.009599999999999</v>
      </c>
      <c r="AS233" s="21">
        <v>-1.3559E-2</v>
      </c>
      <c r="AT233" s="21">
        <v>223</v>
      </c>
      <c r="AU233" s="21">
        <v>0.52642800000000001</v>
      </c>
      <c r="AV233">
        <f t="shared" si="44"/>
        <v>16.739506172839505</v>
      </c>
      <c r="AW233">
        <f t="shared" si="45"/>
        <v>8.8223725938271595</v>
      </c>
      <c r="AX233" s="9"/>
      <c r="AY233" s="21">
        <v>1.02295</v>
      </c>
      <c r="AZ233" s="21">
        <v>28.526700000000002</v>
      </c>
      <c r="BA233" s="21">
        <v>-1.32202E-2</v>
      </c>
      <c r="BB233" s="21">
        <v>223</v>
      </c>
      <c r="BC233" s="21">
        <v>1.02234</v>
      </c>
      <c r="BD233">
        <f t="shared" si="46"/>
        <v>16.321234567901232</v>
      </c>
      <c r="BE233">
        <f t="shared" si="47"/>
        <v>16.695806901234565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0.52200299999999999</v>
      </c>
      <c r="H234" s="21">
        <v>7.50223</v>
      </c>
      <c r="I234" s="21">
        <v>-1.36017E-2</v>
      </c>
      <c r="J234" s="21">
        <v>224</v>
      </c>
      <c r="K234" s="21">
        <v>0.52130100000000001</v>
      </c>
      <c r="L234">
        <f t="shared" si="36"/>
        <v>16.792222222222222</v>
      </c>
      <c r="M234">
        <f t="shared" si="37"/>
        <v>8.7655903766666672</v>
      </c>
      <c r="N234" s="9"/>
      <c r="O234" s="21">
        <v>1.0279799999999999</v>
      </c>
      <c r="P234" s="21">
        <v>11.019299999999999</v>
      </c>
      <c r="Q234" s="21">
        <v>-1.31348E-2</v>
      </c>
      <c r="R234" s="21">
        <v>224</v>
      </c>
      <c r="S234" s="21">
        <v>1.0269200000000001</v>
      </c>
      <c r="T234">
        <f t="shared" si="38"/>
        <v>16.215802469135802</v>
      </c>
      <c r="U234">
        <f t="shared" si="39"/>
        <v>16.669520622222219</v>
      </c>
      <c r="X234" s="9"/>
      <c r="Y234" s="21">
        <v>0.52200299999999999</v>
      </c>
      <c r="Z234" s="21">
        <v>16.261399999999998</v>
      </c>
      <c r="AA234" s="21">
        <v>-1.36078E-2</v>
      </c>
      <c r="AB234" s="21">
        <v>224</v>
      </c>
      <c r="AC234" s="21">
        <v>0.52136199999999999</v>
      </c>
      <c r="AD234">
        <f t="shared" si="40"/>
        <v>16.799753086419752</v>
      </c>
      <c r="AE234">
        <f t="shared" si="41"/>
        <v>8.7695215103703692</v>
      </c>
      <c r="AF234" s="9"/>
      <c r="AG234" s="21">
        <v>1.0279799999999999</v>
      </c>
      <c r="AH234" s="21">
        <v>19.778500000000001</v>
      </c>
      <c r="AI234" s="21">
        <v>-1.3195800000000001E-2</v>
      </c>
      <c r="AJ234" s="21">
        <v>224</v>
      </c>
      <c r="AK234" s="21">
        <v>1.0263100000000001</v>
      </c>
      <c r="AL234">
        <f t="shared" si="42"/>
        <v>16.29111111111111</v>
      </c>
      <c r="AM234">
        <f t="shared" si="43"/>
        <v>16.746936399999999</v>
      </c>
      <c r="AP234" s="9"/>
      <c r="AQ234" s="21">
        <v>0.52200299999999999</v>
      </c>
      <c r="AR234" s="21">
        <v>25.0197</v>
      </c>
      <c r="AS234" s="21">
        <v>-1.35681E-2</v>
      </c>
      <c r="AT234" s="21">
        <v>224</v>
      </c>
      <c r="AU234" s="21">
        <v>0.52145399999999997</v>
      </c>
      <c r="AV234">
        <f t="shared" si="44"/>
        <v>16.750740740740738</v>
      </c>
      <c r="AW234">
        <f t="shared" si="45"/>
        <v>8.7439369188888882</v>
      </c>
      <c r="AX234" s="9"/>
      <c r="AY234" s="21">
        <v>1.0279799999999999</v>
      </c>
      <c r="AZ234" s="21">
        <v>28.536799999999999</v>
      </c>
      <c r="BA234" s="21">
        <v>-1.3201900000000001E-2</v>
      </c>
      <c r="BB234" s="21">
        <v>224</v>
      </c>
      <c r="BC234" s="21">
        <v>1.0269200000000001</v>
      </c>
      <c r="BD234">
        <f t="shared" si="46"/>
        <v>16.298641975308641</v>
      </c>
      <c r="BE234">
        <f t="shared" si="47"/>
        <v>16.754677977777774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0.51696799999999998</v>
      </c>
      <c r="H235" s="21">
        <v>7.5122999999999998</v>
      </c>
      <c r="I235" s="21">
        <v>-1.36017E-2</v>
      </c>
      <c r="J235" s="21">
        <v>225</v>
      </c>
      <c r="K235" s="21">
        <v>0.51632699999999998</v>
      </c>
      <c r="L235">
        <f t="shared" si="36"/>
        <v>16.792222222222222</v>
      </c>
      <c r="M235">
        <f t="shared" si="37"/>
        <v>8.6810415377777765</v>
      </c>
      <c r="N235" s="9"/>
      <c r="O235" s="21">
        <v>1.03302</v>
      </c>
      <c r="P235" s="21">
        <v>11.029400000000001</v>
      </c>
      <c r="Q235" s="21">
        <v>-1.3125599999999999E-2</v>
      </c>
      <c r="R235" s="21">
        <v>225</v>
      </c>
      <c r="S235" s="21">
        <v>1.0318000000000001</v>
      </c>
      <c r="T235">
        <f t="shared" si="38"/>
        <v>16.204444444444441</v>
      </c>
      <c r="U235">
        <f t="shared" si="39"/>
        <v>16.739515199999996</v>
      </c>
      <c r="X235" s="9"/>
      <c r="Y235" s="21">
        <v>0.51696799999999998</v>
      </c>
      <c r="Z235" s="21">
        <v>16.2715</v>
      </c>
      <c r="AA235" s="21">
        <v>-1.3610799999999999E-2</v>
      </c>
      <c r="AB235" s="21">
        <v>225</v>
      </c>
      <c r="AC235" s="21">
        <v>0.51644900000000005</v>
      </c>
      <c r="AD235">
        <f t="shared" si="40"/>
        <v>16.803456790123455</v>
      </c>
      <c r="AE235">
        <f t="shared" si="41"/>
        <v>8.6868494498765418</v>
      </c>
      <c r="AF235" s="9"/>
      <c r="AG235" s="21">
        <v>1.03302</v>
      </c>
      <c r="AH235" s="21">
        <v>19.788599999999999</v>
      </c>
      <c r="AI235" s="21">
        <v>-1.31805E-2</v>
      </c>
      <c r="AJ235" s="21">
        <v>225</v>
      </c>
      <c r="AK235" s="21">
        <v>1.0318000000000001</v>
      </c>
      <c r="AL235">
        <f t="shared" si="42"/>
        <v>16.272222222222219</v>
      </c>
      <c r="AM235">
        <f t="shared" si="43"/>
        <v>16.809530999999996</v>
      </c>
      <c r="AP235" s="9"/>
      <c r="AQ235" s="21">
        <v>0.51696799999999998</v>
      </c>
      <c r="AR235" s="21">
        <v>25.029699999999998</v>
      </c>
      <c r="AS235" s="21">
        <v>-1.35712E-2</v>
      </c>
      <c r="AT235" s="21">
        <v>225</v>
      </c>
      <c r="AU235" s="21">
        <v>0.51629599999999998</v>
      </c>
      <c r="AV235">
        <f t="shared" si="44"/>
        <v>16.754567901234566</v>
      </c>
      <c r="AW235">
        <f t="shared" si="45"/>
        <v>8.6615754587654301</v>
      </c>
      <c r="AX235" s="9"/>
      <c r="AY235" s="21">
        <v>1.03302</v>
      </c>
      <c r="AZ235" s="21">
        <v>28.546900000000001</v>
      </c>
      <c r="BA235" s="21">
        <v>-1.31897E-2</v>
      </c>
      <c r="BB235" s="21">
        <v>225</v>
      </c>
      <c r="BC235" s="21">
        <v>1.0321</v>
      </c>
      <c r="BD235">
        <f t="shared" si="46"/>
        <v>16.28358024691358</v>
      </c>
      <c r="BE235">
        <f t="shared" si="47"/>
        <v>16.821264066666668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0.51193200000000005</v>
      </c>
      <c r="H236" s="21">
        <v>7.5223699999999996</v>
      </c>
      <c r="I236" s="21">
        <v>-1.36017E-2</v>
      </c>
      <c r="J236" s="21">
        <v>226</v>
      </c>
      <c r="K236" s="21">
        <v>0.51129199999999997</v>
      </c>
      <c r="L236">
        <f t="shared" si="36"/>
        <v>16.792222222222222</v>
      </c>
      <c r="M236">
        <f t="shared" si="37"/>
        <v>8.5964759066666669</v>
      </c>
      <c r="N236" s="9"/>
      <c r="O236" s="21">
        <v>1.03806</v>
      </c>
      <c r="P236" s="21">
        <v>11.039400000000001</v>
      </c>
      <c r="Q236" s="21">
        <v>-1.31165E-2</v>
      </c>
      <c r="R236" s="21">
        <v>226</v>
      </c>
      <c r="S236" s="21">
        <v>1.03729</v>
      </c>
      <c r="T236">
        <f t="shared" si="38"/>
        <v>16.193209876543211</v>
      </c>
      <c r="U236">
        <f t="shared" si="39"/>
        <v>16.809523444444444</v>
      </c>
      <c r="X236" s="9"/>
      <c r="Y236" s="21">
        <v>0.51193200000000005</v>
      </c>
      <c r="Z236" s="21">
        <v>16.281600000000001</v>
      </c>
      <c r="AA236" s="21">
        <v>-1.3610799999999999E-2</v>
      </c>
      <c r="AB236" s="21">
        <v>226</v>
      </c>
      <c r="AC236" s="21">
        <v>0.51129199999999997</v>
      </c>
      <c r="AD236">
        <f t="shared" si="40"/>
        <v>16.803456790123455</v>
      </c>
      <c r="AE236">
        <f t="shared" si="41"/>
        <v>8.6022272414814811</v>
      </c>
      <c r="AF236" s="9"/>
      <c r="AG236" s="21">
        <v>1.03806</v>
      </c>
      <c r="AH236" s="21">
        <v>19.7986</v>
      </c>
      <c r="AI236" s="21">
        <v>-1.3162200000000001E-2</v>
      </c>
      <c r="AJ236" s="21">
        <v>226</v>
      </c>
      <c r="AK236" s="21">
        <v>1.0369900000000001</v>
      </c>
      <c r="AL236">
        <f t="shared" si="42"/>
        <v>16.249629629629627</v>
      </c>
      <c r="AM236">
        <f t="shared" si="43"/>
        <v>16.86809053333333</v>
      </c>
      <c r="AP236" s="9"/>
      <c r="AQ236" s="21">
        <v>0.51193200000000005</v>
      </c>
      <c r="AR236" s="21">
        <v>25.0398</v>
      </c>
      <c r="AS236" s="21">
        <v>-1.35742E-2</v>
      </c>
      <c r="AT236" s="21">
        <v>226</v>
      </c>
      <c r="AU236" s="21">
        <v>0.51126099999999997</v>
      </c>
      <c r="AV236">
        <f t="shared" si="44"/>
        <v>16.758271604938273</v>
      </c>
      <c r="AW236">
        <f t="shared" si="45"/>
        <v>8.5790954992592603</v>
      </c>
      <c r="AX236" s="9"/>
      <c r="AY236" s="21">
        <v>1.03806</v>
      </c>
      <c r="AZ236" s="21">
        <v>28.556899999999999</v>
      </c>
      <c r="BA236" s="21">
        <v>-1.31897E-2</v>
      </c>
      <c r="BB236" s="21">
        <v>226</v>
      </c>
      <c r="BC236" s="21">
        <v>1.03668</v>
      </c>
      <c r="BD236">
        <f t="shared" si="46"/>
        <v>16.28358024691358</v>
      </c>
      <c r="BE236">
        <f t="shared" si="47"/>
        <v>16.903333311111112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0.50689700000000004</v>
      </c>
      <c r="H237" s="21">
        <v>7.5324400000000002</v>
      </c>
      <c r="I237" s="21">
        <v>-1.3604700000000001E-2</v>
      </c>
      <c r="J237" s="21">
        <v>227</v>
      </c>
      <c r="K237" s="21">
        <v>0.50625600000000004</v>
      </c>
      <c r="L237">
        <f t="shared" si="36"/>
        <v>16.795925925925925</v>
      </c>
      <c r="M237">
        <f t="shared" si="37"/>
        <v>8.5138044640740738</v>
      </c>
      <c r="N237" s="9"/>
      <c r="O237" s="21">
        <v>1.0430900000000001</v>
      </c>
      <c r="P237" s="21">
        <v>11.0495</v>
      </c>
      <c r="Q237" s="21">
        <v>-1.3119499999999999E-2</v>
      </c>
      <c r="R237" s="21">
        <v>227</v>
      </c>
      <c r="S237" s="21">
        <v>1.0418700000000001</v>
      </c>
      <c r="T237">
        <f t="shared" si="38"/>
        <v>16.19691358024691</v>
      </c>
      <c r="U237">
        <f t="shared" si="39"/>
        <v>16.894838586419752</v>
      </c>
      <c r="X237" s="9"/>
      <c r="Y237" s="21">
        <v>0.50689700000000004</v>
      </c>
      <c r="Z237" s="21">
        <v>16.291599999999999</v>
      </c>
      <c r="AA237" s="21">
        <v>-1.36078E-2</v>
      </c>
      <c r="AB237" s="21">
        <v>227</v>
      </c>
      <c r="AC237" s="21">
        <v>0.50619499999999995</v>
      </c>
      <c r="AD237">
        <f t="shared" si="40"/>
        <v>16.799753086419752</v>
      </c>
      <c r="AE237">
        <f t="shared" si="41"/>
        <v>8.5157444402469142</v>
      </c>
      <c r="AF237" s="9"/>
      <c r="AG237" s="21">
        <v>1.0430900000000001</v>
      </c>
      <c r="AH237" s="21">
        <v>19.808700000000002</v>
      </c>
      <c r="AI237" s="21">
        <v>-1.315E-2</v>
      </c>
      <c r="AJ237" s="21">
        <v>227</v>
      </c>
      <c r="AK237" s="21">
        <v>1.0418700000000001</v>
      </c>
      <c r="AL237">
        <f t="shared" si="42"/>
        <v>16.234567901234566</v>
      </c>
      <c r="AM237">
        <f t="shared" si="43"/>
        <v>16.934115432098764</v>
      </c>
      <c r="AP237" s="9"/>
      <c r="AQ237" s="21">
        <v>0.50689700000000004</v>
      </c>
      <c r="AR237" s="21">
        <v>25.049900000000001</v>
      </c>
      <c r="AS237" s="21">
        <v>-1.35773E-2</v>
      </c>
      <c r="AT237" s="21">
        <v>227</v>
      </c>
      <c r="AU237" s="21">
        <v>0.50616499999999998</v>
      </c>
      <c r="AV237">
        <f t="shared" si="44"/>
        <v>16.7620987654321</v>
      </c>
      <c r="AW237">
        <f t="shared" si="45"/>
        <v>8.4966575779012352</v>
      </c>
      <c r="AX237" s="9"/>
      <c r="AY237" s="21">
        <v>1.0430900000000001</v>
      </c>
      <c r="AZ237" s="21">
        <v>28.567</v>
      </c>
      <c r="BA237" s="21">
        <v>-1.31897E-2</v>
      </c>
      <c r="BB237" s="21">
        <v>227</v>
      </c>
      <c r="BC237" s="21">
        <v>1.0421800000000001</v>
      </c>
      <c r="BD237">
        <f t="shared" si="46"/>
        <v>16.28358024691358</v>
      </c>
      <c r="BE237">
        <f t="shared" si="47"/>
        <v>16.985239719753086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0.50186200000000003</v>
      </c>
      <c r="H238" s="21">
        <v>7.54251</v>
      </c>
      <c r="I238" s="21">
        <v>-1.3604700000000001E-2</v>
      </c>
      <c r="J238" s="21">
        <v>228</v>
      </c>
      <c r="K238" s="21">
        <v>0.50119000000000002</v>
      </c>
      <c r="L238">
        <f t="shared" si="36"/>
        <v>16.795925925925925</v>
      </c>
      <c r="M238">
        <f t="shared" si="37"/>
        <v>8.4292369770370374</v>
      </c>
      <c r="N238" s="9"/>
      <c r="O238" s="21">
        <v>1.04813</v>
      </c>
      <c r="P238" s="21">
        <v>11.0596</v>
      </c>
      <c r="Q238" s="21">
        <v>-1.31226E-2</v>
      </c>
      <c r="R238" s="21">
        <v>228</v>
      </c>
      <c r="S238" s="21">
        <v>1.0470600000000001</v>
      </c>
      <c r="T238">
        <f t="shared" si="38"/>
        <v>16.200740740740741</v>
      </c>
      <c r="U238">
        <f t="shared" si="39"/>
        <v>16.980482392592592</v>
      </c>
      <c r="X238" s="9"/>
      <c r="Y238" s="21">
        <v>0.50186200000000003</v>
      </c>
      <c r="Z238" s="21">
        <v>16.3017</v>
      </c>
      <c r="AA238" s="21">
        <v>-1.3610799999999999E-2</v>
      </c>
      <c r="AB238" s="21">
        <v>228</v>
      </c>
      <c r="AC238" s="21">
        <v>0.50119000000000002</v>
      </c>
      <c r="AD238">
        <f t="shared" si="40"/>
        <v>16.803456790123455</v>
      </c>
      <c r="AE238">
        <f t="shared" si="41"/>
        <v>8.4330164316049387</v>
      </c>
      <c r="AF238" s="9"/>
      <c r="AG238" s="21">
        <v>1.04813</v>
      </c>
      <c r="AH238" s="21">
        <v>19.8188</v>
      </c>
      <c r="AI238" s="21">
        <v>-1.31409E-2</v>
      </c>
      <c r="AJ238" s="21">
        <v>228</v>
      </c>
      <c r="AK238" s="21">
        <v>1.0467500000000001</v>
      </c>
      <c r="AL238">
        <f t="shared" si="42"/>
        <v>16.223333333333333</v>
      </c>
      <c r="AM238">
        <f t="shared" si="43"/>
        <v>17.004162366666666</v>
      </c>
      <c r="AP238" s="9"/>
      <c r="AQ238" s="21">
        <v>0.50186200000000003</v>
      </c>
      <c r="AR238" s="21">
        <v>25.059899999999999</v>
      </c>
      <c r="AS238" s="21">
        <v>-1.35803E-2</v>
      </c>
      <c r="AT238" s="21">
        <v>228</v>
      </c>
      <c r="AU238" s="21">
        <v>0.50116000000000005</v>
      </c>
      <c r="AV238">
        <f t="shared" si="44"/>
        <v>16.765802469135803</v>
      </c>
      <c r="AW238">
        <f t="shared" si="45"/>
        <v>8.4141191587654323</v>
      </c>
      <c r="AX238" s="9"/>
      <c r="AY238" s="21">
        <v>1.04813</v>
      </c>
      <c r="AZ238" s="21">
        <v>28.577100000000002</v>
      </c>
      <c r="BA238" s="21">
        <v>-1.31775E-2</v>
      </c>
      <c r="BB238" s="21">
        <v>228</v>
      </c>
      <c r="BC238" s="21">
        <v>1.0464500000000001</v>
      </c>
      <c r="BD238">
        <f t="shared" si="46"/>
        <v>16.268518518518519</v>
      </c>
      <c r="BE238">
        <f t="shared" si="47"/>
        <v>17.051522314814815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0.49682599999999999</v>
      </c>
      <c r="H239" s="21">
        <v>7.5525799999999998</v>
      </c>
      <c r="I239" s="21">
        <v>-1.36139E-2</v>
      </c>
      <c r="J239" s="21">
        <v>229</v>
      </c>
      <c r="K239" s="21">
        <v>0.49618499999999999</v>
      </c>
      <c r="L239">
        <f t="shared" si="36"/>
        <v>16.807283950617283</v>
      </c>
      <c r="M239">
        <f t="shared" si="37"/>
        <v>8.3502956560493811</v>
      </c>
      <c r="N239" s="9"/>
      <c r="O239" s="21">
        <v>1.0531600000000001</v>
      </c>
      <c r="P239" s="21">
        <v>11.069599999999999</v>
      </c>
      <c r="Q239" s="21">
        <v>-1.31165E-2</v>
      </c>
      <c r="R239" s="21">
        <v>229</v>
      </c>
      <c r="S239" s="21">
        <v>1.0522499999999999</v>
      </c>
      <c r="T239">
        <f t="shared" si="38"/>
        <v>16.193209876543211</v>
      </c>
      <c r="U239">
        <f t="shared" si="39"/>
        <v>17.054040913580248</v>
      </c>
      <c r="X239" s="9"/>
      <c r="Y239" s="21">
        <v>0.49682599999999999</v>
      </c>
      <c r="Z239" s="21">
        <v>16.311800000000002</v>
      </c>
      <c r="AA239" s="21">
        <v>-1.3610799999999999E-2</v>
      </c>
      <c r="AB239" s="21">
        <v>229</v>
      </c>
      <c r="AC239" s="21">
        <v>0.49609399999999998</v>
      </c>
      <c r="AD239">
        <f t="shared" si="40"/>
        <v>16.803456790123455</v>
      </c>
      <c r="AE239">
        <f t="shared" si="41"/>
        <v>8.3483942232098762</v>
      </c>
      <c r="AF239" s="9"/>
      <c r="AG239" s="21">
        <v>1.0531600000000001</v>
      </c>
      <c r="AH239" s="21">
        <v>19.828800000000001</v>
      </c>
      <c r="AI239" s="21">
        <v>-1.31348E-2</v>
      </c>
      <c r="AJ239" s="21">
        <v>229</v>
      </c>
      <c r="AK239" s="21">
        <v>1.0522499999999999</v>
      </c>
      <c r="AL239">
        <f t="shared" si="42"/>
        <v>16.215802469135802</v>
      </c>
      <c r="AM239">
        <f t="shared" si="43"/>
        <v>17.077834528395062</v>
      </c>
      <c r="AP239" s="9"/>
      <c r="AQ239" s="21">
        <v>0.49682599999999999</v>
      </c>
      <c r="AR239" s="21">
        <v>25.07</v>
      </c>
      <c r="AS239" s="21">
        <v>-1.35864E-2</v>
      </c>
      <c r="AT239" s="21">
        <v>229</v>
      </c>
      <c r="AU239" s="21">
        <v>0.49612400000000001</v>
      </c>
      <c r="AV239">
        <f t="shared" si="44"/>
        <v>16.77333333333333</v>
      </c>
      <c r="AW239">
        <f t="shared" si="45"/>
        <v>8.3334281066666644</v>
      </c>
      <c r="AX239" s="9"/>
      <c r="AY239" s="21">
        <v>1.0531600000000001</v>
      </c>
      <c r="AZ239" s="21">
        <v>28.5871</v>
      </c>
      <c r="BA239" s="21">
        <v>-1.3168300000000001E-2</v>
      </c>
      <c r="BB239" s="21">
        <v>229</v>
      </c>
      <c r="BC239" s="21">
        <v>1.0519400000000001</v>
      </c>
      <c r="BD239">
        <f t="shared" si="46"/>
        <v>16.257160493827158</v>
      </c>
      <c r="BE239">
        <f t="shared" si="47"/>
        <v>17.121391145679009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0.49179099999999998</v>
      </c>
      <c r="H240" s="21">
        <v>7.5626499999999997</v>
      </c>
      <c r="I240" s="21">
        <v>-1.3623E-2</v>
      </c>
      <c r="J240" s="21">
        <v>230</v>
      </c>
      <c r="K240" s="21">
        <v>0.49118000000000001</v>
      </c>
      <c r="L240">
        <f t="shared" si="36"/>
        <v>16.818518518518516</v>
      </c>
      <c r="M240">
        <f t="shared" si="37"/>
        <v>8.2711960407407386</v>
      </c>
      <c r="N240" s="9"/>
      <c r="O240" s="21">
        <v>1.0582</v>
      </c>
      <c r="P240" s="21">
        <v>11.079700000000001</v>
      </c>
      <c r="Q240" s="21">
        <v>-1.3113400000000001E-2</v>
      </c>
      <c r="R240" s="21">
        <v>230</v>
      </c>
      <c r="S240" s="21">
        <v>1.0574300000000001</v>
      </c>
      <c r="T240">
        <f t="shared" si="38"/>
        <v>16.18938271604938</v>
      </c>
      <c r="U240">
        <f t="shared" si="39"/>
        <v>17.131604790123454</v>
      </c>
      <c r="X240" s="9"/>
      <c r="Y240" s="21">
        <v>0.49179099999999998</v>
      </c>
      <c r="Z240" s="21">
        <v>16.321899999999999</v>
      </c>
      <c r="AA240" s="21">
        <v>-1.362E-2</v>
      </c>
      <c r="AB240" s="21">
        <v>230</v>
      </c>
      <c r="AC240" s="21">
        <v>0.49130200000000002</v>
      </c>
      <c r="AD240">
        <f t="shared" si="40"/>
        <v>16.814814814814813</v>
      </c>
      <c r="AE240">
        <f t="shared" si="41"/>
        <v>8.269374592592591</v>
      </c>
      <c r="AF240" s="9"/>
      <c r="AG240" s="21">
        <v>1.0582</v>
      </c>
      <c r="AH240" s="21">
        <v>19.838899999999999</v>
      </c>
      <c r="AI240" s="21">
        <v>-1.31226E-2</v>
      </c>
      <c r="AJ240" s="21">
        <v>230</v>
      </c>
      <c r="AK240" s="21">
        <v>1.0577399999999999</v>
      </c>
      <c r="AL240">
        <f t="shared" si="42"/>
        <v>16.200740740740741</v>
      </c>
      <c r="AM240">
        <f t="shared" si="43"/>
        <v>17.143623851851853</v>
      </c>
      <c r="AP240" s="9"/>
      <c r="AQ240" s="21">
        <v>0.49179099999999998</v>
      </c>
      <c r="AR240" s="21">
        <v>25.080100000000002</v>
      </c>
      <c r="AS240" s="21">
        <v>-1.35864E-2</v>
      </c>
      <c r="AT240" s="21">
        <v>230</v>
      </c>
      <c r="AU240" s="21">
        <v>0.49118000000000001</v>
      </c>
      <c r="AV240">
        <f t="shared" si="44"/>
        <v>16.77333333333333</v>
      </c>
      <c r="AW240">
        <f t="shared" si="45"/>
        <v>8.2489743733333309</v>
      </c>
      <c r="AX240" s="9"/>
      <c r="AY240" s="21">
        <v>1.0582</v>
      </c>
      <c r="AZ240" s="21">
        <v>28.597200000000001</v>
      </c>
      <c r="BA240" s="21">
        <v>-1.3159199999999999E-2</v>
      </c>
      <c r="BB240" s="21">
        <v>230</v>
      </c>
      <c r="BC240" s="21">
        <v>1.0571299999999999</v>
      </c>
      <c r="BD240">
        <f t="shared" si="46"/>
        <v>16.245925925925924</v>
      </c>
      <c r="BE240">
        <f t="shared" si="47"/>
        <v>17.191438814814813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0.48675499999999999</v>
      </c>
      <c r="H241" s="21">
        <v>7.5727200000000003</v>
      </c>
      <c r="I241" s="21">
        <v>-1.3638300000000001E-2</v>
      </c>
      <c r="J241" s="21">
        <v>231</v>
      </c>
      <c r="K241" s="21">
        <v>0.48608400000000002</v>
      </c>
      <c r="L241">
        <f t="shared" si="36"/>
        <v>16.837407407407408</v>
      </c>
      <c r="M241">
        <f t="shared" si="37"/>
        <v>8.1956922425925924</v>
      </c>
      <c r="N241" s="9"/>
      <c r="O241" s="21">
        <v>1.0632299999999999</v>
      </c>
      <c r="P241" s="21">
        <v>11.0898</v>
      </c>
      <c r="Q241" s="21">
        <v>-1.31012E-2</v>
      </c>
      <c r="R241" s="21">
        <v>231</v>
      </c>
      <c r="S241" s="21">
        <v>1.0620099999999999</v>
      </c>
      <c r="T241">
        <f t="shared" si="38"/>
        <v>16.174320987654323</v>
      </c>
      <c r="U241">
        <f t="shared" si="39"/>
        <v>17.197023303703705</v>
      </c>
      <c r="X241" s="9"/>
      <c r="Y241" s="21">
        <v>0.48675499999999999</v>
      </c>
      <c r="Z241" s="21">
        <v>16.331900000000001</v>
      </c>
      <c r="AA241" s="21">
        <v>-1.3629199999999999E-2</v>
      </c>
      <c r="AB241" s="21">
        <v>231</v>
      </c>
      <c r="AC241" s="21">
        <v>0.486267</v>
      </c>
      <c r="AD241">
        <f t="shared" si="40"/>
        <v>16.826172839506171</v>
      </c>
      <c r="AE241">
        <f t="shared" si="41"/>
        <v>8.1902237604938257</v>
      </c>
      <c r="AF241" s="9"/>
      <c r="AG241" s="21">
        <v>1.0632299999999999</v>
      </c>
      <c r="AH241" s="21">
        <v>19.849</v>
      </c>
      <c r="AI241" s="21">
        <v>-1.3119499999999999E-2</v>
      </c>
      <c r="AJ241" s="21">
        <v>231</v>
      </c>
      <c r="AK241" s="21">
        <v>1.0620099999999999</v>
      </c>
      <c r="AL241">
        <f t="shared" si="42"/>
        <v>16.19691358024691</v>
      </c>
      <c r="AM241">
        <f t="shared" si="43"/>
        <v>17.221044425925921</v>
      </c>
      <c r="AP241" s="9"/>
      <c r="AQ241" s="21">
        <v>0.48675499999999999</v>
      </c>
      <c r="AR241" s="21">
        <v>25.090199999999999</v>
      </c>
      <c r="AS241" s="21">
        <v>-1.3595599999999999E-2</v>
      </c>
      <c r="AT241" s="21">
        <v>231</v>
      </c>
      <c r="AU241" s="21">
        <v>0.486176</v>
      </c>
      <c r="AV241">
        <f t="shared" si="44"/>
        <v>16.784691358024691</v>
      </c>
      <c r="AW241">
        <f t="shared" si="45"/>
        <v>8.1700324419753088</v>
      </c>
      <c r="AX241" s="9"/>
      <c r="AY241" s="21">
        <v>1.0632299999999999</v>
      </c>
      <c r="AZ241" s="21">
        <v>28.607299999999999</v>
      </c>
      <c r="BA241" s="21">
        <v>-1.3147000000000001E-2</v>
      </c>
      <c r="BB241" s="21">
        <v>231</v>
      </c>
      <c r="BC241" s="21">
        <v>1.0623199999999999</v>
      </c>
      <c r="BD241">
        <f t="shared" si="46"/>
        <v>16.230864197530863</v>
      </c>
      <c r="BE241">
        <f t="shared" si="47"/>
        <v>17.257141740740739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0.48171999999999998</v>
      </c>
      <c r="H242" s="21">
        <v>7.5827999999999998</v>
      </c>
      <c r="I242" s="21">
        <v>-1.36414E-2</v>
      </c>
      <c r="J242" s="21">
        <v>232</v>
      </c>
      <c r="K242" s="21">
        <v>0.481018</v>
      </c>
      <c r="L242">
        <f t="shared" si="36"/>
        <v>16.841234567901232</v>
      </c>
      <c r="M242">
        <f t="shared" si="37"/>
        <v>8.1127595160493815</v>
      </c>
      <c r="N242" s="9"/>
      <c r="O242" s="21">
        <v>1.0682700000000001</v>
      </c>
      <c r="P242" s="21">
        <v>11.0999</v>
      </c>
      <c r="Q242" s="21">
        <v>-1.31012E-2</v>
      </c>
      <c r="R242" s="21">
        <v>232</v>
      </c>
      <c r="S242" s="21">
        <v>1.0668899999999999</v>
      </c>
      <c r="T242">
        <f t="shared" si="38"/>
        <v>16.174320987654323</v>
      </c>
      <c r="U242">
        <f t="shared" si="39"/>
        <v>17.278541881481484</v>
      </c>
      <c r="X242" s="9"/>
      <c r="Y242" s="21">
        <v>0.48171999999999998</v>
      </c>
      <c r="Z242" s="21">
        <v>16.341999999999999</v>
      </c>
      <c r="AA242" s="21">
        <v>-1.3644399999999999E-2</v>
      </c>
      <c r="AB242" s="21">
        <v>232</v>
      </c>
      <c r="AC242" s="21">
        <v>0.48107899999999998</v>
      </c>
      <c r="AD242">
        <f t="shared" si="40"/>
        <v>16.844938271604939</v>
      </c>
      <c r="AE242">
        <f t="shared" si="41"/>
        <v>8.1145436641975301</v>
      </c>
      <c r="AF242" s="9"/>
      <c r="AG242" s="21">
        <v>1.0682700000000001</v>
      </c>
      <c r="AH242" s="21">
        <v>19.859100000000002</v>
      </c>
      <c r="AI242" s="21">
        <v>-1.3119499999999999E-2</v>
      </c>
      <c r="AJ242" s="21">
        <v>232</v>
      </c>
      <c r="AK242" s="21">
        <v>1.0668899999999999</v>
      </c>
      <c r="AL242">
        <f t="shared" si="42"/>
        <v>16.19691358024691</v>
      </c>
      <c r="AM242">
        <f t="shared" si="43"/>
        <v>17.302676870370369</v>
      </c>
      <c r="AP242" s="9"/>
      <c r="AQ242" s="21">
        <v>0.48171999999999998</v>
      </c>
      <c r="AR242" s="21">
        <v>25.100200000000001</v>
      </c>
      <c r="AS242" s="21">
        <v>-1.36078E-2</v>
      </c>
      <c r="AT242" s="21">
        <v>232</v>
      </c>
      <c r="AU242" s="21">
        <v>0.48110999999999998</v>
      </c>
      <c r="AV242">
        <f t="shared" si="44"/>
        <v>16.799753086419752</v>
      </c>
      <c r="AW242">
        <f t="shared" si="45"/>
        <v>8.0927770567901227</v>
      </c>
      <c r="AX242" s="9"/>
      <c r="AY242" s="21">
        <v>1.0682700000000001</v>
      </c>
      <c r="AZ242" s="21">
        <v>28.6174</v>
      </c>
      <c r="BA242" s="21">
        <v>-1.31409E-2</v>
      </c>
      <c r="BB242" s="21">
        <v>232</v>
      </c>
      <c r="BC242" s="21">
        <v>1.0671999999999999</v>
      </c>
      <c r="BD242">
        <f t="shared" si="46"/>
        <v>16.223333333333333</v>
      </c>
      <c r="BE242">
        <f t="shared" si="47"/>
        <v>17.3309003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0.47668500000000003</v>
      </c>
      <c r="H243" s="21">
        <v>7.5928699999999996</v>
      </c>
      <c r="I243" s="21">
        <v>-1.3644399999999999E-2</v>
      </c>
      <c r="J243" s="21">
        <v>233</v>
      </c>
      <c r="K243" s="21">
        <v>0.476074</v>
      </c>
      <c r="L243">
        <f t="shared" si="36"/>
        <v>16.844938271604939</v>
      </c>
      <c r="M243">
        <f t="shared" si="37"/>
        <v>8.0297294000000008</v>
      </c>
      <c r="N243" s="9"/>
      <c r="O243" s="21">
        <v>1.0732999999999999</v>
      </c>
      <c r="P243" s="21">
        <v>11.1099</v>
      </c>
      <c r="Q243" s="21">
        <v>-1.3089E-2</v>
      </c>
      <c r="R243" s="21">
        <v>233</v>
      </c>
      <c r="S243" s="21">
        <v>1.0720799999999999</v>
      </c>
      <c r="T243">
        <f t="shared" si="38"/>
        <v>16.159259259259258</v>
      </c>
      <c r="U243">
        <f t="shared" si="39"/>
        <v>17.34373296296296</v>
      </c>
      <c r="X243" s="9"/>
      <c r="Y243" s="21">
        <v>0.47668500000000003</v>
      </c>
      <c r="Z243" s="21">
        <v>16.3521</v>
      </c>
      <c r="AA243" s="21">
        <v>-1.36475E-2</v>
      </c>
      <c r="AB243" s="21">
        <v>233</v>
      </c>
      <c r="AC243" s="21">
        <v>0.47622700000000001</v>
      </c>
      <c r="AD243">
        <f t="shared" si="40"/>
        <v>16.848765432098766</v>
      </c>
      <c r="AE243">
        <f t="shared" si="41"/>
        <v>8.0315537500000005</v>
      </c>
      <c r="AF243" s="9"/>
      <c r="AG243" s="21">
        <v>1.0732999999999999</v>
      </c>
      <c r="AH243" s="21">
        <v>19.8691</v>
      </c>
      <c r="AI243" s="21">
        <v>-1.31165E-2</v>
      </c>
      <c r="AJ243" s="21">
        <v>233</v>
      </c>
      <c r="AK243" s="21">
        <v>1.0726899999999999</v>
      </c>
      <c r="AL243">
        <f t="shared" si="42"/>
        <v>16.193209876543211</v>
      </c>
      <c r="AM243">
        <f t="shared" si="43"/>
        <v>17.380172160493828</v>
      </c>
      <c r="AP243" s="9"/>
      <c r="AQ243" s="21">
        <v>0.47668500000000003</v>
      </c>
      <c r="AR243" s="21">
        <v>25.110299999999999</v>
      </c>
      <c r="AS243" s="21">
        <v>-1.36078E-2</v>
      </c>
      <c r="AT243" s="21">
        <v>233</v>
      </c>
      <c r="AU243" s="21">
        <v>0.47613499999999997</v>
      </c>
      <c r="AV243">
        <f t="shared" si="44"/>
        <v>16.799753086419752</v>
      </c>
      <c r="AW243">
        <f t="shared" si="45"/>
        <v>8.0081903000000008</v>
      </c>
      <c r="AX243" s="9"/>
      <c r="AY243" s="21">
        <v>1.0732999999999999</v>
      </c>
      <c r="AZ243" s="21">
        <v>28.627400000000002</v>
      </c>
      <c r="BA243" s="21">
        <v>-1.31287E-2</v>
      </c>
      <c r="BB243" s="21">
        <v>233</v>
      </c>
      <c r="BC243" s="21">
        <v>1.07239</v>
      </c>
      <c r="BD243">
        <f t="shared" si="46"/>
        <v>16.208271604938268</v>
      </c>
      <c r="BE243">
        <f t="shared" si="47"/>
        <v>17.396337913580243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0.47164899999999998</v>
      </c>
      <c r="H244" s="21">
        <v>7.6029400000000003</v>
      </c>
      <c r="I244" s="21">
        <v>-1.3644399999999999E-2</v>
      </c>
      <c r="J244" s="21">
        <v>234</v>
      </c>
      <c r="K244" s="21">
        <v>0.47100799999999998</v>
      </c>
      <c r="L244">
        <f t="shared" si="36"/>
        <v>16.844938271604939</v>
      </c>
      <c r="M244">
        <f t="shared" si="37"/>
        <v>7.944898290864197</v>
      </c>
      <c r="N244" s="9"/>
      <c r="O244" s="21">
        <v>1.0783400000000001</v>
      </c>
      <c r="P244" s="21">
        <v>11.12</v>
      </c>
      <c r="Q244" s="21">
        <v>-1.30768E-2</v>
      </c>
      <c r="R244" s="21">
        <v>234</v>
      </c>
      <c r="S244" s="21">
        <v>1.0772699999999999</v>
      </c>
      <c r="T244">
        <f t="shared" si="38"/>
        <v>16.144197530864194</v>
      </c>
      <c r="U244">
        <f t="shared" si="39"/>
        <v>17.408933965432094</v>
      </c>
      <c r="X244" s="9"/>
      <c r="Y244" s="21">
        <v>0.47164899999999998</v>
      </c>
      <c r="Z244" s="21">
        <v>16.362100000000002</v>
      </c>
      <c r="AA244" s="21">
        <v>-1.36475E-2</v>
      </c>
      <c r="AB244" s="21">
        <v>234</v>
      </c>
      <c r="AC244" s="21">
        <v>0.47100799999999998</v>
      </c>
      <c r="AD244">
        <f t="shared" si="40"/>
        <v>16.848765432098766</v>
      </c>
      <c r="AE244">
        <f t="shared" si="41"/>
        <v>7.9467033672839502</v>
      </c>
      <c r="AF244" s="9"/>
      <c r="AG244" s="21">
        <v>1.0783400000000001</v>
      </c>
      <c r="AH244" s="21">
        <v>19.879200000000001</v>
      </c>
      <c r="AI244" s="21">
        <v>-1.3107300000000001E-2</v>
      </c>
      <c r="AJ244" s="21">
        <v>234</v>
      </c>
      <c r="AK244" s="21">
        <v>1.0772699999999999</v>
      </c>
      <c r="AL244">
        <f t="shared" si="42"/>
        <v>16.181851851851849</v>
      </c>
      <c r="AM244">
        <f t="shared" si="43"/>
        <v>17.449538125925926</v>
      </c>
      <c r="AP244" s="9"/>
      <c r="AQ244" s="21">
        <v>0.47164899999999998</v>
      </c>
      <c r="AR244" s="21">
        <v>25.1204</v>
      </c>
      <c r="AS244" s="21">
        <v>-1.3616899999999999E-2</v>
      </c>
      <c r="AT244" s="21">
        <v>234</v>
      </c>
      <c r="AU244" s="21">
        <v>0.47100799999999998</v>
      </c>
      <c r="AV244">
        <f t="shared" si="44"/>
        <v>16.810987654320986</v>
      </c>
      <c r="AW244">
        <f t="shared" si="45"/>
        <v>7.928885516172838</v>
      </c>
      <c r="AX244" s="9"/>
      <c r="AY244" s="21">
        <v>1.0783400000000001</v>
      </c>
      <c r="AZ244" s="21">
        <v>28.637499999999999</v>
      </c>
      <c r="BA244" s="21">
        <v>-1.3125599999999999E-2</v>
      </c>
      <c r="BB244" s="21">
        <v>234</v>
      </c>
      <c r="BC244" s="21">
        <v>1.07697</v>
      </c>
      <c r="BD244">
        <f t="shared" si="46"/>
        <v>16.204444444444441</v>
      </c>
      <c r="BE244">
        <f t="shared" si="47"/>
        <v>17.473900622222221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0.46661399999999997</v>
      </c>
      <c r="H245" s="21">
        <v>7.6130100000000001</v>
      </c>
      <c r="I245" s="21">
        <v>-1.36475E-2</v>
      </c>
      <c r="J245" s="21">
        <v>235</v>
      </c>
      <c r="K245" s="21">
        <v>0.466003</v>
      </c>
      <c r="L245">
        <f t="shared" si="36"/>
        <v>16.848765432098766</v>
      </c>
      <c r="M245">
        <f t="shared" si="37"/>
        <v>7.8618698333333334</v>
      </c>
      <c r="N245" s="9"/>
      <c r="O245" s="21">
        <v>1.0833699999999999</v>
      </c>
      <c r="P245" s="21">
        <v>11.130100000000001</v>
      </c>
      <c r="Q245" s="21">
        <v>-1.30615E-2</v>
      </c>
      <c r="R245" s="21">
        <v>235</v>
      </c>
      <c r="S245" s="21">
        <v>1.08246</v>
      </c>
      <c r="T245">
        <f t="shared" si="38"/>
        <v>16.125308641975309</v>
      </c>
      <c r="U245">
        <f t="shared" si="39"/>
        <v>17.469675623456791</v>
      </c>
      <c r="X245" s="9"/>
      <c r="Y245" s="21">
        <v>0.46661399999999997</v>
      </c>
      <c r="Z245" s="21">
        <v>16.372199999999999</v>
      </c>
      <c r="AA245" s="21">
        <v>-1.36536E-2</v>
      </c>
      <c r="AB245" s="21">
        <v>235</v>
      </c>
      <c r="AC245" s="21">
        <v>0.46606399999999998</v>
      </c>
      <c r="AD245">
        <f t="shared" si="40"/>
        <v>16.856296296296296</v>
      </c>
      <c r="AE245">
        <f t="shared" si="41"/>
        <v>7.8653838399999998</v>
      </c>
      <c r="AF245" s="9"/>
      <c r="AG245" s="21">
        <v>1.0833699999999999</v>
      </c>
      <c r="AH245" s="21">
        <v>19.889299999999999</v>
      </c>
      <c r="AI245" s="21">
        <v>-1.3107300000000001E-2</v>
      </c>
      <c r="AJ245" s="21">
        <v>235</v>
      </c>
      <c r="AK245" s="21">
        <v>1.08246</v>
      </c>
      <c r="AL245">
        <f t="shared" si="42"/>
        <v>16.181851851851849</v>
      </c>
      <c r="AM245">
        <f t="shared" si="43"/>
        <v>17.530932840740736</v>
      </c>
      <c r="AP245" s="9"/>
      <c r="AQ245" s="21">
        <v>0.46661399999999997</v>
      </c>
      <c r="AR245" s="21">
        <v>25.130400000000002</v>
      </c>
      <c r="AS245" s="21">
        <v>-1.3623E-2</v>
      </c>
      <c r="AT245" s="21">
        <v>235</v>
      </c>
      <c r="AU245" s="21">
        <v>0.46597300000000003</v>
      </c>
      <c r="AV245">
        <f t="shared" si="44"/>
        <v>16.818518518518516</v>
      </c>
      <c r="AW245">
        <f t="shared" si="45"/>
        <v>7.8477561999999983</v>
      </c>
      <c r="AX245" s="9"/>
      <c r="AY245" s="21">
        <v>1.0833699999999999</v>
      </c>
      <c r="AZ245" s="21">
        <v>28.647600000000001</v>
      </c>
      <c r="BA245" s="21">
        <v>-1.31287E-2</v>
      </c>
      <c r="BB245" s="21">
        <v>235</v>
      </c>
      <c r="BC245" s="21">
        <v>1.08307</v>
      </c>
      <c r="BD245">
        <f t="shared" si="46"/>
        <v>16.208271604938268</v>
      </c>
      <c r="BE245">
        <f t="shared" si="47"/>
        <v>17.559555208641971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0.46157799999999999</v>
      </c>
      <c r="H246" s="21">
        <v>7.6230799999999999</v>
      </c>
      <c r="I246" s="21">
        <v>-1.3650499999999999E-2</v>
      </c>
      <c r="J246" s="21">
        <v>236</v>
      </c>
      <c r="K246" s="21">
        <v>0.46090700000000001</v>
      </c>
      <c r="L246">
        <f t="shared" si="36"/>
        <v>16.852469135802469</v>
      </c>
      <c r="M246">
        <f t="shared" si="37"/>
        <v>7.7787289987654322</v>
      </c>
      <c r="N246" s="9"/>
      <c r="O246" s="21">
        <v>1.0884100000000001</v>
      </c>
      <c r="P246" s="21">
        <v>11.1401</v>
      </c>
      <c r="Q246" s="21">
        <v>-1.30463E-2</v>
      </c>
      <c r="R246" s="21">
        <v>236</v>
      </c>
      <c r="S246" s="21">
        <v>1.08765</v>
      </c>
      <c r="T246">
        <f t="shared" si="38"/>
        <v>16.106543209876545</v>
      </c>
      <c r="U246">
        <f t="shared" si="39"/>
        <v>17.53052269506173</v>
      </c>
      <c r="X246" s="9"/>
      <c r="Y246" s="21">
        <v>0.46157799999999999</v>
      </c>
      <c r="Z246" s="21">
        <v>16.382300000000001</v>
      </c>
      <c r="AA246" s="21">
        <v>-1.36536E-2</v>
      </c>
      <c r="AB246" s="21">
        <v>236</v>
      </c>
      <c r="AC246" s="21">
        <v>0.46093800000000001</v>
      </c>
      <c r="AD246">
        <f t="shared" si="40"/>
        <v>16.856296296296296</v>
      </c>
      <c r="AE246">
        <f t="shared" si="41"/>
        <v>7.7804955318518516</v>
      </c>
      <c r="AF246" s="9"/>
      <c r="AG246" s="21">
        <v>1.0884100000000001</v>
      </c>
      <c r="AH246" s="21">
        <v>19.8993</v>
      </c>
      <c r="AI246" s="21">
        <v>-1.30981E-2</v>
      </c>
      <c r="AJ246" s="21">
        <v>236</v>
      </c>
      <c r="AK246" s="21">
        <v>1.08765</v>
      </c>
      <c r="AL246">
        <f t="shared" si="42"/>
        <v>16.170493827160495</v>
      </c>
      <c r="AM246">
        <f t="shared" si="43"/>
        <v>17.600127186419755</v>
      </c>
      <c r="AP246" s="9"/>
      <c r="AQ246" s="21">
        <v>0.46157799999999999</v>
      </c>
      <c r="AR246" s="21">
        <v>25.140499999999999</v>
      </c>
      <c r="AS246" s="21">
        <v>-1.36261E-2</v>
      </c>
      <c r="AT246" s="21">
        <v>236</v>
      </c>
      <c r="AU246" s="21">
        <v>0.46096799999999999</v>
      </c>
      <c r="AV246">
        <f t="shared" si="44"/>
        <v>16.822345679012344</v>
      </c>
      <c r="AW246">
        <f t="shared" si="45"/>
        <v>7.7648246738271594</v>
      </c>
      <c r="AX246" s="9"/>
      <c r="AY246" s="21">
        <v>1.0884100000000001</v>
      </c>
      <c r="AZ246" s="21">
        <v>28.657599999999999</v>
      </c>
      <c r="BA246" s="21">
        <v>-1.31317E-2</v>
      </c>
      <c r="BB246" s="21">
        <v>236</v>
      </c>
      <c r="BC246" s="21">
        <v>1.08734</v>
      </c>
      <c r="BD246">
        <f t="shared" si="46"/>
        <v>16.211975308641971</v>
      </c>
      <c r="BE246">
        <f t="shared" si="47"/>
        <v>17.645276045679008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0.45654299999999998</v>
      </c>
      <c r="H247" s="21">
        <v>7.6331499999999997</v>
      </c>
      <c r="I247" s="21">
        <v>-1.36566E-2</v>
      </c>
      <c r="J247" s="21">
        <v>237</v>
      </c>
      <c r="K247" s="21">
        <v>0.45596300000000001</v>
      </c>
      <c r="L247">
        <f t="shared" si="36"/>
        <v>16.86</v>
      </c>
      <c r="M247">
        <f t="shared" si="37"/>
        <v>7.6973149799999989</v>
      </c>
      <c r="N247" s="9"/>
      <c r="O247" s="21">
        <v>1.09344</v>
      </c>
      <c r="P247" s="21">
        <v>11.1502</v>
      </c>
      <c r="Q247" s="21">
        <v>-1.30402E-2</v>
      </c>
      <c r="R247" s="21">
        <v>237</v>
      </c>
      <c r="S247" s="21">
        <v>1.09253</v>
      </c>
      <c r="T247">
        <f t="shared" si="38"/>
        <v>16.099012345679011</v>
      </c>
      <c r="U247">
        <f t="shared" si="39"/>
        <v>17.603304059259258</v>
      </c>
      <c r="X247" s="9"/>
      <c r="Y247" s="21">
        <v>0.45654299999999998</v>
      </c>
      <c r="Z247" s="21">
        <v>16.392399999999999</v>
      </c>
      <c r="AA247" s="21">
        <v>-1.36536E-2</v>
      </c>
      <c r="AB247" s="21">
        <v>237</v>
      </c>
      <c r="AC247" s="21">
        <v>0.45593299999999998</v>
      </c>
      <c r="AD247">
        <f t="shared" si="40"/>
        <v>16.856296296296296</v>
      </c>
      <c r="AE247">
        <f t="shared" si="41"/>
        <v>7.69562408</v>
      </c>
      <c r="AF247" s="9"/>
      <c r="AG247" s="21">
        <v>1.09344</v>
      </c>
      <c r="AH247" s="21">
        <v>19.909400000000002</v>
      </c>
      <c r="AI247" s="21">
        <v>-1.3089E-2</v>
      </c>
      <c r="AJ247" s="21">
        <v>237</v>
      </c>
      <c r="AK247" s="21">
        <v>1.09222</v>
      </c>
      <c r="AL247">
        <f t="shared" si="42"/>
        <v>16.159259259259258</v>
      </c>
      <c r="AM247">
        <f t="shared" si="43"/>
        <v>17.669180444444443</v>
      </c>
      <c r="AP247" s="9"/>
      <c r="AQ247" s="21">
        <v>0.45654299999999998</v>
      </c>
      <c r="AR247" s="21">
        <v>25.150600000000001</v>
      </c>
      <c r="AS247" s="21">
        <v>-1.3632200000000001E-2</v>
      </c>
      <c r="AT247" s="21">
        <v>237</v>
      </c>
      <c r="AU247" s="21">
        <v>0.45593299999999998</v>
      </c>
      <c r="AV247">
        <f t="shared" si="44"/>
        <v>16.829876543209878</v>
      </c>
      <c r="AW247">
        <f t="shared" si="45"/>
        <v>7.6835623266666664</v>
      </c>
      <c r="AX247" s="9"/>
      <c r="AY247" s="21">
        <v>1.09344</v>
      </c>
      <c r="AZ247" s="21">
        <v>28.6677</v>
      </c>
      <c r="BA247" s="21">
        <v>-1.31317E-2</v>
      </c>
      <c r="BB247" s="21">
        <v>237</v>
      </c>
      <c r="BC247" s="21">
        <v>1.09283</v>
      </c>
      <c r="BD247">
        <f t="shared" si="46"/>
        <v>16.211975308641971</v>
      </c>
      <c r="BE247">
        <f t="shared" si="47"/>
        <v>17.726822281481475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0.45150800000000002</v>
      </c>
      <c r="H248" s="21">
        <v>7.6432200000000003</v>
      </c>
      <c r="I248" s="21">
        <v>-1.36597E-2</v>
      </c>
      <c r="J248" s="21">
        <v>238</v>
      </c>
      <c r="K248" s="21">
        <v>0.45095800000000003</v>
      </c>
      <c r="L248">
        <f t="shared" si="36"/>
        <v>16.863827160493827</v>
      </c>
      <c r="M248">
        <f t="shared" si="37"/>
        <v>7.6141528735802471</v>
      </c>
      <c r="N248" s="9"/>
      <c r="O248" s="21">
        <v>1.0984799999999999</v>
      </c>
      <c r="P248" s="21">
        <v>11.160299999999999</v>
      </c>
      <c r="Q248" s="21">
        <v>-1.30432E-2</v>
      </c>
      <c r="R248" s="21">
        <v>238</v>
      </c>
      <c r="S248" s="21">
        <v>1.09772</v>
      </c>
      <c r="T248">
        <f t="shared" si="38"/>
        <v>16.102716049382714</v>
      </c>
      <c r="U248">
        <f t="shared" si="39"/>
        <v>17.688511525925922</v>
      </c>
      <c r="X248" s="9"/>
      <c r="Y248" s="21">
        <v>0.45150800000000002</v>
      </c>
      <c r="Z248" s="21">
        <v>16.4024</v>
      </c>
      <c r="AA248" s="21">
        <v>-1.36536E-2</v>
      </c>
      <c r="AB248" s="21">
        <v>238</v>
      </c>
      <c r="AC248" s="21">
        <v>0.45089699999999999</v>
      </c>
      <c r="AD248">
        <f t="shared" si="40"/>
        <v>16.856296296296296</v>
      </c>
      <c r="AE248">
        <f t="shared" si="41"/>
        <v>7.6107526281481483</v>
      </c>
      <c r="AF248" s="9"/>
      <c r="AG248" s="21">
        <v>1.0984799999999999</v>
      </c>
      <c r="AH248" s="21">
        <v>19.919499999999999</v>
      </c>
      <c r="AI248" s="21">
        <v>-1.3079800000000001E-2</v>
      </c>
      <c r="AJ248" s="21">
        <v>238</v>
      </c>
      <c r="AK248" s="21">
        <v>1.09741</v>
      </c>
      <c r="AL248">
        <f t="shared" si="42"/>
        <v>16.147901234567904</v>
      </c>
      <c r="AM248">
        <f t="shared" si="43"/>
        <v>17.738146548148148</v>
      </c>
      <c r="AP248" s="9"/>
      <c r="AQ248" s="21">
        <v>0.45150800000000002</v>
      </c>
      <c r="AR248" s="21">
        <v>25.160599999999999</v>
      </c>
      <c r="AS248" s="21">
        <v>-1.36353E-2</v>
      </c>
      <c r="AT248" s="21">
        <v>238</v>
      </c>
      <c r="AU248" s="21">
        <v>0.45086700000000002</v>
      </c>
      <c r="AV248">
        <f t="shared" si="44"/>
        <v>16.833703703703701</v>
      </c>
      <c r="AW248">
        <f t="shared" si="45"/>
        <v>7.6005518918518513</v>
      </c>
      <c r="AX248" s="9"/>
      <c r="AY248" s="21">
        <v>1.0984799999999999</v>
      </c>
      <c r="AZ248" s="21">
        <v>28.677800000000001</v>
      </c>
      <c r="BA248" s="21">
        <v>-1.31317E-2</v>
      </c>
      <c r="BB248" s="21">
        <v>238</v>
      </c>
      <c r="BC248" s="21">
        <v>1.0968</v>
      </c>
      <c r="BD248">
        <f t="shared" si="46"/>
        <v>16.211975308641971</v>
      </c>
      <c r="BE248">
        <f t="shared" si="47"/>
        <v>17.80853063703703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0.44647199999999998</v>
      </c>
      <c r="H249" s="21">
        <v>7.6532900000000001</v>
      </c>
      <c r="I249" s="21">
        <v>-1.36688E-2</v>
      </c>
      <c r="J249" s="21">
        <v>239</v>
      </c>
      <c r="K249" s="21">
        <v>0.44586199999999998</v>
      </c>
      <c r="L249">
        <f t="shared" si="36"/>
        <v>16.87506172839506</v>
      </c>
      <c r="M249">
        <f t="shared" si="37"/>
        <v>7.5342425599999991</v>
      </c>
      <c r="N249" s="9"/>
      <c r="O249" s="21">
        <v>1.1035200000000001</v>
      </c>
      <c r="P249" s="21">
        <v>11.170400000000001</v>
      </c>
      <c r="Q249" s="21">
        <v>-1.30432E-2</v>
      </c>
      <c r="R249" s="21">
        <v>239</v>
      </c>
      <c r="S249" s="21">
        <v>1.1026</v>
      </c>
      <c r="T249">
        <f t="shared" si="38"/>
        <v>16.102716049382714</v>
      </c>
      <c r="U249">
        <f t="shared" si="39"/>
        <v>17.769669214814812</v>
      </c>
      <c r="X249" s="9"/>
      <c r="Y249" s="21">
        <v>0.44647199999999998</v>
      </c>
      <c r="Z249" s="21">
        <v>16.412500000000001</v>
      </c>
      <c r="AA249" s="21">
        <v>-1.36627E-2</v>
      </c>
      <c r="AB249" s="21">
        <v>239</v>
      </c>
      <c r="AC249" s="21">
        <v>0.44595299999999999</v>
      </c>
      <c r="AD249">
        <f t="shared" si="40"/>
        <v>16.86753086419753</v>
      </c>
      <c r="AE249">
        <f t="shared" si="41"/>
        <v>7.5308802399999992</v>
      </c>
      <c r="AF249" s="9"/>
      <c r="AG249" s="21">
        <v>1.1035200000000001</v>
      </c>
      <c r="AH249" s="21">
        <v>19.929600000000001</v>
      </c>
      <c r="AI249" s="21">
        <v>-1.30768E-2</v>
      </c>
      <c r="AJ249" s="21">
        <v>239</v>
      </c>
      <c r="AK249" s="21">
        <v>1.1026</v>
      </c>
      <c r="AL249">
        <f t="shared" si="42"/>
        <v>16.144197530864194</v>
      </c>
      <c r="AM249">
        <f t="shared" si="43"/>
        <v>17.815444859259255</v>
      </c>
      <c r="AP249" s="9"/>
      <c r="AQ249" s="21">
        <v>0.44647199999999998</v>
      </c>
      <c r="AR249" s="21">
        <v>25.1707</v>
      </c>
      <c r="AS249" s="21">
        <v>-1.3644399999999999E-2</v>
      </c>
      <c r="AT249" s="21">
        <v>239</v>
      </c>
      <c r="AU249" s="21">
        <v>0.44586199999999998</v>
      </c>
      <c r="AV249">
        <f t="shared" si="44"/>
        <v>16.844938271604939</v>
      </c>
      <c r="AW249">
        <f t="shared" si="45"/>
        <v>7.5207932799999995</v>
      </c>
      <c r="AX249" s="9"/>
      <c r="AY249" s="21">
        <v>1.1035200000000001</v>
      </c>
      <c r="AZ249" s="21">
        <v>28.687899999999999</v>
      </c>
      <c r="BA249" s="21">
        <v>-1.31317E-2</v>
      </c>
      <c r="BB249" s="21">
        <v>239</v>
      </c>
      <c r="BC249" s="21">
        <v>1.1026</v>
      </c>
      <c r="BD249">
        <f t="shared" si="46"/>
        <v>16.211975308641971</v>
      </c>
      <c r="BE249">
        <f t="shared" si="47"/>
        <v>17.89023899259259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0.44143700000000002</v>
      </c>
      <c r="H250" s="21">
        <v>7.6633599999999999</v>
      </c>
      <c r="I250" s="21">
        <v>-1.3677999999999999E-2</v>
      </c>
      <c r="J250" s="21">
        <v>240</v>
      </c>
      <c r="K250" s="21">
        <v>0.44076500000000002</v>
      </c>
      <c r="L250">
        <f t="shared" si="36"/>
        <v>16.886419753086418</v>
      </c>
      <c r="M250">
        <f t="shared" si="37"/>
        <v>7.4542904765432096</v>
      </c>
      <c r="N250" s="9"/>
      <c r="O250" s="21">
        <v>1.1085499999999999</v>
      </c>
      <c r="P250" s="21">
        <v>11.180400000000001</v>
      </c>
      <c r="Q250" s="21">
        <v>-1.3030999999999999E-2</v>
      </c>
      <c r="R250" s="21">
        <v>240</v>
      </c>
      <c r="S250" s="21">
        <v>1.1077900000000001</v>
      </c>
      <c r="T250">
        <f t="shared" si="38"/>
        <v>16.087654320987653</v>
      </c>
      <c r="U250">
        <f t="shared" si="39"/>
        <v>17.833969197530863</v>
      </c>
      <c r="X250" s="9"/>
      <c r="Y250" s="21">
        <v>0.44143700000000002</v>
      </c>
      <c r="Z250" s="21">
        <v>16.422599999999999</v>
      </c>
      <c r="AA250" s="21">
        <v>-1.3671900000000001E-2</v>
      </c>
      <c r="AB250" s="21">
        <v>240</v>
      </c>
      <c r="AC250" s="21">
        <v>0.44079600000000002</v>
      </c>
      <c r="AD250">
        <f t="shared" si="40"/>
        <v>16.878888888888888</v>
      </c>
      <c r="AE250">
        <f t="shared" si="41"/>
        <v>7.4509660744444446</v>
      </c>
      <c r="AF250" s="9"/>
      <c r="AG250" s="21">
        <v>1.1085499999999999</v>
      </c>
      <c r="AH250" s="21">
        <v>19.939599999999999</v>
      </c>
      <c r="AI250" s="21">
        <v>-1.3070699999999999E-2</v>
      </c>
      <c r="AJ250" s="21">
        <v>240</v>
      </c>
      <c r="AK250" s="21">
        <v>1.1077900000000001</v>
      </c>
      <c r="AL250">
        <f t="shared" si="42"/>
        <v>16.136666666666663</v>
      </c>
      <c r="AM250">
        <f t="shared" si="43"/>
        <v>17.88830183333333</v>
      </c>
      <c r="AP250" s="9"/>
      <c r="AQ250" s="21">
        <v>0.44143700000000002</v>
      </c>
      <c r="AR250" s="21">
        <v>25.180800000000001</v>
      </c>
      <c r="AS250" s="21">
        <v>-1.36566E-2</v>
      </c>
      <c r="AT250" s="21">
        <v>240</v>
      </c>
      <c r="AU250" s="21">
        <v>0.44076500000000002</v>
      </c>
      <c r="AV250">
        <f t="shared" si="44"/>
        <v>16.86</v>
      </c>
      <c r="AW250">
        <f t="shared" si="45"/>
        <v>7.4426278200000002</v>
      </c>
      <c r="AX250" s="9"/>
      <c r="AY250" s="21">
        <v>1.1085499999999999</v>
      </c>
      <c r="AZ250" s="21">
        <v>28.697900000000001</v>
      </c>
      <c r="BA250" s="21">
        <v>-1.31287E-2</v>
      </c>
      <c r="BB250" s="21">
        <v>240</v>
      </c>
      <c r="BC250" s="21">
        <v>1.1071800000000001</v>
      </c>
      <c r="BD250">
        <f t="shared" si="46"/>
        <v>16.208271604938268</v>
      </c>
      <c r="BE250">
        <f t="shared" si="47"/>
        <v>17.967679487654316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0.43640099999999998</v>
      </c>
      <c r="H251" s="21">
        <v>7.6734299999999998</v>
      </c>
      <c r="I251" s="21">
        <v>-1.3693200000000001E-2</v>
      </c>
      <c r="J251" s="21">
        <v>241</v>
      </c>
      <c r="K251" s="21">
        <v>0.43573000000000001</v>
      </c>
      <c r="L251">
        <f t="shared" si="36"/>
        <v>16.905185185185186</v>
      </c>
      <c r="M251">
        <f t="shared" si="37"/>
        <v>7.3774397199999999</v>
      </c>
      <c r="N251" s="9"/>
      <c r="O251" s="21">
        <v>1.1135900000000001</v>
      </c>
      <c r="P251" s="21">
        <v>11.1905</v>
      </c>
      <c r="Q251" s="21">
        <v>-1.3018800000000001E-2</v>
      </c>
      <c r="R251" s="21">
        <v>241</v>
      </c>
      <c r="S251" s="21">
        <v>1.11267</v>
      </c>
      <c r="T251">
        <f t="shared" si="38"/>
        <v>16.072592592592592</v>
      </c>
      <c r="U251">
        <f t="shared" si="39"/>
        <v>17.898278385185186</v>
      </c>
      <c r="X251" s="9"/>
      <c r="Y251" s="21">
        <v>0.43640099999999998</v>
      </c>
      <c r="Z251" s="21">
        <v>16.432600000000001</v>
      </c>
      <c r="AA251" s="21">
        <v>-1.36688E-2</v>
      </c>
      <c r="AB251" s="21">
        <v>241</v>
      </c>
      <c r="AC251" s="21">
        <v>0.43582199999999999</v>
      </c>
      <c r="AD251">
        <f t="shared" si="40"/>
        <v>16.87506172839506</v>
      </c>
      <c r="AE251">
        <f t="shared" si="41"/>
        <v>7.3642938133333322</v>
      </c>
      <c r="AF251" s="9"/>
      <c r="AG251" s="21">
        <v>1.1135900000000001</v>
      </c>
      <c r="AH251" s="21">
        <v>19.9497</v>
      </c>
      <c r="AI251" s="21">
        <v>-1.3070699999999999E-2</v>
      </c>
      <c r="AJ251" s="21">
        <v>241</v>
      </c>
      <c r="AK251" s="21">
        <v>1.11206</v>
      </c>
      <c r="AL251">
        <f t="shared" si="42"/>
        <v>16.136666666666663</v>
      </c>
      <c r="AM251">
        <f t="shared" si="43"/>
        <v>17.969630633333331</v>
      </c>
      <c r="AP251" s="9"/>
      <c r="AQ251" s="21">
        <v>0.43640099999999998</v>
      </c>
      <c r="AR251" s="21">
        <v>25.190899999999999</v>
      </c>
      <c r="AS251" s="21">
        <v>-1.36688E-2</v>
      </c>
      <c r="AT251" s="21">
        <v>241</v>
      </c>
      <c r="AU251" s="21">
        <v>0.43563800000000003</v>
      </c>
      <c r="AV251">
        <f t="shared" si="44"/>
        <v>16.87506172839506</v>
      </c>
      <c r="AW251">
        <f t="shared" si="45"/>
        <v>7.3642938133333322</v>
      </c>
      <c r="AX251" s="9"/>
      <c r="AY251" s="21">
        <v>1.1135900000000001</v>
      </c>
      <c r="AZ251" s="21">
        <v>28.707999999999998</v>
      </c>
      <c r="BA251" s="21">
        <v>-1.31165E-2</v>
      </c>
      <c r="BB251" s="21">
        <v>241</v>
      </c>
      <c r="BC251" s="21">
        <v>1.1123700000000001</v>
      </c>
      <c r="BD251">
        <f t="shared" si="46"/>
        <v>16.193209876543211</v>
      </c>
      <c r="BE251">
        <f t="shared" si="47"/>
        <v>18.032596586419757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0.43136600000000003</v>
      </c>
      <c r="H252" s="21">
        <v>7.6835100000000001</v>
      </c>
      <c r="I252" s="21">
        <v>-1.37085E-2</v>
      </c>
      <c r="J252" s="21">
        <v>242</v>
      </c>
      <c r="K252" s="21">
        <v>0.43090800000000001</v>
      </c>
      <c r="L252">
        <f t="shared" si="36"/>
        <v>16.924074074074074</v>
      </c>
      <c r="M252">
        <f t="shared" si="37"/>
        <v>7.3004701370370375</v>
      </c>
      <c r="N252" s="9"/>
      <c r="O252" s="21">
        <v>1.1186199999999999</v>
      </c>
      <c r="P252" s="21">
        <v>11.2006</v>
      </c>
      <c r="Q252" s="21">
        <v>-1.30127E-2</v>
      </c>
      <c r="R252" s="21">
        <v>242</v>
      </c>
      <c r="S252" s="21">
        <v>1.11694</v>
      </c>
      <c r="T252">
        <f t="shared" si="38"/>
        <v>16.065061728395062</v>
      </c>
      <c r="U252">
        <f t="shared" si="39"/>
        <v>17.970699350617284</v>
      </c>
      <c r="X252" s="9"/>
      <c r="Y252" s="21">
        <v>0.43136600000000003</v>
      </c>
      <c r="Z252" s="21">
        <v>16.442699999999999</v>
      </c>
      <c r="AA252" s="21">
        <v>-1.36688E-2</v>
      </c>
      <c r="AB252" s="21">
        <v>242</v>
      </c>
      <c r="AC252" s="21">
        <v>0.43072500000000002</v>
      </c>
      <c r="AD252">
        <f t="shared" si="40"/>
        <v>16.87506172839506</v>
      </c>
      <c r="AE252">
        <f t="shared" si="41"/>
        <v>7.2793278775308643</v>
      </c>
      <c r="AF252" s="9"/>
      <c r="AG252" s="21">
        <v>1.1186199999999999</v>
      </c>
      <c r="AH252" s="21">
        <v>19.959800000000001</v>
      </c>
      <c r="AI252" s="21">
        <v>-1.30768E-2</v>
      </c>
      <c r="AJ252" s="21">
        <v>242</v>
      </c>
      <c r="AK252" s="21">
        <v>1.11816</v>
      </c>
      <c r="AL252">
        <f t="shared" si="42"/>
        <v>16.144197530864194</v>
      </c>
      <c r="AM252">
        <f t="shared" si="43"/>
        <v>18.059222241975302</v>
      </c>
      <c r="AP252" s="9"/>
      <c r="AQ252" s="21">
        <v>0.43136600000000003</v>
      </c>
      <c r="AR252" s="21">
        <v>25.200900000000001</v>
      </c>
      <c r="AS252" s="21">
        <v>-1.3665800000000001E-2</v>
      </c>
      <c r="AT252" s="21">
        <v>242</v>
      </c>
      <c r="AU252" s="21">
        <v>0.43069499999999999</v>
      </c>
      <c r="AV252">
        <f t="shared" si="44"/>
        <v>16.871358024691357</v>
      </c>
      <c r="AW252">
        <f t="shared" si="45"/>
        <v>7.2777302256790124</v>
      </c>
      <c r="AX252" s="9"/>
      <c r="AY252" s="21">
        <v>1.1186199999999999</v>
      </c>
      <c r="AZ252" s="21">
        <v>28.7181</v>
      </c>
      <c r="BA252" s="21">
        <v>-1.3110399999999999E-2</v>
      </c>
      <c r="BB252" s="21">
        <v>242</v>
      </c>
      <c r="BC252" s="21">
        <v>1.1172500000000001</v>
      </c>
      <c r="BD252">
        <f t="shared" si="46"/>
        <v>16.185679012345677</v>
      </c>
      <c r="BE252">
        <f t="shared" si="47"/>
        <v>18.105624256790119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0.42633100000000002</v>
      </c>
      <c r="H253" s="21">
        <v>7.6935799999999999</v>
      </c>
      <c r="I253" s="21">
        <v>-1.37146E-2</v>
      </c>
      <c r="J253" s="21">
        <v>243</v>
      </c>
      <c r="K253" s="21">
        <v>0.42575099999999999</v>
      </c>
      <c r="L253">
        <f t="shared" si="36"/>
        <v>16.931604938271605</v>
      </c>
      <c r="M253">
        <f t="shared" si="37"/>
        <v>7.2184680649382713</v>
      </c>
      <c r="N253" s="9"/>
      <c r="O253" s="21">
        <v>1.1236600000000001</v>
      </c>
      <c r="P253" s="21">
        <v>11.210599999999999</v>
      </c>
      <c r="Q253" s="21">
        <v>-1.2997399999999999E-2</v>
      </c>
      <c r="R253" s="21">
        <v>243</v>
      </c>
      <c r="S253" s="21">
        <v>1.1221300000000001</v>
      </c>
      <c r="T253">
        <f t="shared" si="38"/>
        <v>16.04617283950617</v>
      </c>
      <c r="U253">
        <f t="shared" si="39"/>
        <v>18.030442572839505</v>
      </c>
      <c r="X253" s="9"/>
      <c r="Y253" s="21">
        <v>0.42633100000000002</v>
      </c>
      <c r="Z253" s="21">
        <v>16.4528</v>
      </c>
      <c r="AA253" s="21">
        <v>-1.3665800000000001E-2</v>
      </c>
      <c r="AB253" s="21">
        <v>243</v>
      </c>
      <c r="AC253" s="21">
        <v>0.42581200000000002</v>
      </c>
      <c r="AD253">
        <f t="shared" si="40"/>
        <v>16.871358024691357</v>
      </c>
      <c r="AE253">
        <f t="shared" si="41"/>
        <v>7.192782938024691</v>
      </c>
      <c r="AF253" s="9"/>
      <c r="AG253" s="21">
        <v>1.1236600000000001</v>
      </c>
      <c r="AH253" s="21">
        <v>19.969799999999999</v>
      </c>
      <c r="AI253" s="21">
        <v>-1.30768E-2</v>
      </c>
      <c r="AJ253" s="21">
        <v>243</v>
      </c>
      <c r="AK253" s="21">
        <v>1.1227400000000001</v>
      </c>
      <c r="AL253">
        <f t="shared" si="42"/>
        <v>16.144197530864194</v>
      </c>
      <c r="AM253">
        <f t="shared" si="43"/>
        <v>18.140588997530863</v>
      </c>
      <c r="AP253" s="9"/>
      <c r="AQ253" s="21">
        <v>0.42633100000000002</v>
      </c>
      <c r="AR253" s="21">
        <v>25.210999999999999</v>
      </c>
      <c r="AS253" s="21">
        <v>-1.36627E-2</v>
      </c>
      <c r="AT253" s="21">
        <v>243</v>
      </c>
      <c r="AU253" s="21">
        <v>0.42565900000000001</v>
      </c>
      <c r="AV253">
        <f t="shared" si="44"/>
        <v>16.86753086419753</v>
      </c>
      <c r="AW253">
        <f t="shared" si="45"/>
        <v>7.1911513008641972</v>
      </c>
      <c r="AX253" s="9"/>
      <c r="AY253" s="21">
        <v>1.1236600000000001</v>
      </c>
      <c r="AZ253" s="21">
        <v>28.728100000000001</v>
      </c>
      <c r="BA253" s="21">
        <v>-1.31042E-2</v>
      </c>
      <c r="BB253" s="21">
        <v>243</v>
      </c>
      <c r="BC253" s="21">
        <v>1.1221300000000001</v>
      </c>
      <c r="BD253">
        <f t="shared" si="46"/>
        <v>16.178024691358022</v>
      </c>
      <c r="BE253">
        <f t="shared" si="47"/>
        <v>18.178599224691357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0.42129499999999998</v>
      </c>
      <c r="H254" s="21">
        <v>7.7036499999999997</v>
      </c>
      <c r="I254" s="21">
        <v>-1.37146E-2</v>
      </c>
      <c r="J254" s="21">
        <v>244</v>
      </c>
      <c r="K254" s="21">
        <v>0.42065399999999997</v>
      </c>
      <c r="L254">
        <f t="shared" si="36"/>
        <v>16.931604938271605</v>
      </c>
      <c r="M254">
        <f t="shared" si="37"/>
        <v>7.1332005024691352</v>
      </c>
      <c r="N254" s="9"/>
      <c r="O254" s="21">
        <v>1.12869</v>
      </c>
      <c r="P254" s="21">
        <v>11.220700000000001</v>
      </c>
      <c r="Q254" s="21">
        <v>-1.2997399999999999E-2</v>
      </c>
      <c r="R254" s="21">
        <v>244</v>
      </c>
      <c r="S254" s="21">
        <v>1.1282300000000001</v>
      </c>
      <c r="T254">
        <f t="shared" si="38"/>
        <v>16.04617283950617</v>
      </c>
      <c r="U254">
        <f t="shared" si="39"/>
        <v>18.111154822222218</v>
      </c>
      <c r="X254" s="9"/>
      <c r="Y254" s="21">
        <v>0.42129499999999998</v>
      </c>
      <c r="Z254" s="21">
        <v>16.462900000000001</v>
      </c>
      <c r="AA254" s="21">
        <v>-1.3665800000000001E-2</v>
      </c>
      <c r="AB254" s="21">
        <v>244</v>
      </c>
      <c r="AC254" s="21">
        <v>0.42068499999999998</v>
      </c>
      <c r="AD254">
        <f t="shared" si="40"/>
        <v>16.871358024691357</v>
      </c>
      <c r="AE254">
        <f t="shared" si="41"/>
        <v>7.1078187790123453</v>
      </c>
      <c r="AF254" s="9"/>
      <c r="AG254" s="21">
        <v>1.12869</v>
      </c>
      <c r="AH254" s="21">
        <v>19.979900000000001</v>
      </c>
      <c r="AI254" s="21">
        <v>-1.3058500000000001E-2</v>
      </c>
      <c r="AJ254" s="21">
        <v>244</v>
      </c>
      <c r="AK254" s="21">
        <v>1.1276200000000001</v>
      </c>
      <c r="AL254">
        <f t="shared" si="42"/>
        <v>16.121604938271602</v>
      </c>
      <c r="AM254">
        <f t="shared" si="43"/>
        <v>18.196294277777774</v>
      </c>
      <c r="AP254" s="9"/>
      <c r="AQ254" s="21">
        <v>0.42129499999999998</v>
      </c>
      <c r="AR254" s="21">
        <v>25.2211</v>
      </c>
      <c r="AS254" s="21">
        <v>-1.36627E-2</v>
      </c>
      <c r="AT254" s="21">
        <v>244</v>
      </c>
      <c r="AU254" s="21">
        <v>0.42068499999999998</v>
      </c>
      <c r="AV254">
        <f t="shared" si="44"/>
        <v>16.86753086419753</v>
      </c>
      <c r="AW254">
        <f t="shared" si="45"/>
        <v>7.1062064154320979</v>
      </c>
      <c r="AX254" s="9"/>
      <c r="AY254" s="21">
        <v>1.12869</v>
      </c>
      <c r="AZ254" s="21">
        <v>28.738199999999999</v>
      </c>
      <c r="BA254" s="21">
        <v>-1.30951E-2</v>
      </c>
      <c r="BB254" s="21">
        <v>244</v>
      </c>
      <c r="BC254" s="21">
        <v>1.1279300000000001</v>
      </c>
      <c r="BD254">
        <f t="shared" si="46"/>
        <v>16.166790123456789</v>
      </c>
      <c r="BE254">
        <f t="shared" si="47"/>
        <v>18.247294344444441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0.41626000000000002</v>
      </c>
      <c r="H255" s="21">
        <v>7.7137200000000004</v>
      </c>
      <c r="I255" s="21">
        <v>-1.37085E-2</v>
      </c>
      <c r="J255" s="21">
        <v>245</v>
      </c>
      <c r="K255" s="21">
        <v>0.415771</v>
      </c>
      <c r="L255">
        <f t="shared" si="36"/>
        <v>16.924074074074074</v>
      </c>
      <c r="M255">
        <f t="shared" si="37"/>
        <v>7.0448150740740747</v>
      </c>
      <c r="N255" s="9"/>
      <c r="O255" s="21">
        <v>1.1337299999999999</v>
      </c>
      <c r="P255" s="21">
        <v>11.2308</v>
      </c>
      <c r="Q255" s="21">
        <v>-1.2988299999999999E-2</v>
      </c>
      <c r="R255" s="21">
        <v>245</v>
      </c>
      <c r="S255" s="21">
        <v>1.1328100000000001</v>
      </c>
      <c r="T255">
        <f t="shared" si="38"/>
        <v>16.034938271604936</v>
      </c>
      <c r="U255">
        <f t="shared" si="39"/>
        <v>18.179290566666662</v>
      </c>
      <c r="X255" s="9"/>
      <c r="Y255" s="21">
        <v>0.41626000000000002</v>
      </c>
      <c r="Z255" s="21">
        <v>16.472899999999999</v>
      </c>
      <c r="AA255" s="21">
        <v>-1.36749E-2</v>
      </c>
      <c r="AB255" s="21">
        <v>245</v>
      </c>
      <c r="AC255" s="21">
        <v>0.41564899999999999</v>
      </c>
      <c r="AD255">
        <f t="shared" si="40"/>
        <v>16.882592592592591</v>
      </c>
      <c r="AE255">
        <f t="shared" si="41"/>
        <v>7.0275479925925923</v>
      </c>
      <c r="AF255" s="9"/>
      <c r="AG255" s="21">
        <v>1.1337299999999999</v>
      </c>
      <c r="AH255" s="21">
        <v>19.989999999999998</v>
      </c>
      <c r="AI255" s="21">
        <v>-1.30554E-2</v>
      </c>
      <c r="AJ255" s="21">
        <v>245</v>
      </c>
      <c r="AK255" s="21">
        <v>1.1328100000000001</v>
      </c>
      <c r="AL255">
        <f t="shared" si="42"/>
        <v>16.117777777777775</v>
      </c>
      <c r="AM255">
        <f t="shared" si="43"/>
        <v>18.273208199999996</v>
      </c>
      <c r="AP255" s="9"/>
      <c r="AQ255" s="21">
        <v>0.41626000000000002</v>
      </c>
      <c r="AR255" s="21">
        <v>25.231100000000001</v>
      </c>
      <c r="AS255" s="21">
        <v>-1.36688E-2</v>
      </c>
      <c r="AT255" s="21">
        <v>245</v>
      </c>
      <c r="AU255" s="21">
        <v>0.41564899999999999</v>
      </c>
      <c r="AV255">
        <f t="shared" si="44"/>
        <v>16.87506172839506</v>
      </c>
      <c r="AW255">
        <f t="shared" si="45"/>
        <v>7.0244131950617286</v>
      </c>
      <c r="AX255" s="9"/>
      <c r="AY255" s="21">
        <v>1.1337299999999999</v>
      </c>
      <c r="AZ255" s="21">
        <v>28.7483</v>
      </c>
      <c r="BA255" s="21">
        <v>-1.31012E-2</v>
      </c>
      <c r="BB255" s="21">
        <v>245</v>
      </c>
      <c r="BC255" s="21">
        <v>1.1331199999999999</v>
      </c>
      <c r="BD255">
        <f t="shared" si="46"/>
        <v>16.174320987654323</v>
      </c>
      <c r="BE255">
        <f t="shared" si="47"/>
        <v>18.337312933333333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0.41122399999999998</v>
      </c>
      <c r="H256" s="21">
        <v>7.7237900000000002</v>
      </c>
      <c r="I256" s="21">
        <v>-1.3699299999999999E-2</v>
      </c>
      <c r="J256" s="21">
        <v>246</v>
      </c>
      <c r="K256" s="21">
        <v>0.41058299999999998</v>
      </c>
      <c r="L256">
        <f t="shared" si="36"/>
        <v>16.912716049382716</v>
      </c>
      <c r="M256">
        <f t="shared" si="37"/>
        <v>6.954914744691358</v>
      </c>
      <c r="N256" s="9"/>
      <c r="O256" s="21">
        <v>1.13876</v>
      </c>
      <c r="P256" s="21">
        <v>11.2408</v>
      </c>
      <c r="Q256" s="21">
        <v>-1.2985200000000001E-2</v>
      </c>
      <c r="R256" s="21">
        <v>246</v>
      </c>
      <c r="S256" s="21">
        <v>1.1379999999999999</v>
      </c>
      <c r="T256">
        <f t="shared" si="38"/>
        <v>16.031111111111109</v>
      </c>
      <c r="U256">
        <f t="shared" si="39"/>
        <v>18.255588088888885</v>
      </c>
      <c r="X256" s="9"/>
      <c r="Y256" s="21">
        <v>0.41122399999999998</v>
      </c>
      <c r="Z256" s="21">
        <v>16.483000000000001</v>
      </c>
      <c r="AA256" s="21">
        <v>-1.3687100000000001E-2</v>
      </c>
      <c r="AB256" s="21">
        <v>246</v>
      </c>
      <c r="AC256" s="21">
        <v>0.41067500000000001</v>
      </c>
      <c r="AD256">
        <f t="shared" si="40"/>
        <v>16.897654320987655</v>
      </c>
      <c r="AE256">
        <f t="shared" si="41"/>
        <v>6.9487210004938271</v>
      </c>
      <c r="AF256" s="9"/>
      <c r="AG256" s="21">
        <v>1.13876</v>
      </c>
      <c r="AH256" s="21">
        <v>20.0001</v>
      </c>
      <c r="AI256" s="21">
        <v>-1.30615E-2</v>
      </c>
      <c r="AJ256" s="21">
        <v>246</v>
      </c>
      <c r="AK256" s="21">
        <v>1.1376999999999999</v>
      </c>
      <c r="AL256">
        <f t="shared" si="42"/>
        <v>16.125308641975309</v>
      </c>
      <c r="AM256">
        <f t="shared" si="43"/>
        <v>18.362856469135803</v>
      </c>
      <c r="AP256" s="9"/>
      <c r="AQ256" s="21">
        <v>0.41122399999999998</v>
      </c>
      <c r="AR256" s="21">
        <v>25.241199999999999</v>
      </c>
      <c r="AS256" s="21">
        <v>-1.3671900000000001E-2</v>
      </c>
      <c r="AT256" s="21">
        <v>246</v>
      </c>
      <c r="AU256" s="21">
        <v>0.41046100000000002</v>
      </c>
      <c r="AV256">
        <f t="shared" si="44"/>
        <v>16.878888888888888</v>
      </c>
      <c r="AW256">
        <f t="shared" si="45"/>
        <v>6.941004204444444</v>
      </c>
      <c r="AX256" s="9"/>
      <c r="AY256" s="21">
        <v>1.13876</v>
      </c>
      <c r="AZ256" s="21">
        <v>28.758400000000002</v>
      </c>
      <c r="BA256" s="21">
        <v>-1.3091999999999999E-2</v>
      </c>
      <c r="BB256" s="21">
        <v>246</v>
      </c>
      <c r="BC256" s="21">
        <v>1.1376999999999999</v>
      </c>
      <c r="BD256">
        <f t="shared" si="46"/>
        <v>16.162962962962961</v>
      </c>
      <c r="BE256">
        <f t="shared" si="47"/>
        <v>18.405735703703701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0.40618900000000002</v>
      </c>
      <c r="H257" s="21">
        <v>7.73386</v>
      </c>
      <c r="I257" s="21">
        <v>-1.3693200000000001E-2</v>
      </c>
      <c r="J257" s="21">
        <v>247</v>
      </c>
      <c r="K257" s="21">
        <v>0.40545700000000001</v>
      </c>
      <c r="L257">
        <f t="shared" si="36"/>
        <v>16.905185185185186</v>
      </c>
      <c r="M257">
        <f t="shared" si="37"/>
        <v>6.8667002651851856</v>
      </c>
      <c r="N257" s="9"/>
      <c r="O257" s="21">
        <v>1.1437999999999999</v>
      </c>
      <c r="P257" s="21">
        <v>11.2509</v>
      </c>
      <c r="Q257" s="21">
        <v>-1.2973E-2</v>
      </c>
      <c r="R257" s="21">
        <v>247</v>
      </c>
      <c r="S257" s="21">
        <v>1.1431899999999999</v>
      </c>
      <c r="T257">
        <f t="shared" si="38"/>
        <v>16.016049382716048</v>
      </c>
      <c r="U257">
        <f t="shared" si="39"/>
        <v>18.319157283950613</v>
      </c>
      <c r="X257" s="9"/>
      <c r="Y257" s="21">
        <v>0.40618900000000002</v>
      </c>
      <c r="Z257" s="21">
        <v>16.493099999999998</v>
      </c>
      <c r="AA257" s="21">
        <v>-1.36902E-2</v>
      </c>
      <c r="AB257" s="21">
        <v>247</v>
      </c>
      <c r="AC257" s="21">
        <v>0.40551799999999999</v>
      </c>
      <c r="AD257">
        <f t="shared" si="40"/>
        <v>16.901481481481479</v>
      </c>
      <c r="AE257">
        <f t="shared" si="41"/>
        <v>6.8651958614814808</v>
      </c>
      <c r="AF257" s="9"/>
      <c r="AG257" s="21">
        <v>1.1437999999999999</v>
      </c>
      <c r="AH257" s="21">
        <v>20.010100000000001</v>
      </c>
      <c r="AI257" s="21">
        <v>-1.30524E-2</v>
      </c>
      <c r="AJ257" s="21">
        <v>247</v>
      </c>
      <c r="AK257" s="21">
        <v>1.1425799999999999</v>
      </c>
      <c r="AL257">
        <f t="shared" si="42"/>
        <v>16.114074074074072</v>
      </c>
      <c r="AM257">
        <f t="shared" si="43"/>
        <v>18.431277925925922</v>
      </c>
      <c r="AP257" s="9"/>
      <c r="AQ257" s="21">
        <v>0.40618900000000002</v>
      </c>
      <c r="AR257" s="21">
        <v>25.251300000000001</v>
      </c>
      <c r="AS257" s="21">
        <v>-1.3671900000000001E-2</v>
      </c>
      <c r="AT257" s="21">
        <v>247</v>
      </c>
      <c r="AU257" s="21">
        <v>0.40566999999999998</v>
      </c>
      <c r="AV257">
        <f t="shared" si="44"/>
        <v>16.878888888888888</v>
      </c>
      <c r="AW257">
        <f t="shared" si="45"/>
        <v>6.8560189988888887</v>
      </c>
      <c r="AX257" s="9"/>
      <c r="AY257" s="21">
        <v>1.1437999999999999</v>
      </c>
      <c r="AZ257" s="21">
        <v>28.7684</v>
      </c>
      <c r="BA257" s="21">
        <v>-1.3085899999999999E-2</v>
      </c>
      <c r="BB257" s="21">
        <v>247</v>
      </c>
      <c r="BC257" s="21">
        <v>1.1425799999999999</v>
      </c>
      <c r="BD257">
        <f t="shared" si="46"/>
        <v>16.155432098765431</v>
      </c>
      <c r="BE257">
        <f t="shared" si="47"/>
        <v>18.4785832345679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0.40115400000000001</v>
      </c>
      <c r="H258" s="21">
        <v>7.7439299999999998</v>
      </c>
      <c r="I258" s="21">
        <v>-1.36902E-2</v>
      </c>
      <c r="J258" s="21">
        <v>248</v>
      </c>
      <c r="K258" s="21">
        <v>0.40045199999999997</v>
      </c>
      <c r="L258">
        <f t="shared" si="36"/>
        <v>16.901481481481479</v>
      </c>
      <c r="M258">
        <f t="shared" si="37"/>
        <v>6.7800969022222217</v>
      </c>
      <c r="N258" s="9"/>
      <c r="O258" s="21">
        <v>1.14883</v>
      </c>
      <c r="P258" s="21">
        <v>11.260999999999999</v>
      </c>
      <c r="Q258" s="21">
        <v>-1.29578E-2</v>
      </c>
      <c r="R258" s="21">
        <v>248</v>
      </c>
      <c r="S258" s="21">
        <v>1.14838</v>
      </c>
      <c r="T258">
        <f t="shared" si="38"/>
        <v>15.997283950617284</v>
      </c>
      <c r="U258">
        <f t="shared" si="39"/>
        <v>18.378159720987654</v>
      </c>
      <c r="X258" s="9"/>
      <c r="Y258" s="21">
        <v>0.40115400000000001</v>
      </c>
      <c r="Z258" s="21">
        <v>16.5031</v>
      </c>
      <c r="AA258" s="21">
        <v>-1.36902E-2</v>
      </c>
      <c r="AB258" s="21">
        <v>248</v>
      </c>
      <c r="AC258" s="21">
        <v>0.40063500000000002</v>
      </c>
      <c r="AD258">
        <f t="shared" si="40"/>
        <v>16.901481481481479</v>
      </c>
      <c r="AE258">
        <f t="shared" si="41"/>
        <v>6.7800969022222217</v>
      </c>
      <c r="AF258" s="9"/>
      <c r="AG258" s="21">
        <v>1.14883</v>
      </c>
      <c r="AH258" s="21">
        <v>20.020199999999999</v>
      </c>
      <c r="AI258" s="21">
        <v>-1.30463E-2</v>
      </c>
      <c r="AJ258" s="21">
        <v>248</v>
      </c>
      <c r="AK258" s="21">
        <v>1.1480699999999999</v>
      </c>
      <c r="AL258">
        <f t="shared" si="42"/>
        <v>16.106543209876545</v>
      </c>
      <c r="AM258">
        <f t="shared" si="43"/>
        <v>18.503680035802471</v>
      </c>
      <c r="AP258" s="9"/>
      <c r="AQ258" s="21">
        <v>0.40115400000000001</v>
      </c>
      <c r="AR258" s="21">
        <v>25.261399999999998</v>
      </c>
      <c r="AS258" s="21">
        <v>-1.3665800000000001E-2</v>
      </c>
      <c r="AT258" s="21">
        <v>248</v>
      </c>
      <c r="AU258" s="21">
        <v>0.40054299999999998</v>
      </c>
      <c r="AV258">
        <f t="shared" si="44"/>
        <v>16.871358024691357</v>
      </c>
      <c r="AW258">
        <f t="shared" si="45"/>
        <v>6.7680127570370372</v>
      </c>
      <c r="AX258" s="9"/>
      <c r="AY258" s="21">
        <v>1.14883</v>
      </c>
      <c r="AZ258" s="21">
        <v>28.778500000000001</v>
      </c>
      <c r="BA258" s="21">
        <v>-1.3085899999999999E-2</v>
      </c>
      <c r="BB258" s="21">
        <v>248</v>
      </c>
      <c r="BC258" s="21">
        <v>1.14838</v>
      </c>
      <c r="BD258">
        <f t="shared" si="46"/>
        <v>16.155432098765431</v>
      </c>
      <c r="BE258">
        <f t="shared" si="47"/>
        <v>18.559845058024688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0.39611800000000003</v>
      </c>
      <c r="H259" s="21">
        <v>7.7539999999999996</v>
      </c>
      <c r="I259" s="21">
        <v>-1.3684099999999999E-2</v>
      </c>
      <c r="J259" s="21">
        <v>249</v>
      </c>
      <c r="K259" s="21">
        <v>0.39550800000000003</v>
      </c>
      <c r="L259">
        <f t="shared" si="36"/>
        <v>16.893950617283949</v>
      </c>
      <c r="M259">
        <f t="shared" si="37"/>
        <v>6.6919979306172834</v>
      </c>
      <c r="N259" s="9"/>
      <c r="O259" s="21">
        <v>1.15387</v>
      </c>
      <c r="P259" s="21">
        <v>11.271100000000001</v>
      </c>
      <c r="Q259" s="21">
        <v>-1.29517E-2</v>
      </c>
      <c r="R259" s="21">
        <v>249</v>
      </c>
      <c r="S259" s="21">
        <v>1.15326</v>
      </c>
      <c r="T259">
        <f t="shared" si="38"/>
        <v>15.989753086419752</v>
      </c>
      <c r="U259">
        <f t="shared" si="39"/>
        <v>18.45009639382716</v>
      </c>
      <c r="X259" s="9"/>
      <c r="Y259" s="21">
        <v>0.39611800000000003</v>
      </c>
      <c r="Z259" s="21">
        <v>16.513200000000001</v>
      </c>
      <c r="AA259" s="21">
        <v>-1.36963E-2</v>
      </c>
      <c r="AB259" s="21">
        <v>249</v>
      </c>
      <c r="AC259" s="21">
        <v>0.39559899999999998</v>
      </c>
      <c r="AD259">
        <f t="shared" si="40"/>
        <v>16.90901234567901</v>
      </c>
      <c r="AE259">
        <f t="shared" si="41"/>
        <v>6.6979641523456781</v>
      </c>
      <c r="AF259" s="9"/>
      <c r="AG259" s="21">
        <v>1.15387</v>
      </c>
      <c r="AH259" s="21">
        <v>20.0303</v>
      </c>
      <c r="AI259" s="21">
        <v>-1.3030999999999999E-2</v>
      </c>
      <c r="AJ259" s="21">
        <v>249</v>
      </c>
      <c r="AK259" s="21">
        <v>1.1529499999999999</v>
      </c>
      <c r="AL259">
        <f t="shared" si="42"/>
        <v>16.087654320987653</v>
      </c>
      <c r="AM259">
        <f t="shared" si="43"/>
        <v>18.563061691358023</v>
      </c>
      <c r="AP259" s="9"/>
      <c r="AQ259" s="21">
        <v>0.39611800000000003</v>
      </c>
      <c r="AR259" s="21">
        <v>25.2714</v>
      </c>
      <c r="AS259" s="21">
        <v>-1.36597E-2</v>
      </c>
      <c r="AT259" s="21">
        <v>249</v>
      </c>
      <c r="AU259" s="21">
        <v>0.39550800000000003</v>
      </c>
      <c r="AV259">
        <f t="shared" si="44"/>
        <v>16.863827160493827</v>
      </c>
      <c r="AW259">
        <f t="shared" si="45"/>
        <v>6.6800654871604941</v>
      </c>
      <c r="AX259" s="9"/>
      <c r="AY259" s="21">
        <v>1.15387</v>
      </c>
      <c r="AZ259" s="21">
        <v>28.788599999999999</v>
      </c>
      <c r="BA259" s="21">
        <v>-1.3091999999999999E-2</v>
      </c>
      <c r="BB259" s="21">
        <v>249</v>
      </c>
      <c r="BC259" s="21">
        <v>1.15265</v>
      </c>
      <c r="BD259">
        <f t="shared" si="46"/>
        <v>16.162962962962961</v>
      </c>
      <c r="BE259">
        <f t="shared" si="47"/>
        <v>18.649958074074071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0.39108300000000001</v>
      </c>
      <c r="H260" s="21">
        <v>7.7640700000000002</v>
      </c>
      <c r="I260" s="21">
        <v>-1.3684099999999999E-2</v>
      </c>
      <c r="J260" s="21">
        <v>250</v>
      </c>
      <c r="K260" s="21">
        <v>0.39050299999999999</v>
      </c>
      <c r="L260">
        <f t="shared" si="36"/>
        <v>16.893950617283949</v>
      </c>
      <c r="M260">
        <f t="shared" si="37"/>
        <v>6.6069368892592584</v>
      </c>
      <c r="N260" s="9"/>
      <c r="O260" s="21">
        <v>1.1589100000000001</v>
      </c>
      <c r="P260" s="21">
        <v>11.2811</v>
      </c>
      <c r="Q260" s="21">
        <v>-1.29395E-2</v>
      </c>
      <c r="R260" s="21">
        <v>250</v>
      </c>
      <c r="S260" s="21">
        <v>1.1575299999999999</v>
      </c>
      <c r="T260">
        <f t="shared" si="38"/>
        <v>15.974691358024689</v>
      </c>
      <c r="U260">
        <f t="shared" si="39"/>
        <v>18.513229561728394</v>
      </c>
      <c r="X260" s="9"/>
      <c r="Y260" s="21">
        <v>0.39108300000000001</v>
      </c>
      <c r="Z260" s="21">
        <v>16.523299999999999</v>
      </c>
      <c r="AA260" s="21">
        <v>-1.37054E-2</v>
      </c>
      <c r="AB260" s="21">
        <v>250</v>
      </c>
      <c r="AC260" s="21">
        <v>0.39041100000000001</v>
      </c>
      <c r="AD260">
        <f t="shared" si="40"/>
        <v>16.920246913580247</v>
      </c>
      <c r="AE260">
        <f t="shared" si="41"/>
        <v>6.6172209237037034</v>
      </c>
      <c r="AF260" s="9"/>
      <c r="AG260" s="21">
        <v>1.1589100000000001</v>
      </c>
      <c r="AH260" s="21">
        <v>20.040299999999998</v>
      </c>
      <c r="AI260" s="21">
        <v>-1.3028E-2</v>
      </c>
      <c r="AJ260" s="21">
        <v>250</v>
      </c>
      <c r="AK260" s="21">
        <v>1.15784</v>
      </c>
      <c r="AL260">
        <f t="shared" si="42"/>
        <v>16.08395061728395</v>
      </c>
      <c r="AM260">
        <f t="shared" si="43"/>
        <v>18.639851209876543</v>
      </c>
      <c r="AP260" s="9"/>
      <c r="AQ260" s="21">
        <v>0.39108300000000001</v>
      </c>
      <c r="AR260" s="21">
        <v>25.281500000000001</v>
      </c>
      <c r="AS260" s="21">
        <v>-1.36627E-2</v>
      </c>
      <c r="AT260" s="21">
        <v>250</v>
      </c>
      <c r="AU260" s="21">
        <v>0.39047199999999999</v>
      </c>
      <c r="AV260">
        <f t="shared" si="44"/>
        <v>16.86753086419753</v>
      </c>
      <c r="AW260">
        <f t="shared" si="45"/>
        <v>6.5966045729629625</v>
      </c>
      <c r="AX260" s="9"/>
      <c r="AY260" s="21">
        <v>1.1589100000000001</v>
      </c>
      <c r="AZ260" s="21">
        <v>28.7986</v>
      </c>
      <c r="BA260" s="21">
        <v>-1.30829E-2</v>
      </c>
      <c r="BB260" s="21">
        <v>250</v>
      </c>
      <c r="BC260" s="21">
        <v>1.1575299999999999</v>
      </c>
      <c r="BD260">
        <f t="shared" si="46"/>
        <v>16.151728395061728</v>
      </c>
      <c r="BE260">
        <f t="shared" si="47"/>
        <v>18.718399554320989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0.38604699999999997</v>
      </c>
      <c r="H261" s="21">
        <v>7.7741400000000001</v>
      </c>
      <c r="I261" s="21">
        <v>-1.3684099999999999E-2</v>
      </c>
      <c r="J261" s="21">
        <v>251</v>
      </c>
      <c r="K261" s="21">
        <v>0.38549800000000001</v>
      </c>
      <c r="L261">
        <f t="shared" si="36"/>
        <v>16.893950617283949</v>
      </c>
      <c r="M261">
        <f t="shared" si="37"/>
        <v>6.5218589539506162</v>
      </c>
      <c r="N261" s="9"/>
      <c r="O261" s="21">
        <v>1.16394</v>
      </c>
      <c r="P261" s="21">
        <v>11.2912</v>
      </c>
      <c r="Q261" s="21">
        <v>-1.29242E-2</v>
      </c>
      <c r="R261" s="21">
        <v>251</v>
      </c>
      <c r="S261" s="21">
        <v>1.16272</v>
      </c>
      <c r="T261">
        <f t="shared" si="38"/>
        <v>15.955802469135801</v>
      </c>
      <c r="U261">
        <f t="shared" si="39"/>
        <v>18.571596725925925</v>
      </c>
      <c r="X261" s="9"/>
      <c r="Y261" s="21">
        <v>0.38604699999999997</v>
      </c>
      <c r="Z261" s="21">
        <v>16.5334</v>
      </c>
      <c r="AA261" s="21">
        <v>-1.3699299999999999E-2</v>
      </c>
      <c r="AB261" s="21">
        <v>251</v>
      </c>
      <c r="AC261" s="21">
        <v>0.38543699999999997</v>
      </c>
      <c r="AD261">
        <f t="shared" si="40"/>
        <v>16.912716049382716</v>
      </c>
      <c r="AE261">
        <f t="shared" si="41"/>
        <v>6.5291032927160488</v>
      </c>
      <c r="AF261" s="9"/>
      <c r="AG261" s="21">
        <v>1.16394</v>
      </c>
      <c r="AH261" s="21">
        <v>20.0504</v>
      </c>
      <c r="AI261" s="21">
        <v>-1.3018800000000001E-2</v>
      </c>
      <c r="AJ261" s="21">
        <v>251</v>
      </c>
      <c r="AK261" s="21">
        <v>1.16272</v>
      </c>
      <c r="AL261">
        <f t="shared" si="42"/>
        <v>16.072592592592592</v>
      </c>
      <c r="AM261">
        <f t="shared" si="43"/>
        <v>18.70753342222222</v>
      </c>
      <c r="AP261" s="9"/>
      <c r="AQ261" s="21">
        <v>0.38604699999999997</v>
      </c>
      <c r="AR261" s="21">
        <v>25.291599999999999</v>
      </c>
      <c r="AS261" s="21">
        <v>-1.36749E-2</v>
      </c>
      <c r="AT261" s="21">
        <v>251</v>
      </c>
      <c r="AU261" s="21">
        <v>0.38546799999999998</v>
      </c>
      <c r="AV261">
        <f t="shared" si="44"/>
        <v>16.882592592592591</v>
      </c>
      <c r="AW261">
        <f t="shared" si="45"/>
        <v>6.5174742225925915</v>
      </c>
      <c r="AX261" s="9"/>
      <c r="AY261" s="21">
        <v>1.16394</v>
      </c>
      <c r="AZ261" s="21">
        <v>28.808700000000002</v>
      </c>
      <c r="BA261" s="21">
        <v>-1.3064600000000001E-2</v>
      </c>
      <c r="BB261" s="21">
        <v>251</v>
      </c>
      <c r="BC261" s="21">
        <v>1.16333</v>
      </c>
      <c r="BD261">
        <f t="shared" si="46"/>
        <v>16.129135802469136</v>
      </c>
      <c r="BE261">
        <f t="shared" si="47"/>
        <v>18.773346325925925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0.38101200000000002</v>
      </c>
      <c r="H262" s="21">
        <v>7.7842200000000004</v>
      </c>
      <c r="I262" s="21">
        <v>-1.3687100000000001E-2</v>
      </c>
      <c r="J262" s="21">
        <v>252</v>
      </c>
      <c r="K262" s="21">
        <v>0.38034099999999998</v>
      </c>
      <c r="L262">
        <f t="shared" si="36"/>
        <v>16.897654320987655</v>
      </c>
      <c r="M262">
        <f t="shared" si="37"/>
        <v>6.438209068148149</v>
      </c>
      <c r="N262" s="9"/>
      <c r="O262" s="21">
        <v>1.1689799999999999</v>
      </c>
      <c r="P262" s="21">
        <v>11.301299999999999</v>
      </c>
      <c r="Q262" s="21">
        <v>-1.2902800000000001E-2</v>
      </c>
      <c r="R262" s="21">
        <v>252</v>
      </c>
      <c r="S262" s="21">
        <v>1.16852</v>
      </c>
      <c r="T262">
        <f t="shared" si="38"/>
        <v>15.929382716049382</v>
      </c>
      <c r="U262">
        <f t="shared" si="39"/>
        <v>18.621129807407407</v>
      </c>
      <c r="X262" s="9"/>
      <c r="Y262" s="21">
        <v>0.38101200000000002</v>
      </c>
      <c r="Z262" s="21">
        <v>16.543399999999998</v>
      </c>
      <c r="AA262" s="21">
        <v>-1.3693200000000001E-2</v>
      </c>
      <c r="AB262" s="21">
        <v>252</v>
      </c>
      <c r="AC262" s="21">
        <v>0.38043199999999999</v>
      </c>
      <c r="AD262">
        <f t="shared" si="40"/>
        <v>16.905185185185186</v>
      </c>
      <c r="AE262">
        <f t="shared" si="41"/>
        <v>6.4410784177777787</v>
      </c>
      <c r="AF262" s="9"/>
      <c r="AG262" s="21">
        <v>1.1689799999999999</v>
      </c>
      <c r="AH262" s="21">
        <v>20.060500000000001</v>
      </c>
      <c r="AI262" s="21">
        <v>-1.3003499999999999E-2</v>
      </c>
      <c r="AJ262" s="21">
        <v>252</v>
      </c>
      <c r="AK262" s="21">
        <v>1.16791</v>
      </c>
      <c r="AL262">
        <f t="shared" si="42"/>
        <v>16.0537037037037</v>
      </c>
      <c r="AM262">
        <f t="shared" si="43"/>
        <v>18.766458555555548</v>
      </c>
      <c r="AP262" s="9"/>
      <c r="AQ262" s="21">
        <v>0.38101200000000002</v>
      </c>
      <c r="AR262" s="21">
        <v>25.301600000000001</v>
      </c>
      <c r="AS262" s="21">
        <v>-1.36749E-2</v>
      </c>
      <c r="AT262" s="21">
        <v>252</v>
      </c>
      <c r="AU262" s="21">
        <v>0.38043199999999999</v>
      </c>
      <c r="AV262">
        <f t="shared" si="44"/>
        <v>16.882592592592591</v>
      </c>
      <c r="AW262">
        <f t="shared" si="45"/>
        <v>6.4324703688888887</v>
      </c>
      <c r="AX262" s="9"/>
      <c r="AY262" s="21">
        <v>1.1689799999999999</v>
      </c>
      <c r="AZ262" s="21">
        <v>28.8188</v>
      </c>
      <c r="BA262" s="21">
        <v>-1.30402E-2</v>
      </c>
      <c r="BB262" s="21">
        <v>252</v>
      </c>
      <c r="BC262" s="21">
        <v>1.16791</v>
      </c>
      <c r="BD262">
        <f t="shared" si="46"/>
        <v>16.099012345679011</v>
      </c>
      <c r="BE262">
        <f t="shared" si="47"/>
        <v>18.819423451851847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0.37597700000000001</v>
      </c>
      <c r="H263" s="21">
        <v>7.7942900000000002</v>
      </c>
      <c r="I263" s="21">
        <v>-1.36902E-2</v>
      </c>
      <c r="J263" s="21">
        <v>253</v>
      </c>
      <c r="K263" s="21">
        <v>0.375336</v>
      </c>
      <c r="L263">
        <f t="shared" si="36"/>
        <v>16.901481481481479</v>
      </c>
      <c r="M263">
        <f t="shared" si="37"/>
        <v>6.3545683029629618</v>
      </c>
      <c r="N263" s="9"/>
      <c r="O263" s="21">
        <v>1.17401</v>
      </c>
      <c r="P263" s="21">
        <v>11.311299999999999</v>
      </c>
      <c r="Q263" s="21">
        <v>-1.2893699999999999E-2</v>
      </c>
      <c r="R263" s="21">
        <v>253</v>
      </c>
      <c r="S263" s="21">
        <v>1.1731</v>
      </c>
      <c r="T263">
        <f t="shared" si="38"/>
        <v>15.918148148148147</v>
      </c>
      <c r="U263">
        <f t="shared" si="39"/>
        <v>18.688065107407404</v>
      </c>
      <c r="X263" s="9"/>
      <c r="Y263" s="21">
        <v>0.37597700000000001</v>
      </c>
      <c r="Z263" s="21">
        <v>16.5535</v>
      </c>
      <c r="AA263" s="21">
        <v>-1.3693200000000001E-2</v>
      </c>
      <c r="AB263" s="21">
        <v>253</v>
      </c>
      <c r="AC263" s="21">
        <v>0.375336</v>
      </c>
      <c r="AD263">
        <f t="shared" si="40"/>
        <v>16.905185185185186</v>
      </c>
      <c r="AE263">
        <f t="shared" si="41"/>
        <v>6.3559608103703704</v>
      </c>
      <c r="AF263" s="9"/>
      <c r="AG263" s="21">
        <v>1.17401</v>
      </c>
      <c r="AH263" s="21">
        <v>20.070599999999999</v>
      </c>
      <c r="AI263" s="21">
        <v>-1.29791E-2</v>
      </c>
      <c r="AJ263" s="21">
        <v>253</v>
      </c>
      <c r="AK263" s="21">
        <v>1.1731</v>
      </c>
      <c r="AL263">
        <f t="shared" si="42"/>
        <v>16.023580246913578</v>
      </c>
      <c r="AM263">
        <f t="shared" si="43"/>
        <v>18.81184344567901</v>
      </c>
      <c r="AP263" s="9"/>
      <c r="AQ263" s="21">
        <v>0.37597700000000001</v>
      </c>
      <c r="AR263" s="21">
        <v>25.311699999999998</v>
      </c>
      <c r="AS263" s="21">
        <v>-1.3681E-2</v>
      </c>
      <c r="AT263" s="21">
        <v>253</v>
      </c>
      <c r="AU263" s="21">
        <v>0.37539699999999998</v>
      </c>
      <c r="AV263">
        <f t="shared" si="44"/>
        <v>16.890123456790121</v>
      </c>
      <c r="AW263">
        <f t="shared" si="45"/>
        <v>6.3502979469135798</v>
      </c>
      <c r="AX263" s="9"/>
      <c r="AY263" s="21">
        <v>1.17401</v>
      </c>
      <c r="AZ263" s="21">
        <v>28.828800000000001</v>
      </c>
      <c r="BA263" s="21">
        <v>-1.30157E-2</v>
      </c>
      <c r="BB263" s="21">
        <v>253</v>
      </c>
      <c r="BC263" s="21">
        <v>1.1734</v>
      </c>
      <c r="BD263">
        <f t="shared" si="46"/>
        <v>16.068765432098765</v>
      </c>
      <c r="BE263">
        <f t="shared" si="47"/>
        <v>18.864891304938272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0.37094100000000002</v>
      </c>
      <c r="H264" s="21">
        <v>7.80436</v>
      </c>
      <c r="I264" s="21">
        <v>-1.36963E-2</v>
      </c>
      <c r="J264" s="21">
        <v>254</v>
      </c>
      <c r="K264" s="21">
        <v>0.370392</v>
      </c>
      <c r="L264">
        <f t="shared" si="36"/>
        <v>16.90901234567901</v>
      </c>
      <c r="M264">
        <f t="shared" si="37"/>
        <v>6.2722459485185178</v>
      </c>
      <c r="N264" s="9"/>
      <c r="O264" s="21">
        <v>1.1790499999999999</v>
      </c>
      <c r="P264" s="21">
        <v>11.321400000000001</v>
      </c>
      <c r="Q264" s="21">
        <v>-1.2881500000000001E-2</v>
      </c>
      <c r="R264" s="21">
        <v>254</v>
      </c>
      <c r="S264" s="21">
        <v>1.17798</v>
      </c>
      <c r="T264">
        <f t="shared" si="38"/>
        <v>15.903086419753087</v>
      </c>
      <c r="U264">
        <f t="shared" si="39"/>
        <v>18.750534043209878</v>
      </c>
      <c r="X264" s="9"/>
      <c r="Y264" s="21">
        <v>0.37094100000000002</v>
      </c>
      <c r="Z264" s="21">
        <v>16.563600000000001</v>
      </c>
      <c r="AA264" s="21">
        <v>-1.37024E-2</v>
      </c>
      <c r="AB264" s="21">
        <v>254</v>
      </c>
      <c r="AC264" s="21">
        <v>0.37030000000000002</v>
      </c>
      <c r="AD264">
        <f t="shared" si="40"/>
        <v>16.916543209876544</v>
      </c>
      <c r="AE264">
        <f t="shared" si="41"/>
        <v>6.2750394548148156</v>
      </c>
      <c r="AF264" s="9"/>
      <c r="AG264" s="21">
        <v>1.1790499999999999</v>
      </c>
      <c r="AH264" s="21">
        <v>20.0806</v>
      </c>
      <c r="AI264" s="21">
        <v>-1.2970000000000001E-2</v>
      </c>
      <c r="AJ264" s="21">
        <v>254</v>
      </c>
      <c r="AK264" s="21">
        <v>1.17828</v>
      </c>
      <c r="AL264">
        <f t="shared" si="42"/>
        <v>16.012345679012348</v>
      </c>
      <c r="AM264">
        <f t="shared" si="43"/>
        <v>18.879356172839508</v>
      </c>
      <c r="AP264" s="9"/>
      <c r="AQ264" s="21">
        <v>0.37094100000000002</v>
      </c>
      <c r="AR264" s="21">
        <v>25.3218</v>
      </c>
      <c r="AS264" s="21">
        <v>-1.3687100000000001E-2</v>
      </c>
      <c r="AT264" s="21">
        <v>254</v>
      </c>
      <c r="AU264" s="21">
        <v>0.370392</v>
      </c>
      <c r="AV264">
        <f t="shared" si="44"/>
        <v>16.897654320987655</v>
      </c>
      <c r="AW264">
        <f t="shared" si="45"/>
        <v>6.268032791481482</v>
      </c>
      <c r="AX264" s="9"/>
      <c r="AY264" s="21">
        <v>1.1790499999999999</v>
      </c>
      <c r="AZ264" s="21">
        <v>28.838899999999999</v>
      </c>
      <c r="BA264" s="21">
        <v>-1.2997399999999999E-2</v>
      </c>
      <c r="BB264" s="21">
        <v>254</v>
      </c>
      <c r="BC264" s="21">
        <v>1.17798</v>
      </c>
      <c r="BD264">
        <f t="shared" si="46"/>
        <v>16.04617283950617</v>
      </c>
      <c r="BE264">
        <f t="shared" si="47"/>
        <v>18.919240086419748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0.36590600000000001</v>
      </c>
      <c r="H265" s="21">
        <v>7.8144299999999998</v>
      </c>
      <c r="I265" s="21">
        <v>-1.3699299999999999E-2</v>
      </c>
      <c r="J265" s="21">
        <v>255</v>
      </c>
      <c r="K265" s="21">
        <v>0.365448</v>
      </c>
      <c r="L265">
        <f t="shared" si="36"/>
        <v>16.912716049382716</v>
      </c>
      <c r="M265">
        <f t="shared" si="37"/>
        <v>6.1884642787654327</v>
      </c>
      <c r="N265" s="9"/>
      <c r="O265" s="21">
        <v>1.18408</v>
      </c>
      <c r="P265" s="21">
        <v>11.3315</v>
      </c>
      <c r="Q265" s="21">
        <v>-1.28723E-2</v>
      </c>
      <c r="R265" s="21">
        <v>255</v>
      </c>
      <c r="S265" s="21">
        <v>1.1831700000000001</v>
      </c>
      <c r="T265">
        <f t="shared" si="38"/>
        <v>15.891728395061728</v>
      </c>
      <c r="U265">
        <f t="shared" si="39"/>
        <v>18.817077758024691</v>
      </c>
      <c r="X265" s="9"/>
      <c r="Y265" s="21">
        <v>0.36590600000000001</v>
      </c>
      <c r="Z265" s="21">
        <v>16.573599999999999</v>
      </c>
      <c r="AA265" s="21">
        <v>-1.3720700000000001E-2</v>
      </c>
      <c r="AB265" s="21">
        <v>255</v>
      </c>
      <c r="AC265" s="21">
        <v>0.36535600000000001</v>
      </c>
      <c r="AD265">
        <f t="shared" si="40"/>
        <v>16.939135802469135</v>
      </c>
      <c r="AE265">
        <f t="shared" si="41"/>
        <v>6.1981314249382713</v>
      </c>
      <c r="AF265" s="9"/>
      <c r="AG265" s="21">
        <v>1.18408</v>
      </c>
      <c r="AH265" s="21">
        <v>20.090699999999998</v>
      </c>
      <c r="AI265" s="21">
        <v>-1.29669E-2</v>
      </c>
      <c r="AJ265" s="21">
        <v>255</v>
      </c>
      <c r="AK265" s="21">
        <v>1.1831700000000001</v>
      </c>
      <c r="AL265">
        <f t="shared" si="42"/>
        <v>16.008518518518514</v>
      </c>
      <c r="AM265">
        <f t="shared" si="43"/>
        <v>18.955366607407402</v>
      </c>
      <c r="AP265" s="9"/>
      <c r="AQ265" s="21">
        <v>0.36590600000000001</v>
      </c>
      <c r="AR265" s="21">
        <v>25.331900000000001</v>
      </c>
      <c r="AS265" s="21">
        <v>-1.3699299999999999E-2</v>
      </c>
      <c r="AT265" s="21">
        <v>255</v>
      </c>
      <c r="AU265" s="21">
        <v>0.36538700000000002</v>
      </c>
      <c r="AV265">
        <f t="shared" si="44"/>
        <v>16.912716049382716</v>
      </c>
      <c r="AW265">
        <f t="shared" si="45"/>
        <v>6.1884642787654327</v>
      </c>
      <c r="AX265" s="9"/>
      <c r="AY265" s="21">
        <v>1.18408</v>
      </c>
      <c r="AZ265" s="21">
        <v>28.849</v>
      </c>
      <c r="BA265" s="21">
        <v>-1.2982199999999999E-2</v>
      </c>
      <c r="BB265" s="21">
        <v>255</v>
      </c>
      <c r="BC265" s="21">
        <v>1.1831700000000001</v>
      </c>
      <c r="BD265">
        <f t="shared" si="46"/>
        <v>16.027407407407406</v>
      </c>
      <c r="BE265">
        <f t="shared" si="47"/>
        <v>18.977732562962963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0.36087000000000002</v>
      </c>
      <c r="H266" s="21">
        <v>7.8244999999999996</v>
      </c>
      <c r="I266" s="21">
        <v>-1.37054E-2</v>
      </c>
      <c r="J266" s="21">
        <v>256</v>
      </c>
      <c r="K266" s="21">
        <v>0.36022900000000002</v>
      </c>
      <c r="L266">
        <f t="shared" si="36"/>
        <v>16.920246913580247</v>
      </c>
      <c r="M266">
        <f t="shared" si="37"/>
        <v>6.1060095037037039</v>
      </c>
      <c r="N266" s="9"/>
      <c r="O266" s="21">
        <v>1.18912</v>
      </c>
      <c r="P266" s="21">
        <v>11.3416</v>
      </c>
      <c r="Q266" s="21">
        <v>-1.28662E-2</v>
      </c>
      <c r="R266" s="21">
        <v>256</v>
      </c>
      <c r="S266" s="21">
        <v>1.18835</v>
      </c>
      <c r="T266">
        <f t="shared" si="38"/>
        <v>15.884197530864196</v>
      </c>
      <c r="U266">
        <f t="shared" si="39"/>
        <v>18.888216967901233</v>
      </c>
      <c r="X266" s="9"/>
      <c r="Y266" s="21">
        <v>0.36087000000000002</v>
      </c>
      <c r="Z266" s="21">
        <v>16.5837</v>
      </c>
      <c r="AA266" s="21">
        <v>-1.3732899999999999E-2</v>
      </c>
      <c r="AB266" s="21">
        <v>256</v>
      </c>
      <c r="AC266" s="21">
        <v>0.36026000000000002</v>
      </c>
      <c r="AD266">
        <f t="shared" si="40"/>
        <v>16.954197530864196</v>
      </c>
      <c r="AE266">
        <f t="shared" si="41"/>
        <v>6.1182612629629629</v>
      </c>
      <c r="AF266" s="9"/>
      <c r="AG266" s="21">
        <v>1.18912</v>
      </c>
      <c r="AH266" s="21">
        <v>20.1008</v>
      </c>
      <c r="AI266" s="21">
        <v>-1.29578E-2</v>
      </c>
      <c r="AJ266" s="21">
        <v>256</v>
      </c>
      <c r="AK266" s="21">
        <v>1.18866</v>
      </c>
      <c r="AL266">
        <f t="shared" si="42"/>
        <v>15.997283950617284</v>
      </c>
      <c r="AM266">
        <f t="shared" si="43"/>
        <v>19.022690291358025</v>
      </c>
      <c r="AP266" s="9"/>
      <c r="AQ266" s="21">
        <v>0.36087000000000002</v>
      </c>
      <c r="AR266" s="21">
        <v>25.341899999999999</v>
      </c>
      <c r="AS266" s="21">
        <v>-1.37024E-2</v>
      </c>
      <c r="AT266" s="21">
        <v>256</v>
      </c>
      <c r="AU266" s="21">
        <v>0.36016799999999999</v>
      </c>
      <c r="AV266">
        <f t="shared" si="44"/>
        <v>16.916543209876544</v>
      </c>
      <c r="AW266">
        <f t="shared" si="45"/>
        <v>6.1046729481481483</v>
      </c>
      <c r="AX266" s="9"/>
      <c r="AY266" s="21">
        <v>1.18912</v>
      </c>
      <c r="AZ266" s="21">
        <v>28.859100000000002</v>
      </c>
      <c r="BA266" s="21">
        <v>-1.2970000000000001E-2</v>
      </c>
      <c r="BB266" s="21">
        <v>256</v>
      </c>
      <c r="BC266" s="21">
        <v>1.18835</v>
      </c>
      <c r="BD266">
        <f t="shared" si="46"/>
        <v>16.012345679012348</v>
      </c>
      <c r="BE266">
        <f t="shared" si="47"/>
        <v>19.040600493827164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0.35583500000000001</v>
      </c>
      <c r="H267" s="21">
        <v>7.8345700000000003</v>
      </c>
      <c r="I267" s="21">
        <v>-1.3720700000000001E-2</v>
      </c>
      <c r="J267" s="21">
        <v>257</v>
      </c>
      <c r="K267" s="21">
        <v>0.35519400000000001</v>
      </c>
      <c r="L267">
        <f t="shared" si="36"/>
        <v>16.939135802469135</v>
      </c>
      <c r="M267">
        <f t="shared" si="37"/>
        <v>6.0275373882716048</v>
      </c>
      <c r="N267" s="9"/>
      <c r="O267" s="21">
        <v>1.19415</v>
      </c>
      <c r="P267" s="21">
        <v>11.351599999999999</v>
      </c>
      <c r="Q267" s="21">
        <v>-1.28632E-2</v>
      </c>
      <c r="R267" s="21">
        <v>257</v>
      </c>
      <c r="S267" s="21">
        <v>1.19293</v>
      </c>
      <c r="T267">
        <f t="shared" si="38"/>
        <v>15.880493827160493</v>
      </c>
      <c r="U267">
        <f t="shared" si="39"/>
        <v>18.963691703703702</v>
      </c>
      <c r="X267" s="9"/>
      <c r="Y267" s="21">
        <v>0.35583500000000001</v>
      </c>
      <c r="Z267" s="21">
        <v>16.593800000000002</v>
      </c>
      <c r="AA267" s="21">
        <v>-1.37421E-2</v>
      </c>
      <c r="AB267" s="21">
        <v>257</v>
      </c>
      <c r="AC267" s="21">
        <v>0.35531600000000002</v>
      </c>
      <c r="AD267">
        <f t="shared" si="40"/>
        <v>16.965555555555554</v>
      </c>
      <c r="AE267">
        <f t="shared" si="41"/>
        <v>6.0369384611111103</v>
      </c>
      <c r="AF267" s="9"/>
      <c r="AG267" s="21">
        <v>1.19415</v>
      </c>
      <c r="AH267" s="21">
        <v>20.110800000000001</v>
      </c>
      <c r="AI267" s="21">
        <v>-1.2948599999999999E-2</v>
      </c>
      <c r="AJ267" s="21">
        <v>257</v>
      </c>
      <c r="AK267" s="21">
        <v>1.1926300000000001</v>
      </c>
      <c r="AL267">
        <f t="shared" si="42"/>
        <v>15.985925925925924</v>
      </c>
      <c r="AM267">
        <f t="shared" si="43"/>
        <v>19.089593444444443</v>
      </c>
      <c r="AP267" s="9"/>
      <c r="AQ267" s="21">
        <v>0.35583500000000001</v>
      </c>
      <c r="AR267" s="21">
        <v>25.352</v>
      </c>
      <c r="AS267" s="21">
        <v>-1.36963E-2</v>
      </c>
      <c r="AT267" s="21">
        <v>257</v>
      </c>
      <c r="AU267" s="21">
        <v>0.35525499999999999</v>
      </c>
      <c r="AV267">
        <f t="shared" si="44"/>
        <v>16.90901234567901</v>
      </c>
      <c r="AW267">
        <f t="shared" si="45"/>
        <v>6.0168184080246903</v>
      </c>
      <c r="AX267" s="9"/>
      <c r="AY267" s="21">
        <v>1.19415</v>
      </c>
      <c r="AZ267" s="21">
        <v>28.8691</v>
      </c>
      <c r="BA267" s="21">
        <v>-1.29608E-2</v>
      </c>
      <c r="BB267" s="21">
        <v>257</v>
      </c>
      <c r="BC267" s="21">
        <v>1.19293</v>
      </c>
      <c r="BD267">
        <f t="shared" si="46"/>
        <v>16.000987654320987</v>
      </c>
      <c r="BE267">
        <f t="shared" si="47"/>
        <v>19.107579407407407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0.3508</v>
      </c>
      <c r="H268" s="21">
        <v>7.8446400000000001</v>
      </c>
      <c r="I268" s="21">
        <v>-1.37421E-2</v>
      </c>
      <c r="J268" s="21">
        <v>258</v>
      </c>
      <c r="K268" s="21">
        <v>0.35034199999999999</v>
      </c>
      <c r="L268">
        <f t="shared" ref="L268:L331" si="48">-I268/$F$2*1000</f>
        <v>16.965555555555554</v>
      </c>
      <c r="M268">
        <f t="shared" ref="M268:M331" si="49">L268*G268</f>
        <v>5.9515168888888885</v>
      </c>
      <c r="N268" s="9"/>
      <c r="O268" s="21">
        <v>1.19919</v>
      </c>
      <c r="P268" s="21">
        <v>11.361700000000001</v>
      </c>
      <c r="Q268" s="21">
        <v>-1.2847900000000001E-2</v>
      </c>
      <c r="R268" s="21">
        <v>258</v>
      </c>
      <c r="S268" s="21">
        <v>1.19781</v>
      </c>
      <c r="T268">
        <f t="shared" ref="T268:T331" si="50">-Q268/$F$2*1000</f>
        <v>15.861604938271604</v>
      </c>
      <c r="U268">
        <f t="shared" ref="U268:U331" si="51">T268*O268</f>
        <v>19.021078025925924</v>
      </c>
      <c r="X268" s="9"/>
      <c r="Y268" s="21">
        <v>0.3508</v>
      </c>
      <c r="Z268" s="21">
        <v>16.6038</v>
      </c>
      <c r="AA268" s="21">
        <v>-1.37512E-2</v>
      </c>
      <c r="AB268" s="21">
        <v>258</v>
      </c>
      <c r="AC268" s="21">
        <v>0.350159</v>
      </c>
      <c r="AD268">
        <f t="shared" ref="AD268:AD331" si="52">-AA268/$F$2*1000</f>
        <v>16.976790123456787</v>
      </c>
      <c r="AE268">
        <f t="shared" ref="AE268:AE331" si="53">AD268*Y268</f>
        <v>5.955457975308641</v>
      </c>
      <c r="AF268" s="9"/>
      <c r="AG268" s="21">
        <v>1.19919</v>
      </c>
      <c r="AH268" s="21">
        <v>20.120899999999999</v>
      </c>
      <c r="AI268" s="21">
        <v>-1.2942499999999999E-2</v>
      </c>
      <c r="AJ268" s="21">
        <v>258</v>
      </c>
      <c r="AK268" s="21">
        <v>1.1981200000000001</v>
      </c>
      <c r="AL268">
        <f t="shared" ref="AL268:AL331" si="54">-AI268/$F$2*1000</f>
        <v>15.978395061728392</v>
      </c>
      <c r="AM268">
        <f t="shared" ref="AM268:AM331" si="55">AL268*AG268</f>
        <v>19.161131574074069</v>
      </c>
      <c r="AP268" s="9"/>
      <c r="AQ268" s="21">
        <v>0.3508</v>
      </c>
      <c r="AR268" s="21">
        <v>25.362100000000002</v>
      </c>
      <c r="AS268" s="21">
        <v>-1.3687100000000001E-2</v>
      </c>
      <c r="AT268" s="21">
        <v>258</v>
      </c>
      <c r="AU268" s="21">
        <v>0.35025000000000001</v>
      </c>
      <c r="AV268">
        <f t="shared" ref="AV268:AV331" si="56">-AS268/$F$2*1000</f>
        <v>16.897654320987655</v>
      </c>
      <c r="AW268">
        <f t="shared" ref="AW268:AW331" si="57">AV268*AQ268</f>
        <v>5.9276971358024699</v>
      </c>
      <c r="AX268" s="9"/>
      <c r="AY268" s="21">
        <v>1.19919</v>
      </c>
      <c r="AZ268" s="21">
        <v>28.879200000000001</v>
      </c>
      <c r="BA268" s="21">
        <v>-1.2948599999999999E-2</v>
      </c>
      <c r="BB268" s="21">
        <v>258</v>
      </c>
      <c r="BC268" s="21">
        <v>1.1990400000000001</v>
      </c>
      <c r="BD268">
        <f t="shared" ref="BD268:BD331" si="58">-BA268/$F$2*1000</f>
        <v>15.985925925925924</v>
      </c>
      <c r="BE268">
        <f t="shared" ref="BE268:BE331" si="59">BD268*AY268</f>
        <v>19.170162511111108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0.34576400000000002</v>
      </c>
      <c r="H269" s="21">
        <v>7.8547099999999999</v>
      </c>
      <c r="I269" s="21">
        <v>-1.3754300000000001E-2</v>
      </c>
      <c r="J269" s="21">
        <v>259</v>
      </c>
      <c r="K269" s="21">
        <v>0.34512300000000001</v>
      </c>
      <c r="L269">
        <f t="shared" si="48"/>
        <v>16.980617283950615</v>
      </c>
      <c r="M269">
        <f t="shared" si="49"/>
        <v>5.8712861545679003</v>
      </c>
      <c r="N269" s="9"/>
      <c r="O269" s="21">
        <v>1.2042200000000001</v>
      </c>
      <c r="P269" s="21">
        <v>11.3718</v>
      </c>
      <c r="Q269" s="21">
        <v>-1.28326E-2</v>
      </c>
      <c r="R269" s="21">
        <v>259</v>
      </c>
      <c r="S269" s="21">
        <v>1.2036100000000001</v>
      </c>
      <c r="T269">
        <f t="shared" si="50"/>
        <v>15.842716049382712</v>
      </c>
      <c r="U269">
        <f t="shared" si="51"/>
        <v>19.078115520987652</v>
      </c>
      <c r="X269" s="9"/>
      <c r="Y269" s="21">
        <v>0.34576400000000002</v>
      </c>
      <c r="Z269" s="21">
        <v>16.613900000000001</v>
      </c>
      <c r="AA269" s="21">
        <v>-1.37451E-2</v>
      </c>
      <c r="AB269" s="21">
        <v>259</v>
      </c>
      <c r="AC269" s="21">
        <v>0.34515400000000002</v>
      </c>
      <c r="AD269">
        <f t="shared" si="52"/>
        <v>16.969259259259257</v>
      </c>
      <c r="AE269">
        <f t="shared" si="53"/>
        <v>5.8673589585185182</v>
      </c>
      <c r="AF269" s="9"/>
      <c r="AG269" s="21">
        <v>1.2042200000000001</v>
      </c>
      <c r="AH269" s="21">
        <v>20.131</v>
      </c>
      <c r="AI269" s="21">
        <v>-1.29211E-2</v>
      </c>
      <c r="AJ269" s="21">
        <v>259</v>
      </c>
      <c r="AK269" s="21">
        <v>1.2036100000000001</v>
      </c>
      <c r="AL269">
        <f t="shared" si="54"/>
        <v>15.951975308641973</v>
      </c>
      <c r="AM269">
        <f t="shared" si="55"/>
        <v>19.20968770617284</v>
      </c>
      <c r="AP269" s="9"/>
      <c r="AQ269" s="21">
        <v>0.34576400000000002</v>
      </c>
      <c r="AR269" s="21">
        <v>25.3721</v>
      </c>
      <c r="AS269" s="21">
        <v>-1.3677999999999999E-2</v>
      </c>
      <c r="AT269" s="21">
        <v>259</v>
      </c>
      <c r="AU269" s="21">
        <v>0.34515400000000002</v>
      </c>
      <c r="AV269">
        <f t="shared" si="56"/>
        <v>16.886419753086418</v>
      </c>
      <c r="AW269">
        <f t="shared" si="57"/>
        <v>5.8387160395061724</v>
      </c>
      <c r="AX269" s="9"/>
      <c r="AY269" s="21">
        <v>1.2042200000000001</v>
      </c>
      <c r="AZ269" s="21">
        <v>28.889299999999999</v>
      </c>
      <c r="BA269" s="21">
        <v>-1.29456E-2</v>
      </c>
      <c r="BB269" s="21">
        <v>259</v>
      </c>
      <c r="BC269" s="21">
        <v>1.2027000000000001</v>
      </c>
      <c r="BD269">
        <f t="shared" si="58"/>
        <v>15.982222222222221</v>
      </c>
      <c r="BE269">
        <f t="shared" si="59"/>
        <v>19.246111644444444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0.340729</v>
      </c>
      <c r="H270" s="21">
        <v>7.8647799999999997</v>
      </c>
      <c r="I270" s="21">
        <v>-1.37695E-2</v>
      </c>
      <c r="J270" s="21">
        <v>260</v>
      </c>
      <c r="K270" s="21">
        <v>0.34014899999999998</v>
      </c>
      <c r="L270">
        <f t="shared" si="48"/>
        <v>16.999382716049382</v>
      </c>
      <c r="M270">
        <f t="shared" si="49"/>
        <v>5.7921826734567903</v>
      </c>
      <c r="N270" s="9"/>
      <c r="O270" s="21">
        <v>1.20926</v>
      </c>
      <c r="P270" s="21">
        <v>11.3818</v>
      </c>
      <c r="Q270" s="21">
        <v>-1.28235E-2</v>
      </c>
      <c r="R270" s="21">
        <v>260</v>
      </c>
      <c r="S270" s="21">
        <v>1.2084999999999999</v>
      </c>
      <c r="T270">
        <f t="shared" si="50"/>
        <v>15.831481481481481</v>
      </c>
      <c r="U270">
        <f t="shared" si="51"/>
        <v>19.144377296296295</v>
      </c>
      <c r="X270" s="9"/>
      <c r="Y270" s="21">
        <v>0.340729</v>
      </c>
      <c r="Z270" s="21">
        <v>16.623999999999999</v>
      </c>
      <c r="AA270" s="21">
        <v>-1.3736E-2</v>
      </c>
      <c r="AB270" s="21">
        <v>260</v>
      </c>
      <c r="AC270" s="21">
        <v>0.340088</v>
      </c>
      <c r="AD270">
        <f t="shared" si="52"/>
        <v>16.958024691358023</v>
      </c>
      <c r="AE270">
        <f t="shared" si="53"/>
        <v>5.7780907950617282</v>
      </c>
      <c r="AF270" s="9"/>
      <c r="AG270" s="21">
        <v>1.20926</v>
      </c>
      <c r="AH270" s="21">
        <v>20.140999999999998</v>
      </c>
      <c r="AI270" s="21">
        <v>-1.2912E-2</v>
      </c>
      <c r="AJ270" s="21">
        <v>260</v>
      </c>
      <c r="AK270" s="21">
        <v>1.2081900000000001</v>
      </c>
      <c r="AL270">
        <f t="shared" si="54"/>
        <v>15.940740740740738</v>
      </c>
      <c r="AM270">
        <f t="shared" si="55"/>
        <v>19.276500148148145</v>
      </c>
      <c r="AP270" s="9"/>
      <c r="AQ270" s="21">
        <v>0.340729</v>
      </c>
      <c r="AR270" s="21">
        <v>25.382200000000001</v>
      </c>
      <c r="AS270" s="21">
        <v>-1.3671900000000001E-2</v>
      </c>
      <c r="AT270" s="21">
        <v>260</v>
      </c>
      <c r="AU270" s="21">
        <v>0.34017900000000001</v>
      </c>
      <c r="AV270">
        <f t="shared" si="56"/>
        <v>16.878888888888888</v>
      </c>
      <c r="AW270">
        <f t="shared" si="57"/>
        <v>5.7511269322222223</v>
      </c>
      <c r="AX270" s="9"/>
      <c r="AY270" s="21">
        <v>1.20926</v>
      </c>
      <c r="AZ270" s="21">
        <v>28.8993</v>
      </c>
      <c r="BA270" s="21">
        <v>-1.29303E-2</v>
      </c>
      <c r="BB270" s="21">
        <v>260</v>
      </c>
      <c r="BC270" s="21">
        <v>1.2081900000000001</v>
      </c>
      <c r="BD270">
        <f t="shared" si="58"/>
        <v>15.963333333333333</v>
      </c>
      <c r="BE270">
        <f t="shared" si="59"/>
        <v>19.303820466666668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0.33569300000000002</v>
      </c>
      <c r="H271" s="21">
        <v>7.8748500000000003</v>
      </c>
      <c r="I271" s="21">
        <v>-1.3772599999999999E-2</v>
      </c>
      <c r="J271" s="21">
        <v>261</v>
      </c>
      <c r="K271" s="21">
        <v>0.33505200000000002</v>
      </c>
      <c r="L271">
        <f t="shared" si="48"/>
        <v>17.00320987654321</v>
      </c>
      <c r="M271">
        <f t="shared" si="49"/>
        <v>5.7078585330864202</v>
      </c>
      <c r="N271" s="9"/>
      <c r="O271" s="21">
        <v>1.2142900000000001</v>
      </c>
      <c r="P271" s="21">
        <v>11.3919</v>
      </c>
      <c r="Q271" s="21">
        <v>-1.2811299999999999E-2</v>
      </c>
      <c r="R271" s="21">
        <v>261</v>
      </c>
      <c r="S271" s="21">
        <v>1.2130700000000001</v>
      </c>
      <c r="T271">
        <f t="shared" si="50"/>
        <v>15.816419753086418</v>
      </c>
      <c r="U271">
        <f t="shared" si="51"/>
        <v>19.205720341975308</v>
      </c>
      <c r="X271" s="9"/>
      <c r="Y271" s="21">
        <v>0.33569300000000002</v>
      </c>
      <c r="Z271" s="21">
        <v>16.6341</v>
      </c>
      <c r="AA271" s="21">
        <v>-1.3732899999999999E-2</v>
      </c>
      <c r="AB271" s="21">
        <v>261</v>
      </c>
      <c r="AC271" s="21">
        <v>0.33499099999999998</v>
      </c>
      <c r="AD271">
        <f t="shared" si="52"/>
        <v>16.954197530864196</v>
      </c>
      <c r="AE271">
        <f t="shared" si="53"/>
        <v>5.6914054317283949</v>
      </c>
      <c r="AF271" s="9"/>
      <c r="AG271" s="21">
        <v>1.2142900000000001</v>
      </c>
      <c r="AH271" s="21">
        <v>20.1511</v>
      </c>
      <c r="AI271" s="21">
        <v>-1.2896700000000001E-2</v>
      </c>
      <c r="AJ271" s="21">
        <v>261</v>
      </c>
      <c r="AK271" s="21">
        <v>1.2130700000000001</v>
      </c>
      <c r="AL271">
        <f t="shared" si="54"/>
        <v>15.92185185185185</v>
      </c>
      <c r="AM271">
        <f t="shared" si="55"/>
        <v>19.333745485185183</v>
      </c>
      <c r="AP271" s="9"/>
      <c r="AQ271" s="21">
        <v>0.33569300000000002</v>
      </c>
      <c r="AR271" s="21">
        <v>25.392299999999999</v>
      </c>
      <c r="AS271" s="21">
        <v>-1.3677999999999999E-2</v>
      </c>
      <c r="AT271" s="21">
        <v>261</v>
      </c>
      <c r="AU271" s="21">
        <v>0.33502199999999999</v>
      </c>
      <c r="AV271">
        <f t="shared" si="56"/>
        <v>16.886419753086418</v>
      </c>
      <c r="AW271">
        <f t="shared" si="57"/>
        <v>5.6686529061728397</v>
      </c>
      <c r="AX271" s="9"/>
      <c r="AY271" s="21">
        <v>1.2142900000000001</v>
      </c>
      <c r="AZ271" s="21">
        <v>28.909400000000002</v>
      </c>
      <c r="BA271" s="21">
        <v>-1.29211E-2</v>
      </c>
      <c r="BB271" s="21">
        <v>261</v>
      </c>
      <c r="BC271" s="21">
        <v>1.2136800000000001</v>
      </c>
      <c r="BD271">
        <f t="shared" si="58"/>
        <v>15.951975308641973</v>
      </c>
      <c r="BE271">
        <f t="shared" si="59"/>
        <v>19.370324097530862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0.33065800000000001</v>
      </c>
      <c r="H272" s="21">
        <v>7.8849299999999998</v>
      </c>
      <c r="I272" s="21">
        <v>-1.37787E-2</v>
      </c>
      <c r="J272" s="21">
        <v>262</v>
      </c>
      <c r="K272" s="21">
        <v>0.330017</v>
      </c>
      <c r="L272">
        <f t="shared" si="48"/>
        <v>17.01074074074074</v>
      </c>
      <c r="M272">
        <f t="shared" si="49"/>
        <v>5.6247375118518521</v>
      </c>
      <c r="N272" s="9"/>
      <c r="O272" s="21">
        <v>1.21933</v>
      </c>
      <c r="P272" s="21">
        <v>11.401999999999999</v>
      </c>
      <c r="Q272" s="21">
        <v>-1.2805199999999999E-2</v>
      </c>
      <c r="R272" s="21">
        <v>262</v>
      </c>
      <c r="S272" s="21">
        <v>1.2185699999999999</v>
      </c>
      <c r="T272">
        <f t="shared" si="50"/>
        <v>15.808888888888886</v>
      </c>
      <c r="U272">
        <f t="shared" si="51"/>
        <v>19.276252488888886</v>
      </c>
      <c r="X272" s="9"/>
      <c r="Y272" s="21">
        <v>0.33065800000000001</v>
      </c>
      <c r="Z272" s="21">
        <v>16.644100000000002</v>
      </c>
      <c r="AA272" s="21">
        <v>-1.3726800000000001E-2</v>
      </c>
      <c r="AB272" s="21">
        <v>262</v>
      </c>
      <c r="AC272" s="21">
        <v>0.33004800000000001</v>
      </c>
      <c r="AD272">
        <f t="shared" si="52"/>
        <v>16.946666666666665</v>
      </c>
      <c r="AE272">
        <f t="shared" si="53"/>
        <v>5.6035509066666664</v>
      </c>
      <c r="AF272" s="9"/>
      <c r="AG272" s="21">
        <v>1.21933</v>
      </c>
      <c r="AH272" s="21">
        <v>20.161200000000001</v>
      </c>
      <c r="AI272" s="21">
        <v>-1.28845E-2</v>
      </c>
      <c r="AJ272" s="21">
        <v>262</v>
      </c>
      <c r="AK272" s="21">
        <v>1.2182599999999999</v>
      </c>
      <c r="AL272">
        <f t="shared" si="54"/>
        <v>15.906790123456791</v>
      </c>
      <c r="AM272">
        <f t="shared" si="55"/>
        <v>19.395626401234569</v>
      </c>
      <c r="AP272" s="9"/>
      <c r="AQ272" s="21">
        <v>0.33065800000000001</v>
      </c>
      <c r="AR272" s="21">
        <v>25.4024</v>
      </c>
      <c r="AS272" s="21">
        <v>-1.3687100000000001E-2</v>
      </c>
      <c r="AT272" s="21">
        <v>262</v>
      </c>
      <c r="AU272" s="21">
        <v>0.33017000000000002</v>
      </c>
      <c r="AV272">
        <f t="shared" si="56"/>
        <v>16.897654320987655</v>
      </c>
      <c r="AW272">
        <f t="shared" si="57"/>
        <v>5.5873445824691359</v>
      </c>
      <c r="AX272" s="9"/>
      <c r="AY272" s="21">
        <v>1.21933</v>
      </c>
      <c r="AZ272" s="21">
        <v>28.919499999999999</v>
      </c>
      <c r="BA272" s="21">
        <v>-1.2908899999999999E-2</v>
      </c>
      <c r="BB272" s="21">
        <v>262</v>
      </c>
      <c r="BC272" s="21">
        <v>1.2179599999999999</v>
      </c>
      <c r="BD272">
        <f t="shared" si="58"/>
        <v>15.936913580246911</v>
      </c>
      <c r="BE272">
        <f t="shared" si="59"/>
        <v>19.432356835802466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0.325623</v>
      </c>
      <c r="H273" s="21">
        <v>7.8949999999999996</v>
      </c>
      <c r="I273" s="21">
        <v>-1.3772599999999999E-2</v>
      </c>
      <c r="J273" s="21">
        <v>263</v>
      </c>
      <c r="K273" s="21">
        <v>0.325073</v>
      </c>
      <c r="L273">
        <f t="shared" si="48"/>
        <v>17.00320987654321</v>
      </c>
      <c r="M273">
        <f t="shared" si="49"/>
        <v>5.5366362096296298</v>
      </c>
      <c r="N273" s="9"/>
      <c r="O273" s="21">
        <v>1.22437</v>
      </c>
      <c r="P273" s="21">
        <v>11.412100000000001</v>
      </c>
      <c r="Q273" s="21">
        <v>-1.2799100000000001E-2</v>
      </c>
      <c r="R273" s="21">
        <v>263</v>
      </c>
      <c r="S273" s="21">
        <v>1.2240599999999999</v>
      </c>
      <c r="T273">
        <f t="shared" si="50"/>
        <v>15.801358024691359</v>
      </c>
      <c r="U273">
        <f t="shared" si="51"/>
        <v>19.346708724691357</v>
      </c>
      <c r="X273" s="9"/>
      <c r="Y273" s="21">
        <v>0.325623</v>
      </c>
      <c r="Z273" s="21">
        <v>16.654199999999999</v>
      </c>
      <c r="AA273" s="21">
        <v>-1.3726800000000001E-2</v>
      </c>
      <c r="AB273" s="21">
        <v>263</v>
      </c>
      <c r="AC273" s="21">
        <v>0.32504300000000003</v>
      </c>
      <c r="AD273">
        <f t="shared" si="52"/>
        <v>16.946666666666665</v>
      </c>
      <c r="AE273">
        <f t="shared" si="53"/>
        <v>5.5182244399999991</v>
      </c>
      <c r="AF273" s="9"/>
      <c r="AG273" s="21">
        <v>1.22437</v>
      </c>
      <c r="AH273" s="21">
        <v>20.171299999999999</v>
      </c>
      <c r="AI273" s="21">
        <v>-1.28754E-2</v>
      </c>
      <c r="AJ273" s="21">
        <v>263</v>
      </c>
      <c r="AK273" s="21">
        <v>1.2231399999999999</v>
      </c>
      <c r="AL273">
        <f t="shared" si="54"/>
        <v>15.895555555555555</v>
      </c>
      <c r="AM273">
        <f t="shared" si="55"/>
        <v>19.462041355555556</v>
      </c>
      <c r="AP273" s="9"/>
      <c r="AQ273" s="21">
        <v>0.325623</v>
      </c>
      <c r="AR273" s="21">
        <v>25.412400000000002</v>
      </c>
      <c r="AS273" s="21">
        <v>-1.3693200000000001E-2</v>
      </c>
      <c r="AT273" s="21">
        <v>263</v>
      </c>
      <c r="AU273" s="21">
        <v>0.32504300000000003</v>
      </c>
      <c r="AV273">
        <f t="shared" si="56"/>
        <v>16.905185185185186</v>
      </c>
      <c r="AW273">
        <f t="shared" si="57"/>
        <v>5.5047171155555557</v>
      </c>
      <c r="AX273" s="9"/>
      <c r="AY273" s="21">
        <v>1.22437</v>
      </c>
      <c r="AZ273" s="21">
        <v>28.929600000000001</v>
      </c>
      <c r="BA273" s="21">
        <v>-1.28845E-2</v>
      </c>
      <c r="BB273" s="21">
        <v>263</v>
      </c>
      <c r="BC273" s="21">
        <v>1.2237499999999999</v>
      </c>
      <c r="BD273">
        <f t="shared" si="58"/>
        <v>15.906790123456791</v>
      </c>
      <c r="BE273">
        <f t="shared" si="59"/>
        <v>19.475796623456791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0.32058700000000001</v>
      </c>
      <c r="H274" s="21">
        <v>7.9050700000000003</v>
      </c>
      <c r="I274" s="21">
        <v>-1.37787E-2</v>
      </c>
      <c r="J274" s="21">
        <v>264</v>
      </c>
      <c r="K274" s="21">
        <v>0.32006800000000002</v>
      </c>
      <c r="L274">
        <f t="shared" si="48"/>
        <v>17.01074074074074</v>
      </c>
      <c r="M274">
        <f t="shared" si="49"/>
        <v>5.4534223418518515</v>
      </c>
      <c r="N274" s="9"/>
      <c r="O274" s="21">
        <v>1.2294</v>
      </c>
      <c r="P274" s="21">
        <v>11.4221</v>
      </c>
      <c r="Q274" s="21">
        <v>-1.27899E-2</v>
      </c>
      <c r="R274" s="21">
        <v>264</v>
      </c>
      <c r="S274" s="21">
        <v>1.22803</v>
      </c>
      <c r="T274">
        <f t="shared" si="50"/>
        <v>15.79</v>
      </c>
      <c r="U274">
        <f t="shared" si="51"/>
        <v>19.412226</v>
      </c>
      <c r="X274" s="9"/>
      <c r="Y274" s="21">
        <v>0.32058700000000001</v>
      </c>
      <c r="Z274" s="21">
        <v>16.664300000000001</v>
      </c>
      <c r="AA274" s="21">
        <v>-1.37299E-2</v>
      </c>
      <c r="AB274" s="21">
        <v>264</v>
      </c>
      <c r="AC274" s="21">
        <v>0.31997700000000001</v>
      </c>
      <c r="AD274">
        <f t="shared" si="52"/>
        <v>16.950493827160493</v>
      </c>
      <c r="AE274">
        <f t="shared" si="53"/>
        <v>5.4341079645679011</v>
      </c>
      <c r="AF274" s="9"/>
      <c r="AG274" s="21">
        <v>1.2294</v>
      </c>
      <c r="AH274" s="21">
        <v>20.1813</v>
      </c>
      <c r="AI274" s="21">
        <v>-1.28693E-2</v>
      </c>
      <c r="AJ274" s="21">
        <v>264</v>
      </c>
      <c r="AK274" s="21">
        <v>1.22864</v>
      </c>
      <c r="AL274">
        <f t="shared" si="54"/>
        <v>15.888024691358023</v>
      </c>
      <c r="AM274">
        <f t="shared" si="55"/>
        <v>19.532737555555553</v>
      </c>
      <c r="AP274" s="9"/>
      <c r="AQ274" s="21">
        <v>0.32058700000000001</v>
      </c>
      <c r="AR274" s="21">
        <v>25.422499999999999</v>
      </c>
      <c r="AS274" s="21">
        <v>-1.36963E-2</v>
      </c>
      <c r="AT274" s="21">
        <v>264</v>
      </c>
      <c r="AU274" s="21">
        <v>0.32000699999999999</v>
      </c>
      <c r="AV274">
        <f t="shared" si="56"/>
        <v>16.90901234567901</v>
      </c>
      <c r="AW274">
        <f t="shared" si="57"/>
        <v>5.4208095408641972</v>
      </c>
      <c r="AX274" s="9"/>
      <c r="AY274" s="21">
        <v>1.2294</v>
      </c>
      <c r="AZ274" s="21">
        <v>28.939599999999999</v>
      </c>
      <c r="BA274" s="21">
        <v>-1.28693E-2</v>
      </c>
      <c r="BB274" s="21">
        <v>264</v>
      </c>
      <c r="BC274" s="21">
        <v>1.22803</v>
      </c>
      <c r="BD274">
        <f t="shared" si="58"/>
        <v>15.888024691358023</v>
      </c>
      <c r="BE274">
        <f t="shared" si="59"/>
        <v>19.532737555555553</v>
      </c>
    </row>
    <row r="275" spans="6:101" x14ac:dyDescent="0.25">
      <c r="F275" s="9"/>
      <c r="G275" s="21">
        <v>0.315552</v>
      </c>
      <c r="H275" s="21">
        <v>7.9151400000000001</v>
      </c>
      <c r="I275" s="21">
        <v>-1.37787E-2</v>
      </c>
      <c r="J275" s="21">
        <v>265</v>
      </c>
      <c r="K275" s="21">
        <v>0.31497199999999997</v>
      </c>
      <c r="L275">
        <f t="shared" si="48"/>
        <v>17.01074074074074</v>
      </c>
      <c r="M275">
        <f t="shared" si="49"/>
        <v>5.3677732622222223</v>
      </c>
      <c r="N275" s="9"/>
      <c r="O275" s="21">
        <v>1.23444</v>
      </c>
      <c r="P275" s="21">
        <v>11.4322</v>
      </c>
      <c r="Q275" s="21">
        <v>-1.2765500000000001E-2</v>
      </c>
      <c r="R275" s="21">
        <v>265</v>
      </c>
      <c r="S275" s="21">
        <v>1.2335199999999999</v>
      </c>
      <c r="T275">
        <f t="shared" si="50"/>
        <v>15.759876543209876</v>
      </c>
      <c r="U275">
        <f t="shared" si="51"/>
        <v>19.454621999999997</v>
      </c>
      <c r="X275" s="9"/>
      <c r="Y275" s="21">
        <v>0.315552</v>
      </c>
      <c r="Z275" s="21">
        <v>16.674299999999999</v>
      </c>
      <c r="AA275" s="21">
        <v>-1.3736E-2</v>
      </c>
      <c r="AB275" s="21">
        <v>265</v>
      </c>
      <c r="AC275" s="21">
        <v>0.31494100000000003</v>
      </c>
      <c r="AD275">
        <f t="shared" si="52"/>
        <v>16.958024691358023</v>
      </c>
      <c r="AE275">
        <f t="shared" si="53"/>
        <v>5.3511386074074068</v>
      </c>
      <c r="AF275" s="9"/>
      <c r="AG275" s="21">
        <v>1.23444</v>
      </c>
      <c r="AH275" s="21">
        <v>20.191400000000002</v>
      </c>
      <c r="AI275" s="21">
        <v>-1.28632E-2</v>
      </c>
      <c r="AJ275" s="21">
        <v>265</v>
      </c>
      <c r="AK275" s="21">
        <v>1.23322</v>
      </c>
      <c r="AL275">
        <f t="shared" si="54"/>
        <v>15.880493827160493</v>
      </c>
      <c r="AM275">
        <f t="shared" si="55"/>
        <v>19.603516799999998</v>
      </c>
      <c r="AP275" s="9"/>
      <c r="AQ275" s="21">
        <v>0.315552</v>
      </c>
      <c r="AR275" s="21">
        <v>25.432600000000001</v>
      </c>
      <c r="AS275" s="21">
        <v>-1.36963E-2</v>
      </c>
      <c r="AT275" s="21">
        <v>265</v>
      </c>
      <c r="AU275" s="21">
        <v>0.31497199999999997</v>
      </c>
      <c r="AV275">
        <f t="shared" si="56"/>
        <v>16.90901234567901</v>
      </c>
      <c r="AW275">
        <f t="shared" si="57"/>
        <v>5.3356726637037024</v>
      </c>
      <c r="AX275" s="9"/>
      <c r="AY275" s="21">
        <v>1.23444</v>
      </c>
      <c r="AZ275" s="21">
        <v>28.9497</v>
      </c>
      <c r="BA275" s="21">
        <v>-1.2854000000000001E-2</v>
      </c>
      <c r="BB275" s="21">
        <v>265</v>
      </c>
      <c r="BC275" s="21">
        <v>1.23322</v>
      </c>
      <c r="BD275">
        <f t="shared" si="58"/>
        <v>15.869135802469136</v>
      </c>
      <c r="BE275">
        <f t="shared" si="59"/>
        <v>19.589496</v>
      </c>
    </row>
    <row r="276" spans="6:101" x14ac:dyDescent="0.25">
      <c r="F276" s="9"/>
      <c r="G276" s="21">
        <v>0.31051600000000001</v>
      </c>
      <c r="H276" s="21">
        <v>7.9252099999999999</v>
      </c>
      <c r="I276" s="21">
        <v>-1.3781699999999999E-2</v>
      </c>
      <c r="J276" s="21">
        <v>266</v>
      </c>
      <c r="K276" s="21">
        <v>0.309998</v>
      </c>
      <c r="L276">
        <f t="shared" si="48"/>
        <v>17.014444444444443</v>
      </c>
      <c r="M276">
        <f t="shared" si="49"/>
        <v>5.2832572311111106</v>
      </c>
      <c r="N276" s="9"/>
      <c r="O276" s="21">
        <v>1.2394700000000001</v>
      </c>
      <c r="P276" s="21">
        <v>11.442299999999999</v>
      </c>
      <c r="Q276" s="21">
        <v>-1.27502E-2</v>
      </c>
      <c r="R276" s="21">
        <v>266</v>
      </c>
      <c r="S276" s="21">
        <v>1.2377899999999999</v>
      </c>
      <c r="T276">
        <f t="shared" si="50"/>
        <v>15.740987654320987</v>
      </c>
      <c r="U276">
        <f t="shared" si="51"/>
        <v>19.510481967901235</v>
      </c>
      <c r="X276" s="9"/>
      <c r="Y276" s="21">
        <v>0.31051600000000001</v>
      </c>
      <c r="Z276" s="21">
        <v>16.6844</v>
      </c>
      <c r="AA276" s="21">
        <v>-1.37421E-2</v>
      </c>
      <c r="AB276" s="21">
        <v>266</v>
      </c>
      <c r="AC276" s="21">
        <v>0.309784</v>
      </c>
      <c r="AD276">
        <f t="shared" si="52"/>
        <v>16.965555555555554</v>
      </c>
      <c r="AE276">
        <f t="shared" si="53"/>
        <v>5.2680764488888885</v>
      </c>
      <c r="AF276" s="9"/>
      <c r="AG276" s="21">
        <v>1.2394700000000001</v>
      </c>
      <c r="AH276" s="21">
        <v>20.201499999999999</v>
      </c>
      <c r="AI276" s="21">
        <v>-1.28448E-2</v>
      </c>
      <c r="AJ276" s="21">
        <v>266</v>
      </c>
      <c r="AK276" s="21">
        <v>1.2383999999999999</v>
      </c>
      <c r="AL276">
        <f t="shared" si="54"/>
        <v>15.857777777777777</v>
      </c>
      <c r="AM276">
        <f t="shared" si="55"/>
        <v>19.655239822222221</v>
      </c>
      <c r="AP276" s="9"/>
      <c r="AQ276" s="21">
        <v>0.31051600000000001</v>
      </c>
      <c r="AR276" s="21">
        <v>25.442599999999999</v>
      </c>
      <c r="AS276" s="21">
        <v>-1.36963E-2</v>
      </c>
      <c r="AT276" s="21">
        <v>266</v>
      </c>
      <c r="AU276" s="21">
        <v>0.30993700000000002</v>
      </c>
      <c r="AV276">
        <f t="shared" si="56"/>
        <v>16.90901234567901</v>
      </c>
      <c r="AW276">
        <f t="shared" si="57"/>
        <v>5.2505188775308635</v>
      </c>
      <c r="AX276" s="9"/>
      <c r="AY276" s="21">
        <v>1.2394700000000001</v>
      </c>
      <c r="AZ276" s="21">
        <v>28.959800000000001</v>
      </c>
      <c r="BA276" s="21">
        <v>-1.2847900000000001E-2</v>
      </c>
      <c r="BB276" s="21">
        <v>266</v>
      </c>
      <c r="BC276" s="21">
        <v>1.23871</v>
      </c>
      <c r="BD276">
        <f t="shared" si="58"/>
        <v>15.861604938271604</v>
      </c>
      <c r="BE276">
        <f t="shared" si="59"/>
        <v>19.659983472839507</v>
      </c>
    </row>
    <row r="277" spans="6:101" x14ac:dyDescent="0.25">
      <c r="F277" s="9"/>
      <c r="G277" s="21">
        <v>0.305481</v>
      </c>
      <c r="H277" s="21">
        <v>7.9352799999999997</v>
      </c>
      <c r="I277" s="21">
        <v>-1.37909E-2</v>
      </c>
      <c r="J277" s="21">
        <v>267</v>
      </c>
      <c r="K277" s="21">
        <v>0.30490099999999998</v>
      </c>
      <c r="L277">
        <f t="shared" si="48"/>
        <v>17.025802469135801</v>
      </c>
      <c r="M277">
        <f t="shared" si="49"/>
        <v>5.2010591640740733</v>
      </c>
      <c r="N277" s="9"/>
      <c r="O277" s="21">
        <v>1.24451</v>
      </c>
      <c r="P277" s="21">
        <v>11.452299999999999</v>
      </c>
      <c r="Q277" s="21">
        <v>-1.2737999999999999E-2</v>
      </c>
      <c r="R277" s="21">
        <v>267</v>
      </c>
      <c r="S277" s="21">
        <v>1.24359</v>
      </c>
      <c r="T277">
        <f t="shared" si="50"/>
        <v>15.725925925925925</v>
      </c>
      <c r="U277">
        <f t="shared" si="51"/>
        <v>19.571072074074074</v>
      </c>
      <c r="X277" s="9"/>
      <c r="Y277" s="21">
        <v>0.305481</v>
      </c>
      <c r="Z277" s="21">
        <v>16.694500000000001</v>
      </c>
      <c r="AA277" s="21">
        <v>-1.3738999999999999E-2</v>
      </c>
      <c r="AB277" s="21">
        <v>267</v>
      </c>
      <c r="AC277" s="21">
        <v>0.30496200000000001</v>
      </c>
      <c r="AD277">
        <f t="shared" si="52"/>
        <v>16.961728395061726</v>
      </c>
      <c r="AE277">
        <f t="shared" si="53"/>
        <v>5.1814857518518513</v>
      </c>
      <c r="AF277" s="9"/>
      <c r="AG277" s="21">
        <v>1.24451</v>
      </c>
      <c r="AH277" s="21">
        <v>20.211500000000001</v>
      </c>
      <c r="AI277" s="21">
        <v>-1.28357E-2</v>
      </c>
      <c r="AJ277" s="21">
        <v>267</v>
      </c>
      <c r="AK277" s="21">
        <v>1.2439</v>
      </c>
      <c r="AL277">
        <f t="shared" si="54"/>
        <v>15.846543209876542</v>
      </c>
      <c r="AM277">
        <f t="shared" si="55"/>
        <v>19.721181490123456</v>
      </c>
      <c r="AP277" s="9"/>
      <c r="AQ277" s="21">
        <v>0.305481</v>
      </c>
      <c r="AR277" s="21">
        <v>25.4527</v>
      </c>
      <c r="AS277" s="21">
        <v>-1.37146E-2</v>
      </c>
      <c r="AT277" s="21">
        <v>267</v>
      </c>
      <c r="AU277" s="21">
        <v>0.30493199999999998</v>
      </c>
      <c r="AV277">
        <f t="shared" si="56"/>
        <v>16.931604938271605</v>
      </c>
      <c r="AW277">
        <f t="shared" si="57"/>
        <v>5.172283608148148</v>
      </c>
      <c r="AX277" s="9"/>
      <c r="AY277" s="21">
        <v>1.24451</v>
      </c>
      <c r="AZ277" s="21">
        <v>28.969799999999999</v>
      </c>
      <c r="BA277" s="21">
        <v>-1.28418E-2</v>
      </c>
      <c r="BB277" s="21">
        <v>267</v>
      </c>
      <c r="BC277" s="21">
        <v>1.24329</v>
      </c>
      <c r="BD277">
        <f t="shared" si="58"/>
        <v>15.854074074074072</v>
      </c>
      <c r="BE277">
        <f t="shared" si="59"/>
        <v>19.730553725925922</v>
      </c>
    </row>
    <row r="278" spans="6:101" x14ac:dyDescent="0.25">
      <c r="F278" s="9"/>
      <c r="G278" s="21">
        <v>0.30044599999999999</v>
      </c>
      <c r="H278" s="21">
        <v>7.9453500000000004</v>
      </c>
      <c r="I278" s="21">
        <v>-1.3787799999999999E-2</v>
      </c>
      <c r="J278" s="21">
        <v>268</v>
      </c>
      <c r="K278" s="21">
        <v>0.29980499999999999</v>
      </c>
      <c r="L278">
        <f t="shared" si="48"/>
        <v>17.021975308641974</v>
      </c>
      <c r="M278">
        <f t="shared" si="49"/>
        <v>5.1141843935802465</v>
      </c>
      <c r="N278" s="9"/>
      <c r="O278" s="21">
        <v>1.2495400000000001</v>
      </c>
      <c r="P278" s="21">
        <v>11.462400000000001</v>
      </c>
      <c r="Q278" s="21">
        <v>-1.2725800000000001E-2</v>
      </c>
      <c r="R278" s="21">
        <v>268</v>
      </c>
      <c r="S278" s="21">
        <v>1.24847</v>
      </c>
      <c r="T278">
        <f t="shared" si="50"/>
        <v>15.710864197530865</v>
      </c>
      <c r="U278">
        <f t="shared" si="51"/>
        <v>19.63135324938272</v>
      </c>
      <c r="X278" s="9"/>
      <c r="Y278" s="21">
        <v>0.30044599999999999</v>
      </c>
      <c r="Z278" s="21">
        <v>16.704599999999999</v>
      </c>
      <c r="AA278" s="21">
        <v>-1.3738999999999999E-2</v>
      </c>
      <c r="AB278" s="21">
        <v>268</v>
      </c>
      <c r="AC278" s="21">
        <v>0.29986600000000002</v>
      </c>
      <c r="AD278">
        <f t="shared" si="52"/>
        <v>16.961728395061726</v>
      </c>
      <c r="AE278">
        <f t="shared" si="53"/>
        <v>5.0960834493827152</v>
      </c>
      <c r="AF278" s="9"/>
      <c r="AG278" s="21">
        <v>1.2495400000000001</v>
      </c>
      <c r="AH278" s="21">
        <v>20.221599999999999</v>
      </c>
      <c r="AI278" s="21">
        <v>-1.2820399999999999E-2</v>
      </c>
      <c r="AJ278" s="21">
        <v>268</v>
      </c>
      <c r="AK278" s="21">
        <v>1.24817</v>
      </c>
      <c r="AL278">
        <f t="shared" si="54"/>
        <v>15.827654320987653</v>
      </c>
      <c r="AM278">
        <f t="shared" si="55"/>
        <v>19.777287180246915</v>
      </c>
      <c r="AP278" s="9"/>
      <c r="AQ278" s="21">
        <v>0.30044599999999999</v>
      </c>
      <c r="AR278" s="21">
        <v>25.462800000000001</v>
      </c>
      <c r="AS278" s="21">
        <v>-1.37299E-2</v>
      </c>
      <c r="AT278" s="21">
        <v>268</v>
      </c>
      <c r="AU278" s="21">
        <v>0.29983500000000002</v>
      </c>
      <c r="AV278">
        <f t="shared" si="56"/>
        <v>16.950493827160493</v>
      </c>
      <c r="AW278">
        <f t="shared" si="57"/>
        <v>5.0927080683950612</v>
      </c>
      <c r="AX278" s="9"/>
      <c r="AY278" s="21">
        <v>1.2495400000000001</v>
      </c>
      <c r="AZ278" s="21">
        <v>28.979900000000001</v>
      </c>
      <c r="BA278" s="21">
        <v>-1.28296E-2</v>
      </c>
      <c r="BB278" s="21">
        <v>268</v>
      </c>
      <c r="BC278" s="21">
        <v>1.24908</v>
      </c>
      <c r="BD278">
        <f t="shared" si="58"/>
        <v>15.839012345679013</v>
      </c>
      <c r="BE278">
        <f t="shared" si="59"/>
        <v>19.791479486419757</v>
      </c>
    </row>
    <row r="279" spans="6:101" x14ac:dyDescent="0.25">
      <c r="F279" s="9"/>
      <c r="G279" s="21">
        <v>0.29541000000000001</v>
      </c>
      <c r="H279" s="21">
        <v>7.9554200000000002</v>
      </c>
      <c r="I279" s="21">
        <v>-1.37848E-2</v>
      </c>
      <c r="J279" s="21">
        <v>269</v>
      </c>
      <c r="K279" s="21">
        <v>0.29482999999999998</v>
      </c>
      <c r="L279">
        <f t="shared" si="48"/>
        <v>17.018271604938271</v>
      </c>
      <c r="M279">
        <f t="shared" si="49"/>
        <v>5.027367614814815</v>
      </c>
      <c r="N279" s="9"/>
      <c r="O279" s="21">
        <v>1.25458</v>
      </c>
      <c r="P279" s="21">
        <v>11.4725</v>
      </c>
      <c r="Q279" s="21">
        <v>-1.27136E-2</v>
      </c>
      <c r="R279" s="21">
        <v>269</v>
      </c>
      <c r="S279" s="21">
        <v>1.25397</v>
      </c>
      <c r="T279">
        <f t="shared" si="50"/>
        <v>15.695802469135801</v>
      </c>
      <c r="U279">
        <f t="shared" si="51"/>
        <v>19.691639861728394</v>
      </c>
      <c r="X279" s="9"/>
      <c r="Y279" s="21">
        <v>0.29541000000000001</v>
      </c>
      <c r="Z279" s="21">
        <v>16.714600000000001</v>
      </c>
      <c r="AA279" s="21">
        <v>-1.37421E-2</v>
      </c>
      <c r="AB279" s="21">
        <v>269</v>
      </c>
      <c r="AC279" s="21">
        <v>0.29486099999999998</v>
      </c>
      <c r="AD279">
        <f t="shared" si="52"/>
        <v>16.965555555555554</v>
      </c>
      <c r="AE279">
        <f t="shared" si="53"/>
        <v>5.0117947666666662</v>
      </c>
      <c r="AF279" s="9"/>
      <c r="AG279" s="21">
        <v>1.25458</v>
      </c>
      <c r="AH279" s="21">
        <v>20.2317</v>
      </c>
      <c r="AI279" s="21">
        <v>-1.2805199999999999E-2</v>
      </c>
      <c r="AJ279" s="21">
        <v>269</v>
      </c>
      <c r="AK279" s="21">
        <v>1.25397</v>
      </c>
      <c r="AL279">
        <f t="shared" si="54"/>
        <v>15.808888888888886</v>
      </c>
      <c r="AM279">
        <f t="shared" si="55"/>
        <v>19.833515822222218</v>
      </c>
      <c r="AP279" s="9"/>
      <c r="AQ279" s="21">
        <v>0.29541000000000001</v>
      </c>
      <c r="AR279" s="21">
        <v>25.472799999999999</v>
      </c>
      <c r="AS279" s="21">
        <v>-1.3738999999999999E-2</v>
      </c>
      <c r="AT279" s="21">
        <v>269</v>
      </c>
      <c r="AU279" s="21">
        <v>0.29480000000000001</v>
      </c>
      <c r="AV279">
        <f t="shared" si="56"/>
        <v>16.961728395061726</v>
      </c>
      <c r="AW279">
        <f t="shared" si="57"/>
        <v>5.0106641851851847</v>
      </c>
      <c r="AX279" s="9"/>
      <c r="AY279" s="21">
        <v>1.25458</v>
      </c>
      <c r="AZ279" s="21">
        <v>28.99</v>
      </c>
      <c r="BA279" s="21">
        <v>-1.2811299999999999E-2</v>
      </c>
      <c r="BB279" s="21">
        <v>269</v>
      </c>
      <c r="BC279" s="21">
        <v>1.25366</v>
      </c>
      <c r="BD279">
        <f t="shared" si="58"/>
        <v>15.816419753086418</v>
      </c>
      <c r="BE279">
        <f t="shared" si="59"/>
        <v>19.842963893827157</v>
      </c>
    </row>
    <row r="280" spans="6:101" x14ac:dyDescent="0.25">
      <c r="F280" s="9"/>
      <c r="G280" s="21">
        <v>0.29037499999999999</v>
      </c>
      <c r="H280" s="21">
        <v>7.96549</v>
      </c>
      <c r="I280" s="21">
        <v>-1.37787E-2</v>
      </c>
      <c r="J280" s="21">
        <v>270</v>
      </c>
      <c r="K280" s="21">
        <v>0.28979500000000002</v>
      </c>
      <c r="L280">
        <f t="shared" si="48"/>
        <v>17.01074074074074</v>
      </c>
      <c r="M280">
        <f t="shared" si="49"/>
        <v>4.9394938425925927</v>
      </c>
      <c r="N280" s="9"/>
      <c r="O280" s="21">
        <v>1.2596099999999999</v>
      </c>
      <c r="P280" s="21">
        <v>11.4826</v>
      </c>
      <c r="Q280" s="21">
        <v>-1.26984E-2</v>
      </c>
      <c r="R280" s="21">
        <v>270</v>
      </c>
      <c r="S280" s="21">
        <v>1.25854</v>
      </c>
      <c r="T280">
        <f t="shared" si="50"/>
        <v>15.677037037037039</v>
      </c>
      <c r="U280">
        <f t="shared" si="51"/>
        <v>19.746952622222224</v>
      </c>
      <c r="X280" s="9"/>
      <c r="Y280" s="21">
        <v>0.29037499999999999</v>
      </c>
      <c r="Z280" s="21">
        <v>16.724699999999999</v>
      </c>
      <c r="AA280" s="21">
        <v>-1.37421E-2</v>
      </c>
      <c r="AB280" s="21">
        <v>270</v>
      </c>
      <c r="AC280" s="21">
        <v>0.28976400000000002</v>
      </c>
      <c r="AD280">
        <f t="shared" si="52"/>
        <v>16.965555555555554</v>
      </c>
      <c r="AE280">
        <f t="shared" si="53"/>
        <v>4.9263731944444435</v>
      </c>
      <c r="AF280" s="9"/>
      <c r="AG280" s="21">
        <v>1.2596099999999999</v>
      </c>
      <c r="AH280" s="21">
        <v>20.241800000000001</v>
      </c>
      <c r="AI280" s="21">
        <v>-1.27869E-2</v>
      </c>
      <c r="AJ280" s="21">
        <v>270</v>
      </c>
      <c r="AK280" s="21">
        <v>1.25946</v>
      </c>
      <c r="AL280">
        <f t="shared" si="54"/>
        <v>15.786296296296294</v>
      </c>
      <c r="AM280">
        <f t="shared" si="55"/>
        <v>19.884576677777773</v>
      </c>
      <c r="AP280" s="9"/>
      <c r="AQ280" s="21">
        <v>0.29037499999999999</v>
      </c>
      <c r="AR280" s="21">
        <v>25.482900000000001</v>
      </c>
      <c r="AS280" s="21">
        <v>-1.37451E-2</v>
      </c>
      <c r="AT280" s="21">
        <v>270</v>
      </c>
      <c r="AU280" s="21">
        <v>0.28979500000000002</v>
      </c>
      <c r="AV280">
        <f t="shared" si="56"/>
        <v>16.969259259259257</v>
      </c>
      <c r="AW280">
        <f t="shared" si="57"/>
        <v>4.9274486574074068</v>
      </c>
      <c r="AX280" s="9"/>
      <c r="AY280" s="21">
        <v>1.2596099999999999</v>
      </c>
      <c r="AZ280" s="21">
        <v>29.0001</v>
      </c>
      <c r="BA280" s="21">
        <v>-1.2793000000000001E-2</v>
      </c>
      <c r="BB280" s="21">
        <v>270</v>
      </c>
      <c r="BC280" s="21">
        <v>1.25885</v>
      </c>
      <c r="BD280">
        <f t="shared" si="58"/>
        <v>15.793827160493827</v>
      </c>
      <c r="BE280">
        <f t="shared" si="59"/>
        <v>19.894062629629627</v>
      </c>
    </row>
    <row r="281" spans="6:101" x14ac:dyDescent="0.25">
      <c r="F281" s="9"/>
      <c r="G281" s="21">
        <v>0.28533900000000001</v>
      </c>
      <c r="H281" s="21">
        <v>7.9755599999999998</v>
      </c>
      <c r="I281" s="21">
        <v>-1.3766499999999999E-2</v>
      </c>
      <c r="J281" s="21">
        <v>271</v>
      </c>
      <c r="K281" s="21">
        <v>0.28469800000000001</v>
      </c>
      <c r="L281">
        <f t="shared" si="48"/>
        <v>16.995679012345676</v>
      </c>
      <c r="M281">
        <f t="shared" si="49"/>
        <v>4.8495300537037025</v>
      </c>
      <c r="N281" s="9"/>
      <c r="O281" s="21">
        <v>1.2646500000000001</v>
      </c>
      <c r="P281" s="21">
        <v>11.492599999999999</v>
      </c>
      <c r="Q281" s="21">
        <v>-1.26801E-2</v>
      </c>
      <c r="R281" s="21">
        <v>271</v>
      </c>
      <c r="S281" s="21">
        <v>1.26373</v>
      </c>
      <c r="T281">
        <f t="shared" si="50"/>
        <v>15.654444444444444</v>
      </c>
      <c r="U281">
        <f t="shared" si="51"/>
        <v>19.797393166666666</v>
      </c>
      <c r="X281" s="9"/>
      <c r="Y281" s="21">
        <v>0.28533900000000001</v>
      </c>
      <c r="Z281" s="21">
        <v>16.7348</v>
      </c>
      <c r="AA281" s="21">
        <v>-1.37512E-2</v>
      </c>
      <c r="AB281" s="21">
        <v>271</v>
      </c>
      <c r="AC281" s="21">
        <v>0.28485100000000002</v>
      </c>
      <c r="AD281">
        <f t="shared" si="52"/>
        <v>16.976790123456787</v>
      </c>
      <c r="AE281">
        <f t="shared" si="53"/>
        <v>4.8441403170370361</v>
      </c>
      <c r="AF281" s="9"/>
      <c r="AG281" s="21">
        <v>1.2646500000000001</v>
      </c>
      <c r="AH281" s="21">
        <v>20.251799999999999</v>
      </c>
      <c r="AI281" s="21">
        <v>-1.27838E-2</v>
      </c>
      <c r="AJ281" s="21">
        <v>271</v>
      </c>
      <c r="AK281" s="21">
        <v>1.2634300000000001</v>
      </c>
      <c r="AL281">
        <f t="shared" si="54"/>
        <v>15.782469135802467</v>
      </c>
      <c r="AM281">
        <f t="shared" si="55"/>
        <v>19.95929959259259</v>
      </c>
      <c r="AP281" s="9"/>
      <c r="AQ281" s="21">
        <v>0.28533900000000001</v>
      </c>
      <c r="AR281" s="21">
        <v>25.492999999999999</v>
      </c>
      <c r="AS281" s="21">
        <v>-1.37451E-2</v>
      </c>
      <c r="AT281" s="21">
        <v>271</v>
      </c>
      <c r="AU281" s="21">
        <v>0.28466799999999998</v>
      </c>
      <c r="AV281">
        <f t="shared" si="56"/>
        <v>16.969259259259257</v>
      </c>
      <c r="AW281">
        <f t="shared" si="57"/>
        <v>4.8419914677777776</v>
      </c>
      <c r="AX281" s="9"/>
      <c r="AY281" s="21">
        <v>1.2646500000000001</v>
      </c>
      <c r="AZ281" s="21">
        <v>29.010100000000001</v>
      </c>
      <c r="BA281" s="21">
        <v>-1.2771599999999999E-2</v>
      </c>
      <c r="BB281" s="21">
        <v>271</v>
      </c>
      <c r="BC281" s="21">
        <v>1.26434</v>
      </c>
      <c r="BD281">
        <f t="shared" si="58"/>
        <v>15.767407407407408</v>
      </c>
      <c r="BE281">
        <f t="shared" si="59"/>
        <v>19.940251777777778</v>
      </c>
    </row>
    <row r="282" spans="6:101" x14ac:dyDescent="0.25">
      <c r="F282" s="9"/>
      <c r="G282" s="21">
        <v>0.280304</v>
      </c>
      <c r="H282" s="21">
        <v>7.9856400000000001</v>
      </c>
      <c r="I282" s="21">
        <v>-1.37634E-2</v>
      </c>
      <c r="J282" s="21">
        <v>272</v>
      </c>
      <c r="K282" s="21">
        <v>0.27987699999999999</v>
      </c>
      <c r="L282">
        <f t="shared" si="48"/>
        <v>16.991851851851852</v>
      </c>
      <c r="M282">
        <f t="shared" si="49"/>
        <v>4.762884041481481</v>
      </c>
      <c r="N282" s="9"/>
      <c r="O282" s="21">
        <v>1.2696799999999999</v>
      </c>
      <c r="P282" s="21">
        <v>11.502700000000001</v>
      </c>
      <c r="Q282" s="21">
        <v>-1.26678E-2</v>
      </c>
      <c r="R282" s="21">
        <v>272</v>
      </c>
      <c r="S282" s="21">
        <v>1.26892</v>
      </c>
      <c r="T282">
        <f t="shared" si="50"/>
        <v>15.639259259259259</v>
      </c>
      <c r="U282">
        <f t="shared" si="51"/>
        <v>19.856854696296296</v>
      </c>
      <c r="X282" s="9"/>
      <c r="Y282" s="21">
        <v>0.280304</v>
      </c>
      <c r="Z282" s="21">
        <v>16.744800000000001</v>
      </c>
      <c r="AA282" s="21">
        <v>-1.3754300000000001E-2</v>
      </c>
      <c r="AB282" s="21">
        <v>272</v>
      </c>
      <c r="AC282" s="21">
        <v>0.27963300000000002</v>
      </c>
      <c r="AD282">
        <f t="shared" si="52"/>
        <v>16.980617283950615</v>
      </c>
      <c r="AE282">
        <f t="shared" si="53"/>
        <v>4.7597349471604931</v>
      </c>
      <c r="AF282" s="9"/>
      <c r="AG282" s="21">
        <v>1.2696799999999999</v>
      </c>
      <c r="AH282" s="21">
        <v>20.261900000000001</v>
      </c>
      <c r="AI282" s="21">
        <v>-1.27808E-2</v>
      </c>
      <c r="AJ282" s="21">
        <v>272</v>
      </c>
      <c r="AK282" s="21">
        <v>1.26892</v>
      </c>
      <c r="AL282">
        <f t="shared" si="54"/>
        <v>15.778765432098764</v>
      </c>
      <c r="AM282">
        <f t="shared" si="55"/>
        <v>20.033982893827158</v>
      </c>
      <c r="AP282" s="9"/>
      <c r="AQ282" s="21">
        <v>0.280304</v>
      </c>
      <c r="AR282" s="21">
        <v>25.5031</v>
      </c>
      <c r="AS282" s="21">
        <v>-1.37421E-2</v>
      </c>
      <c r="AT282" s="21">
        <v>272</v>
      </c>
      <c r="AU282" s="21">
        <v>0.27975499999999998</v>
      </c>
      <c r="AV282">
        <f t="shared" si="56"/>
        <v>16.965555555555554</v>
      </c>
      <c r="AW282">
        <f t="shared" si="57"/>
        <v>4.755513084444444</v>
      </c>
      <c r="AX282" s="9"/>
      <c r="AY282" s="21">
        <v>1.2696799999999999</v>
      </c>
      <c r="AZ282" s="21">
        <v>29.020199999999999</v>
      </c>
      <c r="BA282" s="21">
        <v>-1.27502E-2</v>
      </c>
      <c r="BB282" s="21">
        <v>272</v>
      </c>
      <c r="BC282" s="21">
        <v>1.2692300000000001</v>
      </c>
      <c r="BD282">
        <f t="shared" si="58"/>
        <v>15.740987654320987</v>
      </c>
      <c r="BE282">
        <f t="shared" si="59"/>
        <v>19.986017204938271</v>
      </c>
    </row>
    <row r="283" spans="6:101" x14ac:dyDescent="0.25">
      <c r="F283" s="9"/>
      <c r="G283" s="21">
        <v>0.27526899999999999</v>
      </c>
      <c r="H283" s="21">
        <v>7.9957099999999999</v>
      </c>
      <c r="I283" s="21">
        <v>-1.37573E-2</v>
      </c>
      <c r="J283" s="21">
        <v>273</v>
      </c>
      <c r="K283" s="21">
        <v>0.27465800000000001</v>
      </c>
      <c r="L283">
        <f t="shared" si="48"/>
        <v>16.984320987654321</v>
      </c>
      <c r="M283">
        <f t="shared" si="49"/>
        <v>4.6752570539506175</v>
      </c>
      <c r="N283" s="9"/>
      <c r="O283" s="21">
        <v>1.2747200000000001</v>
      </c>
      <c r="P283" s="21">
        <v>11.5128</v>
      </c>
      <c r="Q283" s="21">
        <v>-1.26587E-2</v>
      </c>
      <c r="R283" s="21">
        <v>273</v>
      </c>
      <c r="S283" s="21">
        <v>1.2735000000000001</v>
      </c>
      <c r="T283">
        <f t="shared" si="50"/>
        <v>15.628024691358023</v>
      </c>
      <c r="U283">
        <f t="shared" si="51"/>
        <v>19.921355634567899</v>
      </c>
      <c r="X283" s="9"/>
      <c r="Y283" s="21">
        <v>0.27526899999999999</v>
      </c>
      <c r="Z283" s="21">
        <v>16.754899999999999</v>
      </c>
      <c r="AA283" s="21">
        <v>-1.3760400000000001E-2</v>
      </c>
      <c r="AB283" s="21">
        <v>273</v>
      </c>
      <c r="AC283" s="21">
        <v>0.27468900000000002</v>
      </c>
      <c r="AD283">
        <f t="shared" si="52"/>
        <v>16.988148148148149</v>
      </c>
      <c r="AE283">
        <f t="shared" si="53"/>
        <v>4.6763105525925921</v>
      </c>
      <c r="AF283" s="9"/>
      <c r="AG283" s="21">
        <v>1.2747200000000001</v>
      </c>
      <c r="AH283" s="21">
        <v>20.271999999999998</v>
      </c>
      <c r="AI283" s="21">
        <v>-1.2765500000000001E-2</v>
      </c>
      <c r="AJ283" s="21">
        <v>273</v>
      </c>
      <c r="AK283" s="21">
        <v>1.2735000000000001</v>
      </c>
      <c r="AL283">
        <f t="shared" si="54"/>
        <v>15.759876543209876</v>
      </c>
      <c r="AM283">
        <f t="shared" si="55"/>
        <v>20.089429827160494</v>
      </c>
      <c r="AP283" s="9"/>
      <c r="AQ283" s="21">
        <v>0.27526899999999999</v>
      </c>
      <c r="AR283" s="21">
        <v>25.513100000000001</v>
      </c>
      <c r="AS283" s="21">
        <v>-1.37421E-2</v>
      </c>
      <c r="AT283" s="21">
        <v>273</v>
      </c>
      <c r="AU283" s="21">
        <v>0.27468900000000002</v>
      </c>
      <c r="AV283">
        <f t="shared" si="56"/>
        <v>16.965555555555554</v>
      </c>
      <c r="AW283">
        <f t="shared" si="57"/>
        <v>4.6700915122222213</v>
      </c>
      <c r="AX283" s="9"/>
      <c r="AY283" s="21">
        <v>1.2747200000000001</v>
      </c>
      <c r="AZ283" s="21">
        <v>29.0303</v>
      </c>
      <c r="BA283" s="21">
        <v>-1.27289E-2</v>
      </c>
      <c r="BB283" s="21">
        <v>273</v>
      </c>
      <c r="BC283" s="21">
        <v>1.2741100000000001</v>
      </c>
      <c r="BD283">
        <f t="shared" si="58"/>
        <v>15.714691358024689</v>
      </c>
      <c r="BE283">
        <f t="shared" si="59"/>
        <v>20.031831367901233</v>
      </c>
    </row>
    <row r="284" spans="6:101" x14ac:dyDescent="0.25">
      <c r="F284" s="9"/>
      <c r="G284" s="21">
        <v>0.270233</v>
      </c>
      <c r="H284" s="21">
        <v>8.0057799999999997</v>
      </c>
      <c r="I284" s="21">
        <v>-1.3760400000000001E-2</v>
      </c>
      <c r="J284" s="21">
        <v>274</v>
      </c>
      <c r="K284" s="21">
        <v>0.26968399999999998</v>
      </c>
      <c r="L284">
        <f t="shared" si="48"/>
        <v>16.988148148148149</v>
      </c>
      <c r="M284">
        <f t="shared" si="49"/>
        <v>4.5907582385185188</v>
      </c>
      <c r="N284" s="9"/>
      <c r="O284" s="21">
        <v>1.2797499999999999</v>
      </c>
      <c r="P284" s="21">
        <v>11.5228</v>
      </c>
      <c r="Q284" s="21">
        <v>-1.2643400000000001E-2</v>
      </c>
      <c r="R284" s="21">
        <v>274</v>
      </c>
      <c r="S284" s="21">
        <v>1.2789900000000001</v>
      </c>
      <c r="T284">
        <f t="shared" si="50"/>
        <v>15.609135802469137</v>
      </c>
      <c r="U284">
        <f t="shared" si="51"/>
        <v>19.975791543209876</v>
      </c>
      <c r="X284" s="9"/>
      <c r="Y284" s="21">
        <v>0.270233</v>
      </c>
      <c r="Z284" s="21">
        <v>16.765000000000001</v>
      </c>
      <c r="AA284" s="21">
        <v>-1.37695E-2</v>
      </c>
      <c r="AB284" s="21">
        <v>274</v>
      </c>
      <c r="AC284" s="21">
        <v>0.269623</v>
      </c>
      <c r="AD284">
        <f t="shared" si="52"/>
        <v>16.999382716049382</v>
      </c>
      <c r="AE284">
        <f t="shared" si="53"/>
        <v>4.5937941895061725</v>
      </c>
      <c r="AF284" s="9"/>
      <c r="AG284" s="21">
        <v>1.2797499999999999</v>
      </c>
      <c r="AH284" s="21">
        <v>20.282</v>
      </c>
      <c r="AI284" s="21">
        <v>-1.27563E-2</v>
      </c>
      <c r="AJ284" s="21">
        <v>274</v>
      </c>
      <c r="AK284" s="21">
        <v>1.2786900000000001</v>
      </c>
      <c r="AL284">
        <f t="shared" si="54"/>
        <v>15.748518518518516</v>
      </c>
      <c r="AM284">
        <f t="shared" si="55"/>
        <v>20.154166574074068</v>
      </c>
      <c r="AP284" s="9"/>
      <c r="AQ284" s="21">
        <v>0.270233</v>
      </c>
      <c r="AR284" s="21">
        <v>25.523199999999999</v>
      </c>
      <c r="AS284" s="21">
        <v>-1.37421E-2</v>
      </c>
      <c r="AT284" s="21">
        <v>274</v>
      </c>
      <c r="AU284" s="21">
        <v>0.269623</v>
      </c>
      <c r="AV284">
        <f t="shared" si="56"/>
        <v>16.965555555555554</v>
      </c>
      <c r="AW284">
        <f t="shared" si="57"/>
        <v>4.5846529744444435</v>
      </c>
      <c r="AX284" s="9"/>
      <c r="AY284" s="21">
        <v>1.2797499999999999</v>
      </c>
      <c r="AZ284" s="21">
        <v>29.040299999999998</v>
      </c>
      <c r="BA284" s="21">
        <v>-1.27136E-2</v>
      </c>
      <c r="BB284" s="21">
        <v>274</v>
      </c>
      <c r="BC284" s="21">
        <v>1.2799100000000001</v>
      </c>
      <c r="BD284">
        <f t="shared" si="58"/>
        <v>15.695802469135801</v>
      </c>
      <c r="BE284">
        <f t="shared" si="59"/>
        <v>20.086703209876539</v>
      </c>
    </row>
    <row r="285" spans="6:101" x14ac:dyDescent="0.25">
      <c r="F285" s="9"/>
      <c r="G285" s="21">
        <v>0.26519799999999999</v>
      </c>
      <c r="H285" s="21">
        <v>8.0158500000000004</v>
      </c>
      <c r="I285" s="21">
        <v>-1.37573E-2</v>
      </c>
      <c r="J285" s="21">
        <v>275</v>
      </c>
      <c r="K285" s="21">
        <v>0.26449600000000001</v>
      </c>
      <c r="L285">
        <f t="shared" si="48"/>
        <v>16.984320987654321</v>
      </c>
      <c r="M285">
        <f t="shared" si="49"/>
        <v>4.5042079572839508</v>
      </c>
      <c r="N285" s="9"/>
      <c r="O285" s="21">
        <v>1.2847900000000001</v>
      </c>
      <c r="P285" s="21">
        <v>11.5329</v>
      </c>
      <c r="Q285" s="21">
        <v>-1.26312E-2</v>
      </c>
      <c r="R285" s="21">
        <v>275</v>
      </c>
      <c r="S285" s="21">
        <v>1.2838700000000001</v>
      </c>
      <c r="T285">
        <f t="shared" si="50"/>
        <v>15.594074074074072</v>
      </c>
      <c r="U285">
        <f t="shared" si="51"/>
        <v>20.035110429629629</v>
      </c>
      <c r="X285" s="9"/>
      <c r="Y285" s="21">
        <v>0.26519799999999999</v>
      </c>
      <c r="Z285" s="21">
        <v>16.775099999999998</v>
      </c>
      <c r="AA285" s="21">
        <v>-1.37695E-2</v>
      </c>
      <c r="AB285" s="21">
        <v>275</v>
      </c>
      <c r="AC285" s="21">
        <v>0.26443499999999998</v>
      </c>
      <c r="AD285">
        <f t="shared" si="52"/>
        <v>16.999382716049382</v>
      </c>
      <c r="AE285">
        <f t="shared" si="53"/>
        <v>4.5082022975308638</v>
      </c>
      <c r="AF285" s="9"/>
      <c r="AG285" s="21">
        <v>1.2847900000000001</v>
      </c>
      <c r="AH285" s="21">
        <v>20.292100000000001</v>
      </c>
      <c r="AI285" s="21">
        <v>-1.2737999999999999E-2</v>
      </c>
      <c r="AJ285" s="21">
        <v>275</v>
      </c>
      <c r="AK285" s="21">
        <v>1.2835700000000001</v>
      </c>
      <c r="AL285">
        <f t="shared" si="54"/>
        <v>15.725925925925925</v>
      </c>
      <c r="AM285">
        <f t="shared" si="55"/>
        <v>20.20451237037037</v>
      </c>
      <c r="AP285" s="9"/>
      <c r="AQ285" s="21">
        <v>0.26519799999999999</v>
      </c>
      <c r="AR285" s="21">
        <v>25.533300000000001</v>
      </c>
      <c r="AS285" s="21">
        <v>-1.37421E-2</v>
      </c>
      <c r="AT285" s="21">
        <v>275</v>
      </c>
      <c r="AU285" s="21">
        <v>0.26455699999999999</v>
      </c>
      <c r="AV285">
        <f t="shared" si="56"/>
        <v>16.965555555555554</v>
      </c>
      <c r="AW285">
        <f t="shared" si="57"/>
        <v>4.4992314022222217</v>
      </c>
      <c r="AX285" s="9"/>
      <c r="AY285" s="21">
        <v>1.2847900000000001</v>
      </c>
      <c r="AZ285" s="21">
        <v>29.0504</v>
      </c>
      <c r="BA285" s="21">
        <v>-1.26953E-2</v>
      </c>
      <c r="BB285" s="21">
        <v>275</v>
      </c>
      <c r="BC285" s="21">
        <v>1.2838700000000001</v>
      </c>
      <c r="BD285">
        <f t="shared" si="58"/>
        <v>15.67320987654321</v>
      </c>
      <c r="BE285">
        <f t="shared" si="59"/>
        <v>20.136783317283953</v>
      </c>
    </row>
    <row r="286" spans="6:101" x14ac:dyDescent="0.25">
      <c r="F286" s="9"/>
      <c r="G286" s="21">
        <v>0.260162</v>
      </c>
      <c r="H286" s="21">
        <v>8.0259199999999993</v>
      </c>
      <c r="I286" s="21">
        <v>-1.3760400000000001E-2</v>
      </c>
      <c r="J286" s="21">
        <v>276</v>
      </c>
      <c r="K286" s="21">
        <v>0.259552</v>
      </c>
      <c r="L286">
        <f t="shared" si="48"/>
        <v>16.988148148148149</v>
      </c>
      <c r="M286">
        <f t="shared" si="49"/>
        <v>4.4196705985185183</v>
      </c>
      <c r="N286" s="9"/>
      <c r="O286" s="21">
        <v>1.28983</v>
      </c>
      <c r="P286" s="21">
        <v>11.542999999999999</v>
      </c>
      <c r="Q286" s="21">
        <v>-1.26099E-2</v>
      </c>
      <c r="R286" s="21">
        <v>276</v>
      </c>
      <c r="S286" s="21">
        <v>1.2890600000000001</v>
      </c>
      <c r="T286">
        <f t="shared" si="50"/>
        <v>15.567777777777778</v>
      </c>
      <c r="U286">
        <f t="shared" si="51"/>
        <v>20.079786811111113</v>
      </c>
      <c r="X286" s="9"/>
      <c r="Y286" s="21">
        <v>0.260162</v>
      </c>
      <c r="Z286" s="21">
        <v>16.7851</v>
      </c>
      <c r="AA286" s="21">
        <v>-1.3775600000000001E-2</v>
      </c>
      <c r="AB286" s="21">
        <v>276</v>
      </c>
      <c r="AC286" s="21">
        <v>0.25958300000000001</v>
      </c>
      <c r="AD286">
        <f t="shared" si="52"/>
        <v>17.006913580246916</v>
      </c>
      <c r="AE286">
        <f t="shared" si="53"/>
        <v>4.4245526508641984</v>
      </c>
      <c r="AF286" s="9"/>
      <c r="AG286" s="21">
        <v>1.28983</v>
      </c>
      <c r="AH286" s="21">
        <v>20.302199999999999</v>
      </c>
      <c r="AI286" s="21">
        <v>-1.2722799999999999E-2</v>
      </c>
      <c r="AJ286" s="21">
        <v>276</v>
      </c>
      <c r="AK286" s="21">
        <v>1.2890600000000001</v>
      </c>
      <c r="AL286">
        <f t="shared" si="54"/>
        <v>15.707160493827157</v>
      </c>
      <c r="AM286">
        <f t="shared" si="55"/>
        <v>20.259566819753083</v>
      </c>
      <c r="AP286" s="9"/>
      <c r="AQ286" s="21">
        <v>0.260162</v>
      </c>
      <c r="AR286" s="21">
        <v>25.543299999999999</v>
      </c>
      <c r="AS286" s="21">
        <v>-1.37451E-2</v>
      </c>
      <c r="AT286" s="21">
        <v>276</v>
      </c>
      <c r="AU286" s="21">
        <v>0.25958300000000001</v>
      </c>
      <c r="AV286">
        <f t="shared" si="56"/>
        <v>16.969259259259257</v>
      </c>
      <c r="AW286">
        <f t="shared" si="57"/>
        <v>4.4147564274074069</v>
      </c>
      <c r="AX286" s="9"/>
      <c r="AY286" s="21">
        <v>1.28983</v>
      </c>
      <c r="AZ286" s="21">
        <v>29.060500000000001</v>
      </c>
      <c r="BA286" s="21">
        <v>-1.2683099999999999E-2</v>
      </c>
      <c r="BB286" s="21">
        <v>276</v>
      </c>
      <c r="BC286" s="21">
        <v>1.2893699999999999</v>
      </c>
      <c r="BD286">
        <f t="shared" si="58"/>
        <v>15.658148148148147</v>
      </c>
      <c r="BE286">
        <f t="shared" si="59"/>
        <v>20.196349225925925</v>
      </c>
    </row>
    <row r="287" spans="6:101" x14ac:dyDescent="0.25">
      <c r="F287" s="9"/>
      <c r="G287" s="21">
        <v>0.25512699999999999</v>
      </c>
      <c r="H287" s="21">
        <v>8.03599</v>
      </c>
      <c r="I287" s="21">
        <v>-1.3766499999999999E-2</v>
      </c>
      <c r="J287" s="21">
        <v>277</v>
      </c>
      <c r="K287" s="21">
        <v>0.25454700000000002</v>
      </c>
      <c r="L287">
        <f t="shared" si="48"/>
        <v>16.995679012345676</v>
      </c>
      <c r="M287">
        <f t="shared" si="49"/>
        <v>4.3360565993827151</v>
      </c>
      <c r="N287" s="9"/>
      <c r="O287" s="21">
        <v>1.2948599999999999</v>
      </c>
      <c r="P287" s="21">
        <v>11.553000000000001</v>
      </c>
      <c r="Q287" s="21">
        <v>-1.2594599999999999E-2</v>
      </c>
      <c r="R287" s="21">
        <v>277</v>
      </c>
      <c r="S287" s="21">
        <v>1.2942499999999999</v>
      </c>
      <c r="T287">
        <f t="shared" si="50"/>
        <v>15.548888888888886</v>
      </c>
      <c r="U287">
        <f t="shared" si="51"/>
        <v>20.133634266666661</v>
      </c>
      <c r="X287" s="9"/>
      <c r="Y287" s="21">
        <v>0.25512699999999999</v>
      </c>
      <c r="Z287" s="21">
        <v>16.795200000000001</v>
      </c>
      <c r="AA287" s="21">
        <v>-1.3775600000000001E-2</v>
      </c>
      <c r="AB287" s="21">
        <v>277</v>
      </c>
      <c r="AC287" s="21">
        <v>0.25454700000000002</v>
      </c>
      <c r="AD287">
        <f t="shared" si="52"/>
        <v>17.006913580246916</v>
      </c>
      <c r="AE287">
        <f t="shared" si="53"/>
        <v>4.3389228409876548</v>
      </c>
      <c r="AF287" s="9"/>
      <c r="AG287" s="21">
        <v>1.2948599999999999</v>
      </c>
      <c r="AH287" s="21">
        <v>20.3123</v>
      </c>
      <c r="AI287" s="21">
        <v>-1.27075E-2</v>
      </c>
      <c r="AJ287" s="21">
        <v>277</v>
      </c>
      <c r="AK287" s="21">
        <v>1.2942499999999999</v>
      </c>
      <c r="AL287">
        <f t="shared" si="54"/>
        <v>15.68827160493827</v>
      </c>
      <c r="AM287">
        <f t="shared" si="55"/>
        <v>20.314115370370367</v>
      </c>
      <c r="AP287" s="9"/>
      <c r="AQ287" s="21">
        <v>0.25512699999999999</v>
      </c>
      <c r="AR287" s="21">
        <v>25.5534</v>
      </c>
      <c r="AS287" s="21">
        <v>-1.37573E-2</v>
      </c>
      <c r="AT287" s="21">
        <v>277</v>
      </c>
      <c r="AU287" s="21">
        <v>0.25451699999999999</v>
      </c>
      <c r="AV287">
        <f t="shared" si="56"/>
        <v>16.984320987654321</v>
      </c>
      <c r="AW287">
        <f t="shared" si="57"/>
        <v>4.3331588606172842</v>
      </c>
      <c r="AX287" s="9"/>
      <c r="AY287" s="21">
        <v>1.2948599999999999</v>
      </c>
      <c r="AZ287" s="21">
        <v>29.070599999999999</v>
      </c>
      <c r="BA287" s="21">
        <v>-1.26587E-2</v>
      </c>
      <c r="BB287" s="21">
        <v>277</v>
      </c>
      <c r="BC287" s="21">
        <v>1.2939499999999999</v>
      </c>
      <c r="BD287">
        <f t="shared" si="58"/>
        <v>15.628024691358023</v>
      </c>
      <c r="BE287">
        <f t="shared" si="59"/>
        <v>20.23610405185185</v>
      </c>
    </row>
    <row r="288" spans="6:101" x14ac:dyDescent="0.25">
      <c r="F288" s="9"/>
      <c r="G288" s="21">
        <v>0.25009199999999998</v>
      </c>
      <c r="H288" s="21">
        <v>8.0460600000000007</v>
      </c>
      <c r="I288" s="21">
        <v>-1.37634E-2</v>
      </c>
      <c r="J288" s="21">
        <v>278</v>
      </c>
      <c r="K288" s="21">
        <v>0.24951200000000001</v>
      </c>
      <c r="L288">
        <f t="shared" si="48"/>
        <v>16.991851851851852</v>
      </c>
      <c r="M288">
        <f t="shared" si="49"/>
        <v>4.2495262133333327</v>
      </c>
      <c r="N288" s="9"/>
      <c r="O288" s="21">
        <v>1.2999000000000001</v>
      </c>
      <c r="P288" s="21">
        <v>11.5631</v>
      </c>
      <c r="Q288" s="21">
        <v>-1.25854E-2</v>
      </c>
      <c r="R288" s="21">
        <v>278</v>
      </c>
      <c r="S288" s="21">
        <v>1.2994399999999999</v>
      </c>
      <c r="T288">
        <f t="shared" si="50"/>
        <v>15.53753086419753</v>
      </c>
      <c r="U288">
        <f t="shared" si="51"/>
        <v>20.197236370370369</v>
      </c>
      <c r="X288" s="9"/>
      <c r="Y288" s="21">
        <v>0.25009199999999998</v>
      </c>
      <c r="Z288" s="21">
        <v>16.805299999999999</v>
      </c>
      <c r="AA288" s="21">
        <v>-1.3775600000000001E-2</v>
      </c>
      <c r="AB288" s="21">
        <v>278</v>
      </c>
      <c r="AC288" s="21">
        <v>0.24960299999999999</v>
      </c>
      <c r="AD288">
        <f t="shared" si="52"/>
        <v>17.006913580246916</v>
      </c>
      <c r="AE288">
        <f t="shared" si="53"/>
        <v>4.2532930311111112</v>
      </c>
      <c r="AF288" s="9"/>
      <c r="AG288" s="21">
        <v>1.2999000000000001</v>
      </c>
      <c r="AH288" s="21">
        <v>20.322299999999998</v>
      </c>
      <c r="AI288" s="21">
        <v>-1.2689199999999999E-2</v>
      </c>
      <c r="AJ288" s="21">
        <v>278</v>
      </c>
      <c r="AK288" s="21">
        <v>1.2988299999999999</v>
      </c>
      <c r="AL288">
        <f t="shared" si="54"/>
        <v>15.665679012345679</v>
      </c>
      <c r="AM288">
        <f t="shared" si="55"/>
        <v>20.36381614814815</v>
      </c>
      <c r="AP288" s="9"/>
      <c r="AQ288" s="21">
        <v>0.25009199999999998</v>
      </c>
      <c r="AR288" s="21">
        <v>25.563500000000001</v>
      </c>
      <c r="AS288" s="21">
        <v>-1.37695E-2</v>
      </c>
      <c r="AT288" s="21">
        <v>278</v>
      </c>
      <c r="AU288" s="21">
        <v>0.24960299999999999</v>
      </c>
      <c r="AV288">
        <f t="shared" si="56"/>
        <v>16.999382716049382</v>
      </c>
      <c r="AW288">
        <f t="shared" si="57"/>
        <v>4.251409622222222</v>
      </c>
      <c r="AX288" s="9"/>
      <c r="AY288" s="21">
        <v>1.2999000000000001</v>
      </c>
      <c r="AZ288" s="21">
        <v>29.0806</v>
      </c>
      <c r="BA288" s="21">
        <v>-1.26404E-2</v>
      </c>
      <c r="BB288" s="21">
        <v>278</v>
      </c>
      <c r="BC288" s="21">
        <v>1.2985199999999999</v>
      </c>
      <c r="BD288">
        <f t="shared" si="58"/>
        <v>15.60543209876543</v>
      </c>
      <c r="BE288">
        <f t="shared" si="59"/>
        <v>20.285501185185183</v>
      </c>
    </row>
    <row r="289" spans="6:57" x14ac:dyDescent="0.25">
      <c r="F289" s="9"/>
      <c r="G289" s="21">
        <v>0.245056</v>
      </c>
      <c r="H289" s="21">
        <v>8.0561299999999996</v>
      </c>
      <c r="I289" s="21">
        <v>-1.3766499999999999E-2</v>
      </c>
      <c r="J289" s="21">
        <v>279</v>
      </c>
      <c r="K289" s="21">
        <v>0.244476</v>
      </c>
      <c r="L289">
        <f t="shared" si="48"/>
        <v>16.995679012345676</v>
      </c>
      <c r="M289">
        <f t="shared" si="49"/>
        <v>4.1648931160493818</v>
      </c>
      <c r="N289" s="9"/>
      <c r="O289" s="21">
        <v>1.3049299999999999</v>
      </c>
      <c r="P289" s="21">
        <v>11.5732</v>
      </c>
      <c r="Q289" s="21">
        <v>-1.25732E-2</v>
      </c>
      <c r="R289" s="21">
        <v>279</v>
      </c>
      <c r="S289" s="21">
        <v>1.3043199999999999</v>
      </c>
      <c r="T289">
        <f t="shared" si="50"/>
        <v>15.522469135802467</v>
      </c>
      <c r="U289">
        <f t="shared" si="51"/>
        <v>20.255735649382711</v>
      </c>
      <c r="X289" s="9"/>
      <c r="Y289" s="21">
        <v>0.245056</v>
      </c>
      <c r="Z289" s="21">
        <v>16.815300000000001</v>
      </c>
      <c r="AA289" s="21">
        <v>-1.3775600000000001E-2</v>
      </c>
      <c r="AB289" s="21">
        <v>279</v>
      </c>
      <c r="AC289" s="21">
        <v>0.244537</v>
      </c>
      <c r="AD289">
        <f t="shared" si="52"/>
        <v>17.006913580246916</v>
      </c>
      <c r="AE289">
        <f t="shared" si="53"/>
        <v>4.167646214320988</v>
      </c>
      <c r="AF289" s="9"/>
      <c r="AG289" s="21">
        <v>1.3049299999999999</v>
      </c>
      <c r="AH289" s="21">
        <v>20.3324</v>
      </c>
      <c r="AI289" s="21">
        <v>-1.26648E-2</v>
      </c>
      <c r="AJ289" s="21">
        <v>279</v>
      </c>
      <c r="AK289" s="21">
        <v>1.30402</v>
      </c>
      <c r="AL289">
        <f t="shared" si="54"/>
        <v>15.635555555555555</v>
      </c>
      <c r="AM289">
        <f t="shared" si="55"/>
        <v>20.40330551111111</v>
      </c>
      <c r="AP289" s="9"/>
      <c r="AQ289" s="21">
        <v>0.245056</v>
      </c>
      <c r="AR289" s="21">
        <v>25.573599999999999</v>
      </c>
      <c r="AS289" s="21">
        <v>-1.37695E-2</v>
      </c>
      <c r="AT289" s="21">
        <v>279</v>
      </c>
      <c r="AU289" s="21">
        <v>0.24438499999999999</v>
      </c>
      <c r="AV289">
        <f t="shared" si="56"/>
        <v>16.999382716049382</v>
      </c>
      <c r="AW289">
        <f t="shared" si="57"/>
        <v>4.1658007308641976</v>
      </c>
      <c r="AX289" s="9"/>
      <c r="AY289" s="21">
        <v>1.3049299999999999</v>
      </c>
      <c r="AZ289" s="21">
        <v>29.090699999999998</v>
      </c>
      <c r="BA289" s="21">
        <v>-1.2619E-2</v>
      </c>
      <c r="BB289" s="21">
        <v>279</v>
      </c>
      <c r="BC289" s="21">
        <v>1.30402</v>
      </c>
      <c r="BD289">
        <f t="shared" si="58"/>
        <v>15.579012345679011</v>
      </c>
      <c r="BE289">
        <f t="shared" si="59"/>
        <v>20.329520580246911</v>
      </c>
    </row>
    <row r="290" spans="6:57" x14ac:dyDescent="0.25">
      <c r="F290" s="9"/>
      <c r="G290" s="21">
        <v>0.24002100000000001</v>
      </c>
      <c r="H290" s="21">
        <v>8.0662000000000003</v>
      </c>
      <c r="I290" s="21">
        <v>-1.3772599999999999E-2</v>
      </c>
      <c r="J290" s="21">
        <v>280</v>
      </c>
      <c r="K290" s="21">
        <v>0.23950199999999999</v>
      </c>
      <c r="L290">
        <f t="shared" si="48"/>
        <v>17.00320987654321</v>
      </c>
      <c r="M290">
        <f t="shared" si="49"/>
        <v>4.081127437777778</v>
      </c>
      <c r="N290" s="9"/>
      <c r="O290" s="21">
        <v>1.3099700000000001</v>
      </c>
      <c r="P290" s="21">
        <v>11.583299999999999</v>
      </c>
      <c r="Q290" s="21">
        <v>-1.2554900000000001E-2</v>
      </c>
      <c r="R290" s="21">
        <v>280</v>
      </c>
      <c r="S290" s="21">
        <v>1.3091999999999999</v>
      </c>
      <c r="T290">
        <f t="shared" si="50"/>
        <v>15.499876543209876</v>
      </c>
      <c r="U290">
        <f t="shared" si="51"/>
        <v>20.304373275308642</v>
      </c>
      <c r="X290" s="9"/>
      <c r="Y290" s="21">
        <v>0.24002100000000001</v>
      </c>
      <c r="Z290" s="21">
        <v>16.825399999999998</v>
      </c>
      <c r="AA290" s="21">
        <v>-1.3781699999999999E-2</v>
      </c>
      <c r="AB290" s="21">
        <v>280</v>
      </c>
      <c r="AC290" s="21">
        <v>0.23944099999999999</v>
      </c>
      <c r="AD290">
        <f t="shared" si="52"/>
        <v>17.014444444444443</v>
      </c>
      <c r="AE290">
        <f t="shared" si="53"/>
        <v>4.0838239700000001</v>
      </c>
      <c r="AF290" s="9"/>
      <c r="AG290" s="21">
        <v>1.3099700000000001</v>
      </c>
      <c r="AH290" s="21">
        <v>20.342500000000001</v>
      </c>
      <c r="AI290" s="21">
        <v>-1.2637300000000001E-2</v>
      </c>
      <c r="AJ290" s="21">
        <v>280</v>
      </c>
      <c r="AK290" s="21">
        <v>1.3091999999999999</v>
      </c>
      <c r="AL290">
        <f t="shared" si="54"/>
        <v>15.601604938271604</v>
      </c>
      <c r="AM290">
        <f t="shared" si="55"/>
        <v>20.437634420987656</v>
      </c>
      <c r="AP290" s="9"/>
      <c r="AQ290" s="21">
        <v>0.24002100000000001</v>
      </c>
      <c r="AR290" s="21">
        <v>25.583600000000001</v>
      </c>
      <c r="AS290" s="21">
        <v>-1.37634E-2</v>
      </c>
      <c r="AT290" s="21">
        <v>280</v>
      </c>
      <c r="AU290" s="21">
        <v>0.23941000000000001</v>
      </c>
      <c r="AV290">
        <f t="shared" si="56"/>
        <v>16.991851851851852</v>
      </c>
      <c r="AW290">
        <f t="shared" si="57"/>
        <v>4.0784012733333332</v>
      </c>
      <c r="AX290" s="9"/>
      <c r="AY290" s="21">
        <v>1.3099700000000001</v>
      </c>
      <c r="AZ290" s="21">
        <v>29.1008</v>
      </c>
      <c r="BA290" s="21">
        <v>-1.2588500000000001E-2</v>
      </c>
      <c r="BB290" s="21">
        <v>280</v>
      </c>
      <c r="BC290" s="21">
        <v>1.3091999999999999</v>
      </c>
      <c r="BD290">
        <f t="shared" si="58"/>
        <v>15.541358024691359</v>
      </c>
      <c r="BE290">
        <f t="shared" si="59"/>
        <v>20.358712771604942</v>
      </c>
    </row>
    <row r="291" spans="6:57" x14ac:dyDescent="0.25">
      <c r="F291" s="9"/>
      <c r="G291" s="21">
        <v>0.234985</v>
      </c>
      <c r="H291" s="21">
        <v>8.0762699999999992</v>
      </c>
      <c r="I291" s="21">
        <v>-1.3766499999999999E-2</v>
      </c>
      <c r="J291" s="21">
        <v>281</v>
      </c>
      <c r="K291" s="21">
        <v>0.23446700000000001</v>
      </c>
      <c r="L291">
        <f t="shared" si="48"/>
        <v>16.995679012345676</v>
      </c>
      <c r="M291">
        <f t="shared" si="49"/>
        <v>3.9937296327160485</v>
      </c>
      <c r="N291" s="9"/>
      <c r="O291" s="21">
        <v>1.3149999999999999</v>
      </c>
      <c r="P291" s="21">
        <v>11.593299999999999</v>
      </c>
      <c r="Q291" s="21">
        <v>-1.2533600000000001E-2</v>
      </c>
      <c r="R291" s="21">
        <v>281</v>
      </c>
      <c r="S291" s="21">
        <v>1.3143899999999999</v>
      </c>
      <c r="T291">
        <f t="shared" si="50"/>
        <v>15.473580246913581</v>
      </c>
      <c r="U291">
        <f t="shared" si="51"/>
        <v>20.347758024691359</v>
      </c>
      <c r="X291" s="9"/>
      <c r="Y291" s="21">
        <v>0.234985</v>
      </c>
      <c r="Z291" s="21">
        <v>16.8355</v>
      </c>
      <c r="AA291" s="21">
        <v>-1.37787E-2</v>
      </c>
      <c r="AB291" s="21">
        <v>281</v>
      </c>
      <c r="AC291" s="21">
        <v>0.23443600000000001</v>
      </c>
      <c r="AD291">
        <f t="shared" si="52"/>
        <v>17.01074074074074</v>
      </c>
      <c r="AE291">
        <f t="shared" si="53"/>
        <v>3.9972689129629626</v>
      </c>
      <c r="AF291" s="9"/>
      <c r="AG291" s="21">
        <v>1.3149999999999999</v>
      </c>
      <c r="AH291" s="21">
        <v>20.352499999999999</v>
      </c>
      <c r="AI291" s="21">
        <v>-1.26129E-2</v>
      </c>
      <c r="AJ291" s="21">
        <v>281</v>
      </c>
      <c r="AK291" s="21">
        <v>1.31409</v>
      </c>
      <c r="AL291">
        <f t="shared" si="54"/>
        <v>15.571481481481479</v>
      </c>
      <c r="AM291">
        <f t="shared" si="55"/>
        <v>20.476498148148146</v>
      </c>
      <c r="AP291" s="9"/>
      <c r="AQ291" s="21">
        <v>0.234985</v>
      </c>
      <c r="AR291" s="21">
        <v>25.593699999999998</v>
      </c>
      <c r="AS291" s="21">
        <v>-1.37634E-2</v>
      </c>
      <c r="AT291" s="21">
        <v>281</v>
      </c>
      <c r="AU291" s="21">
        <v>0.23443600000000001</v>
      </c>
      <c r="AV291">
        <f t="shared" si="56"/>
        <v>16.991851851851852</v>
      </c>
      <c r="AW291">
        <f t="shared" si="57"/>
        <v>3.9928303074074072</v>
      </c>
      <c r="AX291" s="9"/>
      <c r="AY291" s="21">
        <v>1.3149999999999999</v>
      </c>
      <c r="AZ291" s="21">
        <v>29.110800000000001</v>
      </c>
      <c r="BA291" s="21">
        <v>-1.2567099999999999E-2</v>
      </c>
      <c r="BB291" s="21">
        <v>281</v>
      </c>
      <c r="BC291" s="21">
        <v>1.31409</v>
      </c>
      <c r="BD291">
        <f t="shared" si="58"/>
        <v>15.514938271604937</v>
      </c>
      <c r="BE291">
        <f t="shared" si="59"/>
        <v>20.40214382716049</v>
      </c>
    </row>
    <row r="292" spans="6:57" x14ac:dyDescent="0.25">
      <c r="F292" s="9"/>
      <c r="G292" s="21">
        <v>0.22994999999999999</v>
      </c>
      <c r="H292" s="21">
        <v>8.0863499999999995</v>
      </c>
      <c r="I292" s="21">
        <v>-1.37695E-2</v>
      </c>
      <c r="J292" s="21">
        <v>282</v>
      </c>
      <c r="K292" s="21">
        <v>0.229462</v>
      </c>
      <c r="L292">
        <f t="shared" si="48"/>
        <v>16.999382716049382</v>
      </c>
      <c r="M292">
        <f t="shared" si="49"/>
        <v>3.9090080555555553</v>
      </c>
      <c r="N292" s="9"/>
      <c r="O292" s="21">
        <v>1.3200400000000001</v>
      </c>
      <c r="P292" s="21">
        <v>11.603400000000001</v>
      </c>
      <c r="Q292" s="21">
        <v>-1.25183E-2</v>
      </c>
      <c r="R292" s="21">
        <v>282</v>
      </c>
      <c r="S292" s="21">
        <v>1.31897</v>
      </c>
      <c r="T292">
        <f t="shared" si="50"/>
        <v>15.454691358024689</v>
      </c>
      <c r="U292">
        <f t="shared" si="51"/>
        <v>20.400810780246914</v>
      </c>
      <c r="X292" s="9"/>
      <c r="Y292" s="21">
        <v>0.22994999999999999</v>
      </c>
      <c r="Z292" s="21">
        <v>16.845600000000001</v>
      </c>
      <c r="AA292" s="21">
        <v>-1.3775600000000001E-2</v>
      </c>
      <c r="AB292" s="21">
        <v>282</v>
      </c>
      <c r="AC292" s="21">
        <v>0.22933999999999999</v>
      </c>
      <c r="AD292">
        <f t="shared" si="52"/>
        <v>17.006913580246916</v>
      </c>
      <c r="AE292">
        <f t="shared" si="53"/>
        <v>3.9107397777777781</v>
      </c>
      <c r="AF292" s="9"/>
      <c r="AG292" s="21">
        <v>1.3200400000000001</v>
      </c>
      <c r="AH292" s="21">
        <v>20.3626</v>
      </c>
      <c r="AI292" s="21">
        <v>-1.2600699999999999E-2</v>
      </c>
      <c r="AJ292" s="21">
        <v>282</v>
      </c>
      <c r="AK292" s="21">
        <v>1.31958</v>
      </c>
      <c r="AL292">
        <f t="shared" si="54"/>
        <v>15.556419753086418</v>
      </c>
      <c r="AM292">
        <f t="shared" si="55"/>
        <v>20.535096330864196</v>
      </c>
      <c r="AP292" s="9"/>
      <c r="AQ292" s="21">
        <v>0.22994999999999999</v>
      </c>
      <c r="AR292" s="21">
        <v>25.6038</v>
      </c>
      <c r="AS292" s="21">
        <v>-1.3772599999999999E-2</v>
      </c>
      <c r="AT292" s="21">
        <v>282</v>
      </c>
      <c r="AU292" s="21">
        <v>0.229523</v>
      </c>
      <c r="AV292">
        <f t="shared" si="56"/>
        <v>17.00320987654321</v>
      </c>
      <c r="AW292">
        <f t="shared" si="57"/>
        <v>3.909888111111111</v>
      </c>
      <c r="AX292" s="9"/>
      <c r="AY292" s="21">
        <v>1.3200400000000001</v>
      </c>
      <c r="AZ292" s="21">
        <v>29.120899999999999</v>
      </c>
      <c r="BA292" s="21">
        <v>-1.2548800000000001E-2</v>
      </c>
      <c r="BB292" s="21">
        <v>282</v>
      </c>
      <c r="BC292" s="21">
        <v>1.3192699999999999</v>
      </c>
      <c r="BD292">
        <f t="shared" si="58"/>
        <v>15.492345679012345</v>
      </c>
      <c r="BE292">
        <f t="shared" si="59"/>
        <v>20.450515990123456</v>
      </c>
    </row>
    <row r="293" spans="6:57" x14ac:dyDescent="0.25">
      <c r="F293" s="9"/>
      <c r="G293" s="21">
        <v>0.224915</v>
      </c>
      <c r="H293" s="21">
        <v>8.0964200000000002</v>
      </c>
      <c r="I293" s="21">
        <v>-1.3781699999999999E-2</v>
      </c>
      <c r="J293" s="21">
        <v>283</v>
      </c>
      <c r="K293" s="21">
        <v>0.22439600000000001</v>
      </c>
      <c r="L293">
        <f t="shared" si="48"/>
        <v>17.014444444444443</v>
      </c>
      <c r="M293">
        <f t="shared" si="49"/>
        <v>3.8268037722222221</v>
      </c>
      <c r="N293" s="9"/>
      <c r="O293" s="21">
        <v>1.32507</v>
      </c>
      <c r="P293" s="21">
        <v>11.6135</v>
      </c>
      <c r="Q293" s="21">
        <v>-1.24939E-2</v>
      </c>
      <c r="R293" s="21">
        <v>283</v>
      </c>
      <c r="S293" s="21">
        <v>1.32477</v>
      </c>
      <c r="T293">
        <f t="shared" si="50"/>
        <v>15.424567901234568</v>
      </c>
      <c r="U293">
        <f t="shared" si="51"/>
        <v>20.438632188888889</v>
      </c>
      <c r="X293" s="9"/>
      <c r="Y293" s="21">
        <v>0.224915</v>
      </c>
      <c r="Z293" s="21">
        <v>16.855599999999999</v>
      </c>
      <c r="AA293" s="21">
        <v>-1.37787E-2</v>
      </c>
      <c r="AB293" s="21">
        <v>283</v>
      </c>
      <c r="AC293" s="21">
        <v>0.22433500000000001</v>
      </c>
      <c r="AD293">
        <f t="shared" si="52"/>
        <v>17.01074074074074</v>
      </c>
      <c r="AE293">
        <f t="shared" si="53"/>
        <v>3.8259707537037038</v>
      </c>
      <c r="AF293" s="9"/>
      <c r="AG293" s="21">
        <v>1.32507</v>
      </c>
      <c r="AH293" s="21">
        <v>20.372699999999998</v>
      </c>
      <c r="AI293" s="21">
        <v>-1.25763E-2</v>
      </c>
      <c r="AJ293" s="21">
        <v>283</v>
      </c>
      <c r="AK293" s="21">
        <v>1.32416</v>
      </c>
      <c r="AL293">
        <f t="shared" si="54"/>
        <v>15.526296296296294</v>
      </c>
      <c r="AM293">
        <f t="shared" si="55"/>
        <v>20.573429433333331</v>
      </c>
      <c r="AP293" s="9"/>
      <c r="AQ293" s="21">
        <v>0.224915</v>
      </c>
      <c r="AR293" s="21">
        <v>25.613800000000001</v>
      </c>
      <c r="AS293" s="21">
        <v>-1.37695E-2</v>
      </c>
      <c r="AT293" s="21">
        <v>283</v>
      </c>
      <c r="AU293" s="21">
        <v>0.22439600000000001</v>
      </c>
      <c r="AV293">
        <f t="shared" si="56"/>
        <v>16.999382716049382</v>
      </c>
      <c r="AW293">
        <f t="shared" si="57"/>
        <v>3.8234161635802471</v>
      </c>
      <c r="AX293" s="9"/>
      <c r="AY293" s="21">
        <v>1.32507</v>
      </c>
      <c r="AZ293" s="21">
        <v>29.131</v>
      </c>
      <c r="BA293" s="21">
        <v>-1.25366E-2</v>
      </c>
      <c r="BB293" s="21">
        <v>283</v>
      </c>
      <c r="BC293" s="21">
        <v>1.32477</v>
      </c>
      <c r="BD293">
        <f t="shared" si="58"/>
        <v>15.477283950617283</v>
      </c>
      <c r="BE293">
        <f t="shared" si="59"/>
        <v>20.508484644444444</v>
      </c>
    </row>
    <row r="294" spans="6:57" x14ac:dyDescent="0.25">
      <c r="F294" s="9"/>
      <c r="G294" s="21">
        <v>0.21987899999999999</v>
      </c>
      <c r="H294" s="21">
        <v>8.1064900000000009</v>
      </c>
      <c r="I294" s="21">
        <v>-1.3797E-2</v>
      </c>
      <c r="J294" s="21">
        <v>284</v>
      </c>
      <c r="K294" s="21">
        <v>0.21936</v>
      </c>
      <c r="L294">
        <f t="shared" si="48"/>
        <v>17.033333333333331</v>
      </c>
      <c r="M294">
        <f t="shared" si="49"/>
        <v>3.7452722999999994</v>
      </c>
      <c r="N294" s="9"/>
      <c r="O294" s="21">
        <v>1.3301099999999999</v>
      </c>
      <c r="P294" s="21">
        <v>11.6235</v>
      </c>
      <c r="Q294" s="21">
        <v>-1.2478599999999999E-2</v>
      </c>
      <c r="R294" s="21">
        <v>284</v>
      </c>
      <c r="S294" s="21">
        <v>1.32935</v>
      </c>
      <c r="T294">
        <f t="shared" si="50"/>
        <v>15.405679012345677</v>
      </c>
      <c r="U294">
        <f t="shared" si="51"/>
        <v>20.491247711111107</v>
      </c>
      <c r="X294" s="9"/>
      <c r="Y294" s="21">
        <v>0.21987899999999999</v>
      </c>
      <c r="Z294" s="21">
        <v>16.8657</v>
      </c>
      <c r="AA294" s="21">
        <v>-1.37787E-2</v>
      </c>
      <c r="AB294" s="21">
        <v>284</v>
      </c>
      <c r="AC294" s="21">
        <v>0.21936</v>
      </c>
      <c r="AD294">
        <f t="shared" si="52"/>
        <v>17.01074074074074</v>
      </c>
      <c r="AE294">
        <f t="shared" si="53"/>
        <v>3.7403046633333332</v>
      </c>
      <c r="AF294" s="9"/>
      <c r="AG294" s="21">
        <v>1.3301099999999999</v>
      </c>
      <c r="AH294" s="21">
        <v>20.3828</v>
      </c>
      <c r="AI294" s="21">
        <v>-1.2554900000000001E-2</v>
      </c>
      <c r="AJ294" s="21">
        <v>284</v>
      </c>
      <c r="AK294" s="21">
        <v>1.32935</v>
      </c>
      <c r="AL294">
        <f t="shared" si="54"/>
        <v>15.499876543209876</v>
      </c>
      <c r="AM294">
        <f t="shared" si="55"/>
        <v>20.616540788888887</v>
      </c>
      <c r="AP294" s="9"/>
      <c r="AQ294" s="21">
        <v>0.21987899999999999</v>
      </c>
      <c r="AR294" s="21">
        <v>25.623899999999999</v>
      </c>
      <c r="AS294" s="21">
        <v>-1.3775600000000001E-2</v>
      </c>
      <c r="AT294" s="21">
        <v>284</v>
      </c>
      <c r="AU294" s="21">
        <v>0.219391</v>
      </c>
      <c r="AV294">
        <f t="shared" si="56"/>
        <v>17.006913580246916</v>
      </c>
      <c r="AW294">
        <f t="shared" si="57"/>
        <v>3.7394631511111114</v>
      </c>
      <c r="AX294" s="9"/>
      <c r="AY294" s="21">
        <v>1.3301099999999999</v>
      </c>
      <c r="AZ294" s="21">
        <v>29.140999999999998</v>
      </c>
      <c r="BA294" s="21">
        <v>-1.25183E-2</v>
      </c>
      <c r="BB294" s="21">
        <v>284</v>
      </c>
      <c r="BC294" s="21">
        <v>1.32935</v>
      </c>
      <c r="BD294">
        <f t="shared" si="58"/>
        <v>15.454691358024689</v>
      </c>
      <c r="BE294">
        <f t="shared" si="59"/>
        <v>20.556439522222217</v>
      </c>
    </row>
    <row r="295" spans="6:57" x14ac:dyDescent="0.25">
      <c r="F295" s="9"/>
      <c r="G295" s="21">
        <v>0.21484400000000001</v>
      </c>
      <c r="H295" s="21">
        <v>8.1165599999999998</v>
      </c>
      <c r="I295" s="21">
        <v>-1.3806199999999999E-2</v>
      </c>
      <c r="J295" s="21">
        <v>285</v>
      </c>
      <c r="K295" s="21">
        <v>0.21426400000000001</v>
      </c>
      <c r="L295">
        <f t="shared" si="48"/>
        <v>17.044691358024689</v>
      </c>
      <c r="M295">
        <f t="shared" si="49"/>
        <v>3.6619496701234566</v>
      </c>
      <c r="N295" s="9"/>
      <c r="O295" s="21">
        <v>1.33514</v>
      </c>
      <c r="P295" s="21">
        <v>11.633599999999999</v>
      </c>
      <c r="Q295" s="21">
        <v>-1.2457299999999999E-2</v>
      </c>
      <c r="R295" s="21">
        <v>285</v>
      </c>
      <c r="S295" s="21">
        <v>1.33453</v>
      </c>
      <c r="T295">
        <f t="shared" si="50"/>
        <v>15.379382716049379</v>
      </c>
      <c r="U295">
        <f t="shared" si="51"/>
        <v>20.533629039506167</v>
      </c>
      <c r="X295" s="9"/>
      <c r="Y295" s="21">
        <v>0.21484400000000001</v>
      </c>
      <c r="Z295" s="21">
        <v>16.875800000000002</v>
      </c>
      <c r="AA295" s="21">
        <v>-1.37909E-2</v>
      </c>
      <c r="AB295" s="21">
        <v>285</v>
      </c>
      <c r="AC295" s="21">
        <v>0.21426400000000001</v>
      </c>
      <c r="AD295">
        <f t="shared" si="52"/>
        <v>17.025802469135801</v>
      </c>
      <c r="AE295">
        <f t="shared" si="53"/>
        <v>3.6578915056790122</v>
      </c>
      <c r="AF295" s="9"/>
      <c r="AG295" s="21">
        <v>1.33514</v>
      </c>
      <c r="AH295" s="21">
        <v>20.392800000000001</v>
      </c>
      <c r="AI295" s="21">
        <v>-1.25305E-2</v>
      </c>
      <c r="AJ295" s="21">
        <v>285</v>
      </c>
      <c r="AK295" s="21">
        <v>1.33423</v>
      </c>
      <c r="AL295">
        <f t="shared" si="54"/>
        <v>15.469753086419752</v>
      </c>
      <c r="AM295">
        <f t="shared" si="55"/>
        <v>20.654286135802469</v>
      </c>
      <c r="AP295" s="9"/>
      <c r="AQ295" s="21">
        <v>0.21484400000000001</v>
      </c>
      <c r="AR295" s="21">
        <v>25.634</v>
      </c>
      <c r="AS295" s="21">
        <v>-1.3775600000000001E-2</v>
      </c>
      <c r="AT295" s="21">
        <v>285</v>
      </c>
      <c r="AU295" s="21">
        <v>0.21435499999999999</v>
      </c>
      <c r="AV295">
        <f t="shared" si="56"/>
        <v>17.006913580246916</v>
      </c>
      <c r="AW295">
        <f t="shared" si="57"/>
        <v>3.6538333412345687</v>
      </c>
      <c r="AX295" s="9"/>
      <c r="AY295" s="21">
        <v>1.33514</v>
      </c>
      <c r="AZ295" s="21">
        <v>29.1511</v>
      </c>
      <c r="BA295" s="21">
        <v>-1.2500000000000001E-2</v>
      </c>
      <c r="BB295" s="21">
        <v>285</v>
      </c>
      <c r="BC295" s="21">
        <v>1.33423</v>
      </c>
      <c r="BD295">
        <f t="shared" si="58"/>
        <v>15.432098765432098</v>
      </c>
      <c r="BE295">
        <f t="shared" si="59"/>
        <v>20.60401234567901</v>
      </c>
    </row>
    <row r="296" spans="6:57" x14ac:dyDescent="0.25">
      <c r="F296" s="9"/>
      <c r="G296" s="21">
        <v>0.20980799999999999</v>
      </c>
      <c r="H296" s="21">
        <v>8.1266300000000005</v>
      </c>
      <c r="I296" s="21">
        <v>-1.3815300000000001E-2</v>
      </c>
      <c r="J296" s="21">
        <v>286</v>
      </c>
      <c r="K296" s="21">
        <v>0.20938100000000001</v>
      </c>
      <c r="L296">
        <f t="shared" si="48"/>
        <v>17.055925925925926</v>
      </c>
      <c r="M296">
        <f t="shared" si="49"/>
        <v>3.5784697066666666</v>
      </c>
      <c r="N296" s="9"/>
      <c r="O296" s="21">
        <v>1.3401799999999999</v>
      </c>
      <c r="P296" s="21">
        <v>11.643700000000001</v>
      </c>
      <c r="Q296" s="21">
        <v>-1.24298E-2</v>
      </c>
      <c r="R296" s="21">
        <v>286</v>
      </c>
      <c r="S296" s="21">
        <v>1.3394200000000001</v>
      </c>
      <c r="T296">
        <f t="shared" si="50"/>
        <v>15.34543209876543</v>
      </c>
      <c r="U296">
        <f t="shared" si="51"/>
        <v>20.565641190123454</v>
      </c>
      <c r="X296" s="9"/>
      <c r="Y296" s="21">
        <v>0.20980799999999999</v>
      </c>
      <c r="Z296" s="21">
        <v>16.8858</v>
      </c>
      <c r="AA296" s="21">
        <v>-1.37939E-2</v>
      </c>
      <c r="AB296" s="21">
        <v>286</v>
      </c>
      <c r="AC296" s="21">
        <v>0.20941199999999999</v>
      </c>
      <c r="AD296">
        <f t="shared" si="52"/>
        <v>17.029506172839504</v>
      </c>
      <c r="AE296">
        <f t="shared" si="53"/>
        <v>3.5729266311111108</v>
      </c>
      <c r="AF296" s="9"/>
      <c r="AG296" s="21">
        <v>1.3401799999999999</v>
      </c>
      <c r="AH296" s="21">
        <v>20.402899999999999</v>
      </c>
      <c r="AI296" s="21">
        <v>-1.24969E-2</v>
      </c>
      <c r="AJ296" s="21">
        <v>286</v>
      </c>
      <c r="AK296" s="21">
        <v>1.3394200000000001</v>
      </c>
      <c r="AL296">
        <f t="shared" si="54"/>
        <v>15.428271604938271</v>
      </c>
      <c r="AM296">
        <f t="shared" si="55"/>
        <v>20.676661039506172</v>
      </c>
      <c r="AP296" s="9"/>
      <c r="AQ296" s="21">
        <v>0.20980799999999999</v>
      </c>
      <c r="AR296" s="21">
        <v>25.644100000000002</v>
      </c>
      <c r="AS296" s="21">
        <v>-1.3766499999999999E-2</v>
      </c>
      <c r="AT296" s="21">
        <v>286</v>
      </c>
      <c r="AU296" s="21">
        <v>0.20929</v>
      </c>
      <c r="AV296">
        <f t="shared" si="56"/>
        <v>16.995679012345676</v>
      </c>
      <c r="AW296">
        <f t="shared" si="57"/>
        <v>3.5658294222222215</v>
      </c>
      <c r="AX296" s="9"/>
      <c r="AY296" s="21">
        <v>1.3401799999999999</v>
      </c>
      <c r="AZ296" s="21">
        <v>29.161200000000001</v>
      </c>
      <c r="BA296" s="21">
        <v>-1.24817E-2</v>
      </c>
      <c r="BB296" s="21">
        <v>286</v>
      </c>
      <c r="BC296" s="21">
        <v>1.3385</v>
      </c>
      <c r="BD296">
        <f t="shared" si="58"/>
        <v>15.409506172839505</v>
      </c>
      <c r="BE296">
        <f t="shared" si="59"/>
        <v>20.651511982716048</v>
      </c>
    </row>
    <row r="297" spans="6:57" x14ac:dyDescent="0.25">
      <c r="F297" s="9"/>
      <c r="G297" s="21">
        <v>0.20477300000000001</v>
      </c>
      <c r="H297" s="21">
        <v>8.1366999999999994</v>
      </c>
      <c r="I297" s="21">
        <v>-1.38184E-2</v>
      </c>
      <c r="J297" s="21">
        <v>287</v>
      </c>
      <c r="K297" s="21">
        <v>0.20422399999999999</v>
      </c>
      <c r="L297">
        <f t="shared" si="48"/>
        <v>17.05975308641975</v>
      </c>
      <c r="M297">
        <f t="shared" si="49"/>
        <v>3.4933768187654315</v>
      </c>
      <c r="N297" s="9"/>
      <c r="O297" s="21">
        <v>1.34521</v>
      </c>
      <c r="P297" s="21">
        <v>11.6538</v>
      </c>
      <c r="Q297" s="21">
        <v>-1.23993E-2</v>
      </c>
      <c r="R297" s="21">
        <v>287</v>
      </c>
      <c r="S297" s="21">
        <v>1.3443000000000001</v>
      </c>
      <c r="T297">
        <f t="shared" si="50"/>
        <v>15.307777777777778</v>
      </c>
      <c r="U297">
        <f t="shared" si="51"/>
        <v>20.592175744444447</v>
      </c>
      <c r="X297" s="9"/>
      <c r="Y297" s="21">
        <v>0.20477300000000001</v>
      </c>
      <c r="Z297" s="21">
        <v>16.895900000000001</v>
      </c>
      <c r="AA297" s="21">
        <v>-1.38031E-2</v>
      </c>
      <c r="AB297" s="21">
        <v>287</v>
      </c>
      <c r="AC297" s="21">
        <v>0.204315</v>
      </c>
      <c r="AD297">
        <f t="shared" si="52"/>
        <v>17.040864197530862</v>
      </c>
      <c r="AE297">
        <f t="shared" si="53"/>
        <v>3.4895088843209874</v>
      </c>
      <c r="AF297" s="9"/>
      <c r="AG297" s="21">
        <v>1.34521</v>
      </c>
      <c r="AH297" s="21">
        <v>20.413</v>
      </c>
      <c r="AI297" s="21">
        <v>-1.2463399999999999E-2</v>
      </c>
      <c r="AJ297" s="21">
        <v>287</v>
      </c>
      <c r="AK297" s="21">
        <v>1.3443000000000001</v>
      </c>
      <c r="AL297">
        <f t="shared" si="54"/>
        <v>15.386913580246912</v>
      </c>
      <c r="AM297">
        <f t="shared" si="55"/>
        <v>20.69863001728395</v>
      </c>
      <c r="AP297" s="9"/>
      <c r="AQ297" s="21">
        <v>0.20477300000000001</v>
      </c>
      <c r="AR297" s="21">
        <v>25.6541</v>
      </c>
      <c r="AS297" s="21">
        <v>-1.3772599999999999E-2</v>
      </c>
      <c r="AT297" s="21">
        <v>287</v>
      </c>
      <c r="AU297" s="21">
        <v>0.204071</v>
      </c>
      <c r="AV297">
        <f t="shared" si="56"/>
        <v>17.00320987654321</v>
      </c>
      <c r="AW297">
        <f t="shared" si="57"/>
        <v>3.4817982960493827</v>
      </c>
      <c r="AX297" s="9"/>
      <c r="AY297" s="21">
        <v>1.34521</v>
      </c>
      <c r="AZ297" s="21">
        <v>29.171299999999999</v>
      </c>
      <c r="BA297" s="21">
        <v>-1.2460300000000001E-2</v>
      </c>
      <c r="BB297" s="21">
        <v>287</v>
      </c>
      <c r="BC297" s="21">
        <v>1.3446</v>
      </c>
      <c r="BD297">
        <f t="shared" si="58"/>
        <v>15.383086419753086</v>
      </c>
      <c r="BE297">
        <f t="shared" si="59"/>
        <v>20.693481682716047</v>
      </c>
    </row>
    <row r="298" spans="6:57" x14ac:dyDescent="0.25">
      <c r="F298" s="9"/>
      <c r="G298" s="21">
        <v>0.199738</v>
      </c>
      <c r="H298" s="21">
        <v>8.1467700000000001</v>
      </c>
      <c r="I298" s="21">
        <v>-1.3821399999999999E-2</v>
      </c>
      <c r="J298" s="21">
        <v>288</v>
      </c>
      <c r="K298" s="21">
        <v>0.19934099999999999</v>
      </c>
      <c r="L298">
        <f t="shared" si="48"/>
        <v>17.063456790123453</v>
      </c>
      <c r="M298">
        <f t="shared" si="49"/>
        <v>3.4082207323456783</v>
      </c>
      <c r="N298" s="9"/>
      <c r="O298" s="21">
        <v>1.35025</v>
      </c>
      <c r="P298" s="21">
        <v>11.6638</v>
      </c>
      <c r="Q298" s="21">
        <v>-1.23596E-2</v>
      </c>
      <c r="R298" s="21">
        <v>288</v>
      </c>
      <c r="S298" s="21">
        <v>1.34918</v>
      </c>
      <c r="T298">
        <f t="shared" si="50"/>
        <v>15.258765432098766</v>
      </c>
      <c r="U298">
        <f t="shared" si="51"/>
        <v>20.603148024691357</v>
      </c>
      <c r="X298" s="9"/>
      <c r="Y298" s="21">
        <v>0.199738</v>
      </c>
      <c r="Z298" s="21">
        <v>16.905999999999999</v>
      </c>
      <c r="AA298" s="21">
        <v>-1.3815300000000001E-2</v>
      </c>
      <c r="AB298" s="21">
        <v>288</v>
      </c>
      <c r="AC298" s="21">
        <v>0.199188</v>
      </c>
      <c r="AD298">
        <f t="shared" si="52"/>
        <v>17.055925925925926</v>
      </c>
      <c r="AE298">
        <f t="shared" si="53"/>
        <v>3.4067165325925926</v>
      </c>
      <c r="AF298" s="9"/>
      <c r="AG298" s="21">
        <v>1.35025</v>
      </c>
      <c r="AH298" s="21">
        <v>20.422999999999998</v>
      </c>
      <c r="AI298" s="21">
        <v>-1.24329E-2</v>
      </c>
      <c r="AJ298" s="21">
        <v>288</v>
      </c>
      <c r="AK298" s="21">
        <v>1.34979</v>
      </c>
      <c r="AL298">
        <f t="shared" si="54"/>
        <v>15.349259259259259</v>
      </c>
      <c r="AM298">
        <f t="shared" si="55"/>
        <v>20.725337314814816</v>
      </c>
      <c r="AP298" s="9"/>
      <c r="AQ298" s="21">
        <v>0.199738</v>
      </c>
      <c r="AR298" s="21">
        <v>25.664200000000001</v>
      </c>
      <c r="AS298" s="21">
        <v>-1.37787E-2</v>
      </c>
      <c r="AT298" s="21">
        <v>288</v>
      </c>
      <c r="AU298" s="21">
        <v>0.19930999999999999</v>
      </c>
      <c r="AV298">
        <f t="shared" si="56"/>
        <v>17.01074074074074</v>
      </c>
      <c r="AW298">
        <f t="shared" si="57"/>
        <v>3.3976913340740738</v>
      </c>
      <c r="AX298" s="9"/>
      <c r="AY298" s="21">
        <v>1.35025</v>
      </c>
      <c r="AZ298" s="21">
        <v>29.1813</v>
      </c>
      <c r="BA298" s="21">
        <v>-1.24298E-2</v>
      </c>
      <c r="BB298" s="21">
        <v>288</v>
      </c>
      <c r="BC298" s="21">
        <v>1.3501000000000001</v>
      </c>
      <c r="BD298">
        <f t="shared" si="58"/>
        <v>15.34543209876543</v>
      </c>
      <c r="BE298">
        <f t="shared" si="59"/>
        <v>20.72016969135802</v>
      </c>
    </row>
    <row r="299" spans="6:57" x14ac:dyDescent="0.25">
      <c r="F299" s="9"/>
      <c r="G299" s="21">
        <v>0.19470199999999999</v>
      </c>
      <c r="H299" s="21">
        <v>8.1568400000000008</v>
      </c>
      <c r="I299" s="21">
        <v>-1.3821399999999999E-2</v>
      </c>
      <c r="J299" s="21">
        <v>289</v>
      </c>
      <c r="K299" s="21">
        <v>0.19415299999999999</v>
      </c>
      <c r="L299">
        <f t="shared" si="48"/>
        <v>17.063456790123453</v>
      </c>
      <c r="M299">
        <f t="shared" si="49"/>
        <v>3.3222891639506162</v>
      </c>
      <c r="N299" s="9"/>
      <c r="O299" s="21">
        <v>1.3552900000000001</v>
      </c>
      <c r="P299" s="21">
        <v>11.6739</v>
      </c>
      <c r="Q299" s="21">
        <v>-1.23199E-2</v>
      </c>
      <c r="R299" s="21">
        <v>289</v>
      </c>
      <c r="S299" s="21">
        <v>1.3552900000000001</v>
      </c>
      <c r="T299">
        <f t="shared" si="50"/>
        <v>15.209753086419752</v>
      </c>
      <c r="U299">
        <f t="shared" si="51"/>
        <v>20.613626260493827</v>
      </c>
      <c r="X299" s="9"/>
      <c r="Y299" s="21">
        <v>0.19470199999999999</v>
      </c>
      <c r="Z299" s="21">
        <v>16.9161</v>
      </c>
      <c r="AA299" s="21">
        <v>-1.38184E-2</v>
      </c>
      <c r="AB299" s="21">
        <v>289</v>
      </c>
      <c r="AC299" s="21">
        <v>0.19397</v>
      </c>
      <c r="AD299">
        <f t="shared" si="52"/>
        <v>17.05975308641975</v>
      </c>
      <c r="AE299">
        <f t="shared" si="53"/>
        <v>3.3215680454320982</v>
      </c>
      <c r="AF299" s="9"/>
      <c r="AG299" s="21">
        <v>1.3552900000000001</v>
      </c>
      <c r="AH299" s="21">
        <v>20.4331</v>
      </c>
      <c r="AI299" s="21">
        <v>-1.24054E-2</v>
      </c>
      <c r="AJ299" s="21">
        <v>289</v>
      </c>
      <c r="AK299" s="21">
        <v>1.35406</v>
      </c>
      <c r="AL299">
        <f t="shared" si="54"/>
        <v>15.315308641975308</v>
      </c>
      <c r="AM299">
        <f t="shared" si="55"/>
        <v>20.756684649382716</v>
      </c>
      <c r="AP299" s="9"/>
      <c r="AQ299" s="21">
        <v>0.19470199999999999</v>
      </c>
      <c r="AR299" s="21">
        <v>25.674299999999999</v>
      </c>
      <c r="AS299" s="21">
        <v>-1.37848E-2</v>
      </c>
      <c r="AT299" s="21">
        <v>289</v>
      </c>
      <c r="AU299" s="21">
        <v>0.194275</v>
      </c>
      <c r="AV299">
        <f t="shared" si="56"/>
        <v>17.018271604938271</v>
      </c>
      <c r="AW299">
        <f t="shared" si="57"/>
        <v>3.3134915180246911</v>
      </c>
      <c r="AX299" s="9"/>
      <c r="AY299" s="21">
        <v>1.3552900000000001</v>
      </c>
      <c r="AZ299" s="21">
        <v>29.191400000000002</v>
      </c>
      <c r="BA299" s="21">
        <v>-1.23932E-2</v>
      </c>
      <c r="BB299" s="21">
        <v>289</v>
      </c>
      <c r="BC299" s="21">
        <v>1.3537600000000001</v>
      </c>
      <c r="BD299">
        <f t="shared" si="58"/>
        <v>15.300246913580246</v>
      </c>
      <c r="BE299">
        <f t="shared" si="59"/>
        <v>20.736271639506171</v>
      </c>
    </row>
    <row r="300" spans="6:57" x14ac:dyDescent="0.25">
      <c r="F300" s="9"/>
      <c r="G300" s="21">
        <v>0.189667</v>
      </c>
      <c r="H300" s="21">
        <v>8.1669099999999997</v>
      </c>
      <c r="I300" s="21">
        <v>-1.3821399999999999E-2</v>
      </c>
      <c r="J300" s="21">
        <v>290</v>
      </c>
      <c r="K300" s="21">
        <v>0.18908700000000001</v>
      </c>
      <c r="L300">
        <f t="shared" si="48"/>
        <v>17.063456790123453</v>
      </c>
      <c r="M300">
        <f t="shared" si="49"/>
        <v>3.2363746590123452</v>
      </c>
      <c r="N300" s="9"/>
      <c r="O300" s="21">
        <v>1.36032</v>
      </c>
      <c r="P300" s="21">
        <v>11.683999999999999</v>
      </c>
      <c r="Q300" s="21">
        <v>-1.2289400000000001E-2</v>
      </c>
      <c r="R300" s="21">
        <v>290</v>
      </c>
      <c r="S300" s="21">
        <v>1.3595600000000001</v>
      </c>
      <c r="T300">
        <f t="shared" si="50"/>
        <v>15.172098765432098</v>
      </c>
      <c r="U300">
        <f t="shared" si="51"/>
        <v>20.638909392592591</v>
      </c>
      <c r="X300" s="9"/>
      <c r="Y300" s="21">
        <v>0.189667</v>
      </c>
      <c r="Z300" s="21">
        <v>16.926100000000002</v>
      </c>
      <c r="AA300" s="21">
        <v>-1.3821399999999999E-2</v>
      </c>
      <c r="AB300" s="21">
        <v>290</v>
      </c>
      <c r="AC300" s="21">
        <v>0.18914800000000001</v>
      </c>
      <c r="AD300">
        <f t="shared" si="52"/>
        <v>17.063456790123453</v>
      </c>
      <c r="AE300">
        <f t="shared" si="53"/>
        <v>3.2363746590123452</v>
      </c>
      <c r="AF300" s="9"/>
      <c r="AG300" s="21">
        <v>1.36032</v>
      </c>
      <c r="AH300" s="21">
        <v>20.443200000000001</v>
      </c>
      <c r="AI300" s="21">
        <v>-1.2374899999999999E-2</v>
      </c>
      <c r="AJ300" s="21">
        <v>290</v>
      </c>
      <c r="AK300" s="21">
        <v>1.3592500000000001</v>
      </c>
      <c r="AL300">
        <f t="shared" si="54"/>
        <v>15.277654320987653</v>
      </c>
      <c r="AM300">
        <f t="shared" si="55"/>
        <v>20.782498725925922</v>
      </c>
      <c r="AP300" s="9"/>
      <c r="AQ300" s="21">
        <v>0.189667</v>
      </c>
      <c r="AR300" s="21">
        <v>25.6843</v>
      </c>
      <c r="AS300" s="21">
        <v>-1.3775600000000001E-2</v>
      </c>
      <c r="AT300" s="21">
        <v>290</v>
      </c>
      <c r="AU300" s="21">
        <v>0.18908700000000001</v>
      </c>
      <c r="AV300">
        <f t="shared" si="56"/>
        <v>17.006913580246916</v>
      </c>
      <c r="AW300">
        <f t="shared" si="57"/>
        <v>3.2256502780246921</v>
      </c>
      <c r="AX300" s="9"/>
      <c r="AY300" s="21">
        <v>1.36032</v>
      </c>
      <c r="AZ300" s="21">
        <v>29.201499999999999</v>
      </c>
      <c r="BA300" s="21">
        <v>-1.2374899999999999E-2</v>
      </c>
      <c r="BB300" s="21">
        <v>290</v>
      </c>
      <c r="BC300" s="21">
        <v>1.3595600000000001</v>
      </c>
      <c r="BD300">
        <f t="shared" si="58"/>
        <v>15.277654320987653</v>
      </c>
      <c r="BE300">
        <f t="shared" si="59"/>
        <v>20.782498725925922</v>
      </c>
    </row>
    <row r="301" spans="6:57" x14ac:dyDescent="0.25">
      <c r="F301" s="9"/>
      <c r="G301" s="21">
        <v>0.18463099999999999</v>
      </c>
      <c r="H301" s="21">
        <v>8.1769800000000004</v>
      </c>
      <c r="I301" s="21">
        <v>-1.38184E-2</v>
      </c>
      <c r="J301" s="21">
        <v>291</v>
      </c>
      <c r="K301" s="21">
        <v>0.184082</v>
      </c>
      <c r="L301">
        <f t="shared" si="48"/>
        <v>17.05975308641975</v>
      </c>
      <c r="M301">
        <f t="shared" si="49"/>
        <v>3.1497592720987648</v>
      </c>
      <c r="N301" s="9"/>
      <c r="O301" s="21">
        <v>1.3653599999999999</v>
      </c>
      <c r="P301" s="21">
        <v>11.694000000000001</v>
      </c>
      <c r="Q301" s="21">
        <v>-1.2262E-2</v>
      </c>
      <c r="R301" s="21">
        <v>291</v>
      </c>
      <c r="S301" s="21">
        <v>1.3644400000000001</v>
      </c>
      <c r="T301">
        <f t="shared" si="50"/>
        <v>15.138271604938272</v>
      </c>
      <c r="U301">
        <f t="shared" si="51"/>
        <v>20.669190518518516</v>
      </c>
      <c r="X301" s="9"/>
      <c r="Y301" s="21">
        <v>0.18463099999999999</v>
      </c>
      <c r="Z301" s="21">
        <v>16.936199999999999</v>
      </c>
      <c r="AA301" s="21">
        <v>-1.38275E-2</v>
      </c>
      <c r="AB301" s="21">
        <v>291</v>
      </c>
      <c r="AC301" s="21">
        <v>0.184143</v>
      </c>
      <c r="AD301">
        <f t="shared" si="52"/>
        <v>17.070987654320987</v>
      </c>
      <c r="AE301">
        <f t="shared" si="53"/>
        <v>3.1518335216049382</v>
      </c>
      <c r="AF301" s="9"/>
      <c r="AG301" s="21">
        <v>1.3653599999999999</v>
      </c>
      <c r="AH301" s="21">
        <v>20.453299999999999</v>
      </c>
      <c r="AI301" s="21">
        <v>-1.2341299999999999E-2</v>
      </c>
      <c r="AJ301" s="21">
        <v>291</v>
      </c>
      <c r="AK301" s="21">
        <v>1.3644400000000001</v>
      </c>
      <c r="AL301">
        <f t="shared" si="54"/>
        <v>15.236172839506171</v>
      </c>
      <c r="AM301">
        <f t="shared" si="55"/>
        <v>20.802860948148144</v>
      </c>
      <c r="AP301" s="9"/>
      <c r="AQ301" s="21">
        <v>0.18463099999999999</v>
      </c>
      <c r="AR301" s="21">
        <v>25.694400000000002</v>
      </c>
      <c r="AS301" s="21">
        <v>-1.3775600000000001E-2</v>
      </c>
      <c r="AT301" s="21">
        <v>291</v>
      </c>
      <c r="AU301" s="21">
        <v>0.184113</v>
      </c>
      <c r="AV301">
        <f t="shared" si="56"/>
        <v>17.006913580246916</v>
      </c>
      <c r="AW301">
        <f t="shared" si="57"/>
        <v>3.1400034612345684</v>
      </c>
      <c r="AX301" s="9"/>
      <c r="AY301" s="21">
        <v>1.3653599999999999</v>
      </c>
      <c r="AZ301" s="21">
        <v>29.211500000000001</v>
      </c>
      <c r="BA301" s="21">
        <v>-1.23474E-2</v>
      </c>
      <c r="BB301" s="21">
        <v>291</v>
      </c>
      <c r="BC301" s="21">
        <v>1.3644400000000001</v>
      </c>
      <c r="BD301">
        <f t="shared" si="58"/>
        <v>15.243703703703702</v>
      </c>
      <c r="BE301">
        <f t="shared" si="59"/>
        <v>20.813143288888885</v>
      </c>
    </row>
    <row r="302" spans="6:57" x14ac:dyDescent="0.25">
      <c r="F302" s="9"/>
      <c r="G302" s="21">
        <v>0.17959600000000001</v>
      </c>
      <c r="H302" s="21">
        <v>8.1870600000000007</v>
      </c>
      <c r="I302" s="21">
        <v>-1.3815300000000001E-2</v>
      </c>
      <c r="J302" s="21">
        <v>292</v>
      </c>
      <c r="K302" s="21">
        <v>0.17901600000000001</v>
      </c>
      <c r="L302">
        <f t="shared" si="48"/>
        <v>17.055925925925926</v>
      </c>
      <c r="M302">
        <f t="shared" si="49"/>
        <v>3.0631760725925927</v>
      </c>
      <c r="N302" s="9"/>
      <c r="O302" s="21">
        <v>1.37039</v>
      </c>
      <c r="P302" s="21">
        <v>11.7041</v>
      </c>
      <c r="Q302" s="21">
        <v>-1.22375E-2</v>
      </c>
      <c r="R302" s="21">
        <v>292</v>
      </c>
      <c r="S302" s="21">
        <v>1.3696299999999999</v>
      </c>
      <c r="T302">
        <f t="shared" si="50"/>
        <v>15.108024691358024</v>
      </c>
      <c r="U302">
        <f t="shared" si="51"/>
        <v>20.703885956790121</v>
      </c>
      <c r="X302" s="9"/>
      <c r="Y302" s="21">
        <v>0.17959600000000001</v>
      </c>
      <c r="Z302" s="21">
        <v>16.946300000000001</v>
      </c>
      <c r="AA302" s="21">
        <v>-1.38367E-2</v>
      </c>
      <c r="AB302" s="21">
        <v>292</v>
      </c>
      <c r="AC302" s="21">
        <v>0.17910799999999999</v>
      </c>
      <c r="AD302">
        <f t="shared" si="52"/>
        <v>17.082345679012345</v>
      </c>
      <c r="AE302">
        <f t="shared" si="53"/>
        <v>3.0679209545679011</v>
      </c>
      <c r="AF302" s="9"/>
      <c r="AG302" s="21">
        <v>1.37039</v>
      </c>
      <c r="AH302" s="21">
        <v>20.4633</v>
      </c>
      <c r="AI302" s="21">
        <v>-1.23077E-2</v>
      </c>
      <c r="AJ302" s="21">
        <v>292</v>
      </c>
      <c r="AK302" s="21">
        <v>1.3693200000000001</v>
      </c>
      <c r="AL302">
        <f t="shared" si="54"/>
        <v>15.19469135802469</v>
      </c>
      <c r="AM302">
        <f t="shared" si="55"/>
        <v>20.822653090123456</v>
      </c>
      <c r="AP302" s="9"/>
      <c r="AQ302" s="21">
        <v>0.17959600000000001</v>
      </c>
      <c r="AR302" s="21">
        <v>25.704499999999999</v>
      </c>
      <c r="AS302" s="21">
        <v>-1.37787E-2</v>
      </c>
      <c r="AT302" s="21">
        <v>292</v>
      </c>
      <c r="AU302" s="21">
        <v>0.17907699999999999</v>
      </c>
      <c r="AV302">
        <f t="shared" si="56"/>
        <v>17.01074074074074</v>
      </c>
      <c r="AW302">
        <f t="shared" si="57"/>
        <v>3.0550609940740738</v>
      </c>
      <c r="AX302" s="9"/>
      <c r="AY302" s="21">
        <v>1.37039</v>
      </c>
      <c r="AZ302" s="21">
        <v>29.221599999999999</v>
      </c>
      <c r="BA302" s="21">
        <v>-1.23199E-2</v>
      </c>
      <c r="BB302" s="21">
        <v>292</v>
      </c>
      <c r="BC302" s="21">
        <v>1.3702399999999999</v>
      </c>
      <c r="BD302">
        <f t="shared" si="58"/>
        <v>15.209753086419752</v>
      </c>
      <c r="BE302">
        <f t="shared" si="59"/>
        <v>20.843293532098766</v>
      </c>
    </row>
    <row r="303" spans="6:57" x14ac:dyDescent="0.25">
      <c r="F303" s="9"/>
      <c r="G303" s="21">
        <v>0.17456099999999999</v>
      </c>
      <c r="H303" s="21">
        <v>8.1971299999999996</v>
      </c>
      <c r="I303" s="21">
        <v>-1.3815300000000001E-2</v>
      </c>
      <c r="J303" s="21">
        <v>293</v>
      </c>
      <c r="K303" s="21">
        <v>0.174072</v>
      </c>
      <c r="L303">
        <f t="shared" si="48"/>
        <v>17.055925925925926</v>
      </c>
      <c r="M303">
        <f t="shared" si="49"/>
        <v>2.9772994855555557</v>
      </c>
      <c r="N303" s="9"/>
      <c r="O303" s="21">
        <v>1.3754299999999999</v>
      </c>
      <c r="P303" s="21">
        <v>11.7142</v>
      </c>
      <c r="Q303" s="21">
        <v>-1.22101E-2</v>
      </c>
      <c r="R303" s="21">
        <v>293</v>
      </c>
      <c r="S303" s="21">
        <v>1.3745099999999999</v>
      </c>
      <c r="T303">
        <f t="shared" si="50"/>
        <v>15.074197530864195</v>
      </c>
      <c r="U303">
        <f t="shared" si="51"/>
        <v>20.733503509876538</v>
      </c>
      <c r="X303" s="9"/>
      <c r="Y303" s="21">
        <v>0.17456099999999999</v>
      </c>
      <c r="Z303" s="21">
        <v>16.956299999999999</v>
      </c>
      <c r="AA303" s="21">
        <v>-1.3848900000000001E-2</v>
      </c>
      <c r="AB303" s="21">
        <v>293</v>
      </c>
      <c r="AC303" s="21">
        <v>0.174011</v>
      </c>
      <c r="AD303">
        <f t="shared" si="52"/>
        <v>17.09740740740741</v>
      </c>
      <c r="AE303">
        <f t="shared" si="53"/>
        <v>2.9845405344444447</v>
      </c>
      <c r="AF303" s="9"/>
      <c r="AG303" s="21">
        <v>1.3754299999999999</v>
      </c>
      <c r="AH303" s="21">
        <v>20.473400000000002</v>
      </c>
      <c r="AI303" s="21">
        <v>-1.2274200000000001E-2</v>
      </c>
      <c r="AJ303" s="21">
        <v>293</v>
      </c>
      <c r="AK303" s="21">
        <v>1.3742099999999999</v>
      </c>
      <c r="AL303">
        <f t="shared" si="54"/>
        <v>15.153333333333332</v>
      </c>
      <c r="AM303">
        <f t="shared" si="55"/>
        <v>20.842349266666666</v>
      </c>
      <c r="AP303" s="9"/>
      <c r="AQ303" s="21">
        <v>0.17456099999999999</v>
      </c>
      <c r="AR303" s="21">
        <v>25.714600000000001</v>
      </c>
      <c r="AS303" s="21">
        <v>-1.3781699999999999E-2</v>
      </c>
      <c r="AT303" s="21">
        <v>293</v>
      </c>
      <c r="AU303" s="21">
        <v>0.17410300000000001</v>
      </c>
      <c r="AV303">
        <f t="shared" si="56"/>
        <v>17.014444444444443</v>
      </c>
      <c r="AW303">
        <f t="shared" si="57"/>
        <v>2.9700584366666662</v>
      </c>
      <c r="AX303" s="9"/>
      <c r="AY303" s="21">
        <v>1.3754299999999999</v>
      </c>
      <c r="AZ303" s="21">
        <v>29.2317</v>
      </c>
      <c r="BA303" s="21">
        <v>-1.2289400000000001E-2</v>
      </c>
      <c r="BB303" s="21">
        <v>293</v>
      </c>
      <c r="BC303" s="21">
        <v>1.3748199999999999</v>
      </c>
      <c r="BD303">
        <f t="shared" si="58"/>
        <v>15.172098765432098</v>
      </c>
      <c r="BE303">
        <f t="shared" si="59"/>
        <v>20.868159804938269</v>
      </c>
    </row>
    <row r="304" spans="6:57" x14ac:dyDescent="0.25">
      <c r="F304" s="9"/>
      <c r="G304" s="21">
        <v>0.16952500000000001</v>
      </c>
      <c r="H304" s="21">
        <v>8.2072000000000003</v>
      </c>
      <c r="I304" s="21">
        <v>-1.38123E-2</v>
      </c>
      <c r="J304" s="21">
        <v>294</v>
      </c>
      <c r="K304" s="21">
        <v>0.16900599999999999</v>
      </c>
      <c r="L304">
        <f t="shared" si="48"/>
        <v>17.052222222222223</v>
      </c>
      <c r="M304">
        <f t="shared" si="49"/>
        <v>2.8907779722222227</v>
      </c>
      <c r="N304" s="9"/>
      <c r="O304" s="21">
        <v>1.38046</v>
      </c>
      <c r="P304" s="21">
        <v>11.724299999999999</v>
      </c>
      <c r="Q304" s="21">
        <v>-1.21826E-2</v>
      </c>
      <c r="R304" s="21">
        <v>294</v>
      </c>
      <c r="S304" s="21">
        <v>1.3796999999999999</v>
      </c>
      <c r="T304">
        <f t="shared" si="50"/>
        <v>15.040246913580246</v>
      </c>
      <c r="U304">
        <f t="shared" si="51"/>
        <v>20.762459254320987</v>
      </c>
      <c r="X304" s="9"/>
      <c r="Y304" s="21">
        <v>0.16952500000000001</v>
      </c>
      <c r="Z304" s="21">
        <v>16.9664</v>
      </c>
      <c r="AA304" s="21">
        <v>-1.38672E-2</v>
      </c>
      <c r="AB304" s="21">
        <v>294</v>
      </c>
      <c r="AC304" s="21">
        <v>0.16897599999999999</v>
      </c>
      <c r="AD304">
        <f t="shared" si="52"/>
        <v>17.12</v>
      </c>
      <c r="AE304">
        <f t="shared" si="53"/>
        <v>2.9022680000000003</v>
      </c>
      <c r="AF304" s="9"/>
      <c r="AG304" s="21">
        <v>1.38046</v>
      </c>
      <c r="AH304" s="21">
        <v>20.483499999999999</v>
      </c>
      <c r="AI304" s="21">
        <v>-1.2240600000000001E-2</v>
      </c>
      <c r="AJ304" s="21">
        <v>294</v>
      </c>
      <c r="AK304" s="21">
        <v>1.3803099999999999</v>
      </c>
      <c r="AL304">
        <f t="shared" si="54"/>
        <v>15.111851851851853</v>
      </c>
      <c r="AM304">
        <f t="shared" si="55"/>
        <v>20.861307007407408</v>
      </c>
      <c r="AP304" s="9"/>
      <c r="AQ304" s="21">
        <v>0.16952500000000001</v>
      </c>
      <c r="AR304" s="21">
        <v>25.724599999999999</v>
      </c>
      <c r="AS304" s="21">
        <v>-1.38E-2</v>
      </c>
      <c r="AT304" s="21">
        <v>294</v>
      </c>
      <c r="AU304" s="21">
        <v>0.16894500000000001</v>
      </c>
      <c r="AV304">
        <f t="shared" si="56"/>
        <v>17.037037037037035</v>
      </c>
      <c r="AW304">
        <f t="shared" si="57"/>
        <v>2.8882037037037036</v>
      </c>
      <c r="AX304" s="9"/>
      <c r="AY304" s="21">
        <v>1.38046</v>
      </c>
      <c r="AZ304" s="21">
        <v>29.241800000000001</v>
      </c>
      <c r="BA304" s="21">
        <v>-1.2265E-2</v>
      </c>
      <c r="BB304" s="21">
        <v>294</v>
      </c>
      <c r="BC304" s="21">
        <v>1.3793899999999999</v>
      </c>
      <c r="BD304">
        <f t="shared" si="58"/>
        <v>15.141975308641973</v>
      </c>
      <c r="BE304">
        <f t="shared" si="59"/>
        <v>20.9028912345679</v>
      </c>
    </row>
    <row r="305" spans="6:57" x14ac:dyDescent="0.25">
      <c r="F305" s="9"/>
      <c r="G305" s="21">
        <v>0.16449</v>
      </c>
      <c r="H305" s="21">
        <v>8.2172699999999992</v>
      </c>
      <c r="I305" s="21">
        <v>-1.38123E-2</v>
      </c>
      <c r="J305" s="21">
        <v>295</v>
      </c>
      <c r="K305" s="21">
        <v>0.16391</v>
      </c>
      <c r="L305">
        <f t="shared" si="48"/>
        <v>17.052222222222223</v>
      </c>
      <c r="M305">
        <f t="shared" si="49"/>
        <v>2.8049200333333335</v>
      </c>
      <c r="N305" s="9"/>
      <c r="O305" s="21">
        <v>1.3855</v>
      </c>
      <c r="P305" s="21">
        <v>11.734299999999999</v>
      </c>
      <c r="Q305" s="21">
        <v>-1.2152100000000001E-2</v>
      </c>
      <c r="R305" s="21">
        <v>295</v>
      </c>
      <c r="S305" s="21">
        <v>1.3851899999999999</v>
      </c>
      <c r="T305">
        <f t="shared" si="50"/>
        <v>15.002592592592592</v>
      </c>
      <c r="U305">
        <f t="shared" si="51"/>
        <v>20.786092037037037</v>
      </c>
      <c r="X305" s="9"/>
      <c r="Y305" s="21">
        <v>0.16449</v>
      </c>
      <c r="Z305" s="21">
        <v>16.976500000000001</v>
      </c>
      <c r="AA305" s="21">
        <v>-1.38794E-2</v>
      </c>
      <c r="AB305" s="21">
        <v>295</v>
      </c>
      <c r="AC305" s="21">
        <v>0.16403200000000001</v>
      </c>
      <c r="AD305">
        <f t="shared" si="52"/>
        <v>17.135061728395058</v>
      </c>
      <c r="AE305">
        <f t="shared" si="53"/>
        <v>2.8185463037037031</v>
      </c>
      <c r="AF305" s="9"/>
      <c r="AG305" s="21">
        <v>1.3855</v>
      </c>
      <c r="AH305" s="21">
        <v>20.493500000000001</v>
      </c>
      <c r="AI305" s="21">
        <v>-1.22101E-2</v>
      </c>
      <c r="AJ305" s="21">
        <v>295</v>
      </c>
      <c r="AK305" s="21">
        <v>1.38489</v>
      </c>
      <c r="AL305">
        <f t="shared" si="54"/>
        <v>15.074197530864195</v>
      </c>
      <c r="AM305">
        <f t="shared" si="55"/>
        <v>20.885300679012342</v>
      </c>
      <c r="AP305" s="9"/>
      <c r="AQ305" s="21">
        <v>0.16449</v>
      </c>
      <c r="AR305" s="21">
        <v>25.7347</v>
      </c>
      <c r="AS305" s="21">
        <v>-1.38031E-2</v>
      </c>
      <c r="AT305" s="21">
        <v>295</v>
      </c>
      <c r="AU305" s="21">
        <v>0.16391</v>
      </c>
      <c r="AV305">
        <f t="shared" si="56"/>
        <v>17.040864197530862</v>
      </c>
      <c r="AW305">
        <f t="shared" si="57"/>
        <v>2.8030517518518514</v>
      </c>
      <c r="AX305" s="9"/>
      <c r="AY305" s="21">
        <v>1.3855</v>
      </c>
      <c r="AZ305" s="21">
        <v>29.251799999999999</v>
      </c>
      <c r="BA305" s="21">
        <v>-1.2246699999999999E-2</v>
      </c>
      <c r="BB305" s="21">
        <v>295</v>
      </c>
      <c r="BC305" s="21">
        <v>1.38428</v>
      </c>
      <c r="BD305">
        <f t="shared" si="58"/>
        <v>15.11938271604938</v>
      </c>
      <c r="BE305">
        <f t="shared" si="59"/>
        <v>20.947904753086416</v>
      </c>
    </row>
    <row r="306" spans="6:57" x14ac:dyDescent="0.25">
      <c r="F306" s="9"/>
      <c r="G306" s="21">
        <v>0.15945400000000001</v>
      </c>
      <c r="H306" s="21">
        <v>8.2273399999999999</v>
      </c>
      <c r="I306" s="21">
        <v>-1.38123E-2</v>
      </c>
      <c r="J306" s="21">
        <v>296</v>
      </c>
      <c r="K306" s="21">
        <v>0.159027</v>
      </c>
      <c r="L306">
        <f t="shared" si="48"/>
        <v>17.052222222222223</v>
      </c>
      <c r="M306">
        <f t="shared" si="49"/>
        <v>2.7190450422222225</v>
      </c>
      <c r="N306" s="9"/>
      <c r="O306" s="21">
        <v>1.39053</v>
      </c>
      <c r="P306" s="21">
        <v>11.744400000000001</v>
      </c>
      <c r="Q306" s="21">
        <v>-1.2118500000000001E-2</v>
      </c>
      <c r="R306" s="21">
        <v>296</v>
      </c>
      <c r="S306" s="21">
        <v>1.39008</v>
      </c>
      <c r="T306">
        <f t="shared" si="50"/>
        <v>14.96111111111111</v>
      </c>
      <c r="U306">
        <f t="shared" si="51"/>
        <v>20.803873833333334</v>
      </c>
      <c r="X306" s="9"/>
      <c r="Y306" s="21">
        <v>0.15945400000000001</v>
      </c>
      <c r="Z306" s="21">
        <v>16.986499999999999</v>
      </c>
      <c r="AA306" s="21">
        <v>-1.3876299999999999E-2</v>
      </c>
      <c r="AB306" s="21">
        <v>296</v>
      </c>
      <c r="AC306" s="21">
        <v>0.15890499999999999</v>
      </c>
      <c r="AD306">
        <f t="shared" si="52"/>
        <v>17.131234567901231</v>
      </c>
      <c r="AE306">
        <f t="shared" si="53"/>
        <v>2.7316438767901232</v>
      </c>
      <c r="AF306" s="9"/>
      <c r="AG306" s="21">
        <v>1.39053</v>
      </c>
      <c r="AH306" s="21">
        <v>20.503599999999999</v>
      </c>
      <c r="AI306" s="21">
        <v>-1.21796E-2</v>
      </c>
      <c r="AJ306" s="21">
        <v>296</v>
      </c>
      <c r="AK306" s="21">
        <v>1.39069</v>
      </c>
      <c r="AL306">
        <f t="shared" si="54"/>
        <v>15.036543209876543</v>
      </c>
      <c r="AM306">
        <f t="shared" si="55"/>
        <v>20.908764429629631</v>
      </c>
      <c r="AP306" s="9"/>
      <c r="AQ306" s="21">
        <v>0.15945400000000001</v>
      </c>
      <c r="AR306" s="21">
        <v>25.744800000000001</v>
      </c>
      <c r="AS306" s="21">
        <v>-1.38E-2</v>
      </c>
      <c r="AT306" s="21">
        <v>296</v>
      </c>
      <c r="AU306" s="21">
        <v>0.158997</v>
      </c>
      <c r="AV306">
        <f t="shared" si="56"/>
        <v>17.037037037037035</v>
      </c>
      <c r="AW306">
        <f t="shared" si="57"/>
        <v>2.7166237037037035</v>
      </c>
      <c r="AX306" s="9"/>
      <c r="AY306" s="21">
        <v>1.39053</v>
      </c>
      <c r="AZ306" s="21">
        <v>29.261900000000001</v>
      </c>
      <c r="BA306" s="21">
        <v>-1.22284E-2</v>
      </c>
      <c r="BB306" s="21">
        <v>296</v>
      </c>
      <c r="BC306" s="21">
        <v>1.38947</v>
      </c>
      <c r="BD306">
        <f t="shared" si="58"/>
        <v>15.096790123456788</v>
      </c>
      <c r="BE306">
        <f t="shared" si="59"/>
        <v>20.992539570370369</v>
      </c>
    </row>
    <row r="307" spans="6:57" x14ac:dyDescent="0.25">
      <c r="F307" s="9"/>
      <c r="G307" s="21">
        <v>0.154419</v>
      </c>
      <c r="H307" s="21">
        <v>8.2374100000000006</v>
      </c>
      <c r="I307" s="21">
        <v>-1.38123E-2</v>
      </c>
      <c r="J307" s="21">
        <v>297</v>
      </c>
      <c r="K307" s="21">
        <v>0.15390000000000001</v>
      </c>
      <c r="L307">
        <f t="shared" si="48"/>
        <v>17.052222222222223</v>
      </c>
      <c r="M307">
        <f t="shared" si="49"/>
        <v>2.6331871033333334</v>
      </c>
      <c r="N307" s="9"/>
      <c r="O307" s="21">
        <v>1.39557</v>
      </c>
      <c r="P307" s="21">
        <v>11.7545</v>
      </c>
      <c r="Q307" s="21">
        <v>-1.20819E-2</v>
      </c>
      <c r="R307" s="21">
        <v>297</v>
      </c>
      <c r="S307" s="21">
        <v>1.3946499999999999</v>
      </c>
      <c r="T307">
        <f t="shared" si="50"/>
        <v>14.915925925925924</v>
      </c>
      <c r="U307">
        <f t="shared" si="51"/>
        <v>20.816218744444441</v>
      </c>
      <c r="X307" s="9"/>
      <c r="Y307" s="21">
        <v>0.154419</v>
      </c>
      <c r="Z307" s="21">
        <v>16.996600000000001</v>
      </c>
      <c r="AA307" s="21">
        <v>-1.3870199999999999E-2</v>
      </c>
      <c r="AB307" s="21">
        <v>297</v>
      </c>
      <c r="AC307" s="21">
        <v>0.15387000000000001</v>
      </c>
      <c r="AD307">
        <f t="shared" si="52"/>
        <v>17.123703703703701</v>
      </c>
      <c r="AE307">
        <f t="shared" si="53"/>
        <v>2.6442252022222217</v>
      </c>
      <c r="AF307" s="9"/>
      <c r="AG307" s="21">
        <v>1.39557</v>
      </c>
      <c r="AH307" s="21">
        <v>20.5137</v>
      </c>
      <c r="AI307" s="21">
        <v>-1.2149E-2</v>
      </c>
      <c r="AJ307" s="21">
        <v>297</v>
      </c>
      <c r="AK307" s="21">
        <v>1.39496</v>
      </c>
      <c r="AL307">
        <f t="shared" si="54"/>
        <v>14.998765432098764</v>
      </c>
      <c r="AM307">
        <f t="shared" si="55"/>
        <v>20.931827074074072</v>
      </c>
      <c r="AP307" s="9"/>
      <c r="AQ307" s="21">
        <v>0.154419</v>
      </c>
      <c r="AR307" s="21">
        <v>25.754799999999999</v>
      </c>
      <c r="AS307" s="21">
        <v>-1.3797E-2</v>
      </c>
      <c r="AT307" s="21">
        <v>297</v>
      </c>
      <c r="AU307" s="21">
        <v>0.15387000000000001</v>
      </c>
      <c r="AV307">
        <f t="shared" si="56"/>
        <v>17.033333333333331</v>
      </c>
      <c r="AW307">
        <f t="shared" si="57"/>
        <v>2.6302702999999998</v>
      </c>
      <c r="AX307" s="9"/>
      <c r="AY307" s="21">
        <v>1.39557</v>
      </c>
      <c r="AZ307" s="21">
        <v>29.271999999999998</v>
      </c>
      <c r="BA307" s="21">
        <v>-1.21887E-2</v>
      </c>
      <c r="BB307" s="21">
        <v>297</v>
      </c>
      <c r="BC307" s="21">
        <v>1.39557</v>
      </c>
      <c r="BD307">
        <f t="shared" si="58"/>
        <v>15.047777777777776</v>
      </c>
      <c r="BE307">
        <f t="shared" si="59"/>
        <v>21.00022723333333</v>
      </c>
    </row>
    <row r="308" spans="6:57" x14ac:dyDescent="0.25">
      <c r="F308" s="9"/>
      <c r="G308" s="21">
        <v>0.14938399999999999</v>
      </c>
      <c r="H308" s="21">
        <v>8.2474799999999995</v>
      </c>
      <c r="I308" s="21">
        <v>-1.3815300000000001E-2</v>
      </c>
      <c r="J308" s="21">
        <v>298</v>
      </c>
      <c r="K308" s="21">
        <v>0.14874299999999999</v>
      </c>
      <c r="L308">
        <f t="shared" si="48"/>
        <v>17.055925925925926</v>
      </c>
      <c r="M308">
        <f t="shared" si="49"/>
        <v>2.5478824385185184</v>
      </c>
      <c r="N308" s="9"/>
      <c r="O308" s="21">
        <v>1.4006000000000001</v>
      </c>
      <c r="P308" s="21">
        <v>11.7645</v>
      </c>
      <c r="Q308" s="21">
        <v>-1.20392E-2</v>
      </c>
      <c r="R308" s="21">
        <v>298</v>
      </c>
      <c r="S308" s="21">
        <v>1.39954</v>
      </c>
      <c r="T308">
        <f t="shared" si="50"/>
        <v>14.863209876543209</v>
      </c>
      <c r="U308">
        <f t="shared" si="51"/>
        <v>20.817411753086418</v>
      </c>
      <c r="X308" s="9"/>
      <c r="Y308" s="21">
        <v>0.14938399999999999</v>
      </c>
      <c r="Z308" s="21">
        <v>17.006699999999999</v>
      </c>
      <c r="AA308" s="21">
        <v>-1.3864100000000001E-2</v>
      </c>
      <c r="AB308" s="21">
        <v>298</v>
      </c>
      <c r="AC308" s="21">
        <v>0.148926</v>
      </c>
      <c r="AD308">
        <f t="shared" si="52"/>
        <v>17.11617283950617</v>
      </c>
      <c r="AE308">
        <f t="shared" si="53"/>
        <v>2.5568823634567894</v>
      </c>
      <c r="AF308" s="9"/>
      <c r="AG308" s="21">
        <v>1.4006000000000001</v>
      </c>
      <c r="AH308" s="21">
        <v>20.523700000000002</v>
      </c>
      <c r="AI308" s="21">
        <v>-1.21155E-2</v>
      </c>
      <c r="AJ308" s="21">
        <v>298</v>
      </c>
      <c r="AK308" s="21">
        <v>1.40015</v>
      </c>
      <c r="AL308">
        <f t="shared" si="54"/>
        <v>14.957407407407405</v>
      </c>
      <c r="AM308">
        <f t="shared" si="55"/>
        <v>20.949344814814815</v>
      </c>
      <c r="AP308" s="9"/>
      <c r="AQ308" s="21">
        <v>0.14938399999999999</v>
      </c>
      <c r="AR308" s="21">
        <v>25.764900000000001</v>
      </c>
      <c r="AS308" s="21">
        <v>-1.3806199999999999E-2</v>
      </c>
      <c r="AT308" s="21">
        <v>298</v>
      </c>
      <c r="AU308" s="21">
        <v>0.148895</v>
      </c>
      <c r="AV308">
        <f t="shared" si="56"/>
        <v>17.044691358024689</v>
      </c>
      <c r="AW308">
        <f t="shared" si="57"/>
        <v>2.5462041738271601</v>
      </c>
      <c r="AX308" s="9"/>
      <c r="AY308" s="21">
        <v>1.4006000000000001</v>
      </c>
      <c r="AZ308" s="21">
        <v>29.282</v>
      </c>
      <c r="BA308" s="21">
        <v>-1.2146000000000001E-2</v>
      </c>
      <c r="BB308" s="21">
        <v>298</v>
      </c>
      <c r="BC308" s="21">
        <v>1.40015</v>
      </c>
      <c r="BD308">
        <f t="shared" si="58"/>
        <v>14.995061728395061</v>
      </c>
      <c r="BE308">
        <f t="shared" si="59"/>
        <v>21.002083456790125</v>
      </c>
    </row>
    <row r="309" spans="6:57" x14ac:dyDescent="0.25">
      <c r="F309" s="9"/>
      <c r="G309" s="21">
        <v>0.144348</v>
      </c>
      <c r="H309" s="21">
        <v>8.2575500000000002</v>
      </c>
      <c r="I309" s="21">
        <v>-1.3821399999999999E-2</v>
      </c>
      <c r="J309" s="21">
        <v>299</v>
      </c>
      <c r="K309" s="21">
        <v>0.144043</v>
      </c>
      <c r="L309">
        <f t="shared" si="48"/>
        <v>17.063456790123453</v>
      </c>
      <c r="M309">
        <f t="shared" si="49"/>
        <v>2.4630758607407404</v>
      </c>
      <c r="N309" s="9"/>
      <c r="O309" s="21">
        <v>1.40564</v>
      </c>
      <c r="P309" s="21">
        <v>11.7746</v>
      </c>
      <c r="Q309" s="21">
        <v>-1.19995E-2</v>
      </c>
      <c r="R309" s="21">
        <v>299</v>
      </c>
      <c r="S309" s="21">
        <v>1.40442</v>
      </c>
      <c r="T309">
        <f t="shared" si="50"/>
        <v>14.814197530864195</v>
      </c>
      <c r="U309">
        <f t="shared" si="51"/>
        <v>20.823428617283948</v>
      </c>
      <c r="X309" s="9"/>
      <c r="Y309" s="21">
        <v>0.144348</v>
      </c>
      <c r="Z309" s="21">
        <v>17.0168</v>
      </c>
      <c r="AA309" s="21">
        <v>-1.3861099999999999E-2</v>
      </c>
      <c r="AB309" s="21">
        <v>299</v>
      </c>
      <c r="AC309" s="21">
        <v>0.144012</v>
      </c>
      <c r="AD309">
        <f t="shared" si="52"/>
        <v>17.112469135802467</v>
      </c>
      <c r="AE309">
        <f t="shared" si="53"/>
        <v>2.4701506948148144</v>
      </c>
      <c r="AF309" s="9"/>
      <c r="AG309" s="21">
        <v>1.40564</v>
      </c>
      <c r="AH309" s="21">
        <v>20.533799999999999</v>
      </c>
      <c r="AI309" s="21">
        <v>-1.20819E-2</v>
      </c>
      <c r="AJ309" s="21">
        <v>299</v>
      </c>
      <c r="AK309" s="21">
        <v>1.40503</v>
      </c>
      <c r="AL309">
        <f t="shared" si="54"/>
        <v>14.915925925925924</v>
      </c>
      <c r="AM309">
        <f t="shared" si="55"/>
        <v>20.966422118518516</v>
      </c>
      <c r="AP309" s="9"/>
      <c r="AQ309" s="21">
        <v>0.144348</v>
      </c>
      <c r="AR309" s="21">
        <v>25.774999999999999</v>
      </c>
      <c r="AS309" s="21">
        <v>-1.3806199999999999E-2</v>
      </c>
      <c r="AT309" s="21">
        <v>299</v>
      </c>
      <c r="AU309" s="21">
        <v>0.14379900000000001</v>
      </c>
      <c r="AV309">
        <f t="shared" si="56"/>
        <v>17.044691358024689</v>
      </c>
      <c r="AW309">
        <f t="shared" si="57"/>
        <v>2.460367108148148</v>
      </c>
      <c r="AX309" s="9"/>
      <c r="AY309" s="21">
        <v>1.40564</v>
      </c>
      <c r="AZ309" s="21">
        <v>29.292100000000001</v>
      </c>
      <c r="BA309" s="21">
        <v>-1.2103300000000001E-2</v>
      </c>
      <c r="BB309" s="21">
        <v>299</v>
      </c>
      <c r="BC309" s="21">
        <v>1.40472</v>
      </c>
      <c r="BD309">
        <f t="shared" si="58"/>
        <v>14.942345679012346</v>
      </c>
      <c r="BE309">
        <f t="shared" si="59"/>
        <v>21.003558780246916</v>
      </c>
    </row>
    <row r="310" spans="6:57" x14ac:dyDescent="0.25">
      <c r="F310" s="9"/>
      <c r="G310" s="21">
        <v>0.13931299999999999</v>
      </c>
      <c r="H310" s="21">
        <v>8.2676200000000009</v>
      </c>
      <c r="I310" s="21">
        <v>-1.38306E-2</v>
      </c>
      <c r="J310" s="21">
        <v>300</v>
      </c>
      <c r="K310" s="21">
        <v>0.138794</v>
      </c>
      <c r="L310">
        <f t="shared" si="48"/>
        <v>17.074814814814815</v>
      </c>
      <c r="M310">
        <f t="shared" si="49"/>
        <v>2.3787436762962963</v>
      </c>
      <c r="N310" s="9"/>
      <c r="O310" s="21">
        <v>1.4106799999999999</v>
      </c>
      <c r="P310" s="21">
        <v>11.784700000000001</v>
      </c>
      <c r="Q310" s="21">
        <v>-1.19568E-2</v>
      </c>
      <c r="R310" s="21">
        <v>300</v>
      </c>
      <c r="S310" s="21">
        <v>1.40991</v>
      </c>
      <c r="T310">
        <f t="shared" si="50"/>
        <v>14.761481481481482</v>
      </c>
      <c r="U310">
        <f t="shared" si="51"/>
        <v>20.823726696296298</v>
      </c>
      <c r="X310" s="9"/>
      <c r="Y310" s="21">
        <v>0.13931299999999999</v>
      </c>
      <c r="Z310" s="21">
        <v>17.026800000000001</v>
      </c>
      <c r="AA310" s="21">
        <v>-1.3861099999999999E-2</v>
      </c>
      <c r="AB310" s="21">
        <v>300</v>
      </c>
      <c r="AC310" s="21">
        <v>0.138794</v>
      </c>
      <c r="AD310">
        <f t="shared" si="52"/>
        <v>17.112469135802467</v>
      </c>
      <c r="AE310">
        <f t="shared" si="53"/>
        <v>2.383989412716049</v>
      </c>
      <c r="AF310" s="9"/>
      <c r="AG310" s="21">
        <v>1.4106799999999999</v>
      </c>
      <c r="AH310" s="21">
        <v>20.543900000000001</v>
      </c>
      <c r="AI310" s="21">
        <v>-1.2042199999999999E-2</v>
      </c>
      <c r="AJ310" s="21">
        <v>300</v>
      </c>
      <c r="AK310" s="21">
        <v>1.4093</v>
      </c>
      <c r="AL310">
        <f t="shared" si="54"/>
        <v>14.866913580246912</v>
      </c>
      <c r="AM310">
        <f t="shared" si="55"/>
        <v>20.972457649382712</v>
      </c>
      <c r="AP310" s="9"/>
      <c r="AQ310" s="21">
        <v>0.13931299999999999</v>
      </c>
      <c r="AR310" s="21">
        <v>25.7851</v>
      </c>
      <c r="AS310" s="21">
        <v>-1.38184E-2</v>
      </c>
      <c r="AT310" s="21">
        <v>300</v>
      </c>
      <c r="AU310" s="21">
        <v>0.13891600000000001</v>
      </c>
      <c r="AV310">
        <f t="shared" si="56"/>
        <v>17.05975308641975</v>
      </c>
      <c r="AW310">
        <f t="shared" si="57"/>
        <v>2.3766453817283946</v>
      </c>
      <c r="AX310" s="9"/>
      <c r="AY310" s="21">
        <v>1.4106799999999999</v>
      </c>
      <c r="AZ310" s="21">
        <v>29.302199999999999</v>
      </c>
      <c r="BA310" s="21">
        <v>-1.2063600000000001E-2</v>
      </c>
      <c r="BB310" s="21">
        <v>300</v>
      </c>
      <c r="BC310" s="21">
        <v>1.41022</v>
      </c>
      <c r="BD310">
        <f t="shared" si="58"/>
        <v>14.893333333333333</v>
      </c>
      <c r="BE310">
        <f t="shared" si="59"/>
        <v>21.009727466666664</v>
      </c>
    </row>
    <row r="311" spans="6:57" x14ac:dyDescent="0.25">
      <c r="F311" s="9"/>
      <c r="G311" s="21">
        <v>0.13427700000000001</v>
      </c>
      <c r="H311" s="21">
        <v>8.2776899999999998</v>
      </c>
      <c r="I311" s="21">
        <v>-1.38367E-2</v>
      </c>
      <c r="J311" s="21">
        <v>301</v>
      </c>
      <c r="K311" s="21">
        <v>0.13385</v>
      </c>
      <c r="L311">
        <f t="shared" si="48"/>
        <v>17.082345679012345</v>
      </c>
      <c r="M311">
        <f t="shared" si="49"/>
        <v>2.2937661307407406</v>
      </c>
      <c r="N311" s="9"/>
      <c r="O311" s="21">
        <v>1.41571</v>
      </c>
      <c r="P311" s="21">
        <v>11.7948</v>
      </c>
      <c r="Q311" s="21">
        <v>-1.1920200000000001E-2</v>
      </c>
      <c r="R311" s="21">
        <v>301</v>
      </c>
      <c r="S311" s="21">
        <v>1.4154100000000001</v>
      </c>
      <c r="T311">
        <f t="shared" si="50"/>
        <v>14.716296296296298</v>
      </c>
      <c r="U311">
        <f t="shared" si="51"/>
        <v>20.83400782962963</v>
      </c>
      <c r="X311" s="9"/>
      <c r="Y311" s="21">
        <v>0.13427700000000001</v>
      </c>
      <c r="Z311" s="21">
        <v>17.036899999999999</v>
      </c>
      <c r="AA311" s="21">
        <v>-1.3858000000000001E-2</v>
      </c>
      <c r="AB311" s="21">
        <v>301</v>
      </c>
      <c r="AC311" s="21">
        <v>0.13372800000000001</v>
      </c>
      <c r="AD311">
        <f t="shared" si="52"/>
        <v>17.10864197530864</v>
      </c>
      <c r="AE311">
        <f t="shared" si="53"/>
        <v>2.2972971185185185</v>
      </c>
      <c r="AF311" s="9"/>
      <c r="AG311" s="21">
        <v>1.41571</v>
      </c>
      <c r="AH311" s="21">
        <v>20.553999999999998</v>
      </c>
      <c r="AI311" s="21">
        <v>-1.20117E-2</v>
      </c>
      <c r="AJ311" s="21">
        <v>301</v>
      </c>
      <c r="AK311" s="21">
        <v>1.4151</v>
      </c>
      <c r="AL311">
        <f t="shared" si="54"/>
        <v>14.82925925925926</v>
      </c>
      <c r="AM311">
        <f t="shared" si="55"/>
        <v>20.993930625925927</v>
      </c>
      <c r="AP311" s="9"/>
      <c r="AQ311" s="21">
        <v>0.13427700000000001</v>
      </c>
      <c r="AR311" s="21">
        <v>25.795100000000001</v>
      </c>
      <c r="AS311" s="21">
        <v>-1.38245E-2</v>
      </c>
      <c r="AT311" s="21">
        <v>301</v>
      </c>
      <c r="AU311" s="21">
        <v>0.13375899999999999</v>
      </c>
      <c r="AV311">
        <f t="shared" si="56"/>
        <v>17.067283950617281</v>
      </c>
      <c r="AW311">
        <f t="shared" si="57"/>
        <v>2.2917436870370369</v>
      </c>
      <c r="AX311" s="9"/>
      <c r="AY311" s="21">
        <v>1.41571</v>
      </c>
      <c r="AZ311" s="21">
        <v>29.3123</v>
      </c>
      <c r="BA311" s="21">
        <v>-1.2020899999999999E-2</v>
      </c>
      <c r="BB311" s="21">
        <v>301</v>
      </c>
      <c r="BC311" s="21">
        <v>1.41449</v>
      </c>
      <c r="BD311">
        <f t="shared" si="58"/>
        <v>14.840617283950616</v>
      </c>
      <c r="BE311">
        <f t="shared" si="59"/>
        <v>21.010010295061726</v>
      </c>
    </row>
    <row r="312" spans="6:57" x14ac:dyDescent="0.25">
      <c r="F312" s="9"/>
      <c r="G312" s="21">
        <v>0.129242</v>
      </c>
      <c r="H312" s="21">
        <v>8.2877700000000001</v>
      </c>
      <c r="I312" s="21">
        <v>-1.38367E-2</v>
      </c>
      <c r="J312" s="21">
        <v>302</v>
      </c>
      <c r="K312" s="21">
        <v>0.128662</v>
      </c>
      <c r="L312">
        <f t="shared" si="48"/>
        <v>17.082345679012345</v>
      </c>
      <c r="M312">
        <f t="shared" si="49"/>
        <v>2.2077565202469134</v>
      </c>
      <c r="N312" s="9"/>
      <c r="O312" s="21">
        <v>1.42075</v>
      </c>
      <c r="P312" s="21">
        <v>11.8048</v>
      </c>
      <c r="Q312" s="21">
        <v>-1.18683E-2</v>
      </c>
      <c r="R312" s="21">
        <v>302</v>
      </c>
      <c r="S312" s="21">
        <v>1.41998</v>
      </c>
      <c r="T312">
        <f t="shared" si="50"/>
        <v>14.652222222222221</v>
      </c>
      <c r="U312">
        <f t="shared" si="51"/>
        <v>20.817144722222221</v>
      </c>
      <c r="X312" s="9"/>
      <c r="Y312" s="21">
        <v>0.129242</v>
      </c>
      <c r="Z312" s="21">
        <v>17.047000000000001</v>
      </c>
      <c r="AA312" s="21">
        <v>-1.3861099999999999E-2</v>
      </c>
      <c r="AB312" s="21">
        <v>302</v>
      </c>
      <c r="AC312" s="21">
        <v>0.12875400000000001</v>
      </c>
      <c r="AD312">
        <f t="shared" si="52"/>
        <v>17.112469135802467</v>
      </c>
      <c r="AE312">
        <f t="shared" si="53"/>
        <v>2.2116497360493823</v>
      </c>
      <c r="AF312" s="9"/>
      <c r="AG312" s="21">
        <v>1.42075</v>
      </c>
      <c r="AH312" s="21">
        <v>20.564</v>
      </c>
      <c r="AI312" s="21">
        <v>-1.1969E-2</v>
      </c>
      <c r="AJ312" s="21">
        <v>302</v>
      </c>
      <c r="AK312" s="21">
        <v>1.4202900000000001</v>
      </c>
      <c r="AL312">
        <f t="shared" si="54"/>
        <v>14.776543209876543</v>
      </c>
      <c r="AM312">
        <f t="shared" si="55"/>
        <v>20.993773765432099</v>
      </c>
      <c r="AP312" s="9"/>
      <c r="AQ312" s="21">
        <v>0.129242</v>
      </c>
      <c r="AR312" s="21">
        <v>25.805199999999999</v>
      </c>
      <c r="AS312" s="21">
        <v>-1.38306E-2</v>
      </c>
      <c r="AT312" s="21">
        <v>302</v>
      </c>
      <c r="AU312" s="21">
        <v>0.12853999999999999</v>
      </c>
      <c r="AV312">
        <f t="shared" si="56"/>
        <v>17.074814814814815</v>
      </c>
      <c r="AW312">
        <f t="shared" si="57"/>
        <v>2.2067832162962961</v>
      </c>
      <c r="AX312" s="9"/>
      <c r="AY312" s="21">
        <v>1.42075</v>
      </c>
      <c r="AZ312" s="21">
        <v>29.322299999999998</v>
      </c>
      <c r="BA312" s="21">
        <v>-1.1987299999999999E-2</v>
      </c>
      <c r="BB312" s="21">
        <v>302</v>
      </c>
      <c r="BC312" s="21">
        <v>1.42059</v>
      </c>
      <c r="BD312">
        <f t="shared" si="58"/>
        <v>14.799135802469134</v>
      </c>
      <c r="BE312">
        <f t="shared" si="59"/>
        <v>21.025872191358022</v>
      </c>
    </row>
    <row r="313" spans="6:57" x14ac:dyDescent="0.25">
      <c r="F313" s="9"/>
      <c r="G313" s="21">
        <v>0.124207</v>
      </c>
      <c r="H313" s="21">
        <v>8.2978400000000008</v>
      </c>
      <c r="I313" s="21">
        <v>-1.3842800000000001E-2</v>
      </c>
      <c r="J313" s="21">
        <v>303</v>
      </c>
      <c r="K313" s="21">
        <v>0.12371799999999999</v>
      </c>
      <c r="L313">
        <f t="shared" si="48"/>
        <v>17.089876543209876</v>
      </c>
      <c r="M313">
        <f t="shared" si="49"/>
        <v>2.1226822958024689</v>
      </c>
      <c r="N313" s="9"/>
      <c r="O313" s="21">
        <v>1.42578</v>
      </c>
      <c r="P313" s="21">
        <v>11.8149</v>
      </c>
      <c r="Q313" s="21">
        <v>-1.18225E-2</v>
      </c>
      <c r="R313" s="21">
        <v>303</v>
      </c>
      <c r="S313" s="21">
        <v>1.42517</v>
      </c>
      <c r="T313">
        <f t="shared" si="50"/>
        <v>14.595679012345677</v>
      </c>
      <c r="U313">
        <f t="shared" si="51"/>
        <v>20.81022722222222</v>
      </c>
      <c r="X313" s="9"/>
      <c r="Y313" s="21">
        <v>0.124207</v>
      </c>
      <c r="Z313" s="21">
        <v>17.056999999999999</v>
      </c>
      <c r="AA313" s="21">
        <v>-1.38672E-2</v>
      </c>
      <c r="AB313" s="21">
        <v>303</v>
      </c>
      <c r="AC313" s="21">
        <v>0.123657</v>
      </c>
      <c r="AD313">
        <f t="shared" si="52"/>
        <v>17.12</v>
      </c>
      <c r="AE313">
        <f t="shared" si="53"/>
        <v>2.1264238400000002</v>
      </c>
      <c r="AF313" s="9"/>
      <c r="AG313" s="21">
        <v>1.42578</v>
      </c>
      <c r="AH313" s="21">
        <v>20.574100000000001</v>
      </c>
      <c r="AI313" s="21">
        <v>-1.1938499999999999E-2</v>
      </c>
      <c r="AJ313" s="21">
        <v>303</v>
      </c>
      <c r="AK313" s="21">
        <v>1.4248700000000001</v>
      </c>
      <c r="AL313">
        <f t="shared" si="54"/>
        <v>14.738888888888887</v>
      </c>
      <c r="AM313">
        <f t="shared" si="55"/>
        <v>21.014412999999998</v>
      </c>
      <c r="AP313" s="9"/>
      <c r="AQ313" s="21">
        <v>0.124207</v>
      </c>
      <c r="AR313" s="21">
        <v>25.815300000000001</v>
      </c>
      <c r="AS313" s="21">
        <v>-1.38336E-2</v>
      </c>
      <c r="AT313" s="21">
        <v>303</v>
      </c>
      <c r="AU313" s="21">
        <v>0.123657</v>
      </c>
      <c r="AV313">
        <f t="shared" si="56"/>
        <v>17.078518518518518</v>
      </c>
      <c r="AW313">
        <f t="shared" si="57"/>
        <v>2.1212715496296295</v>
      </c>
      <c r="AX313" s="9"/>
      <c r="AY313" s="21">
        <v>1.42578</v>
      </c>
      <c r="AZ313" s="21">
        <v>29.3324</v>
      </c>
      <c r="BA313" s="21">
        <v>-1.1941500000000001E-2</v>
      </c>
      <c r="BB313" s="21">
        <v>303</v>
      </c>
      <c r="BC313" s="21">
        <v>1.42517</v>
      </c>
      <c r="BD313">
        <f t="shared" si="58"/>
        <v>14.742592592592592</v>
      </c>
      <c r="BE313">
        <f t="shared" si="59"/>
        <v>21.019693666666665</v>
      </c>
    </row>
    <row r="314" spans="6:57" x14ac:dyDescent="0.25">
      <c r="F314" s="9"/>
      <c r="G314" s="21">
        <v>0.119171</v>
      </c>
      <c r="H314" s="21">
        <v>8.3079099999999997</v>
      </c>
      <c r="I314" s="21">
        <v>-1.38519E-2</v>
      </c>
      <c r="J314" s="21">
        <v>304</v>
      </c>
      <c r="K314" s="21">
        <v>0.118713</v>
      </c>
      <c r="L314">
        <f t="shared" si="48"/>
        <v>17.101111111111113</v>
      </c>
      <c r="M314">
        <f t="shared" si="49"/>
        <v>2.0379565122222223</v>
      </c>
      <c r="N314" s="9"/>
      <c r="O314" s="21">
        <v>1.43082</v>
      </c>
      <c r="P314" s="21">
        <v>11.824999999999999</v>
      </c>
      <c r="Q314" s="21">
        <v>-1.17859E-2</v>
      </c>
      <c r="R314" s="21">
        <v>304</v>
      </c>
      <c r="S314" s="21">
        <v>1.4303600000000001</v>
      </c>
      <c r="T314">
        <f t="shared" si="50"/>
        <v>14.550493827160492</v>
      </c>
      <c r="U314">
        <f t="shared" si="51"/>
        <v>20.819137577777777</v>
      </c>
      <c r="X314" s="9"/>
      <c r="Y314" s="21">
        <v>0.119171</v>
      </c>
      <c r="Z314" s="21">
        <v>17.0671</v>
      </c>
      <c r="AA314" s="21">
        <v>-1.3876299999999999E-2</v>
      </c>
      <c r="AB314" s="21">
        <v>304</v>
      </c>
      <c r="AC314" s="21">
        <v>0.11862200000000001</v>
      </c>
      <c r="AD314">
        <f t="shared" si="52"/>
        <v>17.131234567901231</v>
      </c>
      <c r="AE314">
        <f t="shared" si="53"/>
        <v>2.0415463546913575</v>
      </c>
      <c r="AF314" s="9"/>
      <c r="AG314" s="21">
        <v>1.43082</v>
      </c>
      <c r="AH314" s="21">
        <v>20.584199999999999</v>
      </c>
      <c r="AI314" s="21">
        <v>-1.18958E-2</v>
      </c>
      <c r="AJ314" s="21">
        <v>304</v>
      </c>
      <c r="AK314" s="21">
        <v>1.4303600000000001</v>
      </c>
      <c r="AL314">
        <f t="shared" si="54"/>
        <v>14.686172839506172</v>
      </c>
      <c r="AM314">
        <f t="shared" si="55"/>
        <v>21.01326982222222</v>
      </c>
      <c r="AP314" s="9"/>
      <c r="AQ314" s="21">
        <v>0.119171</v>
      </c>
      <c r="AR314" s="21">
        <v>25.825299999999999</v>
      </c>
      <c r="AS314" s="21">
        <v>-1.38397E-2</v>
      </c>
      <c r="AT314" s="21">
        <v>304</v>
      </c>
      <c r="AU314" s="21">
        <v>0.11865199999999999</v>
      </c>
      <c r="AV314">
        <f t="shared" si="56"/>
        <v>17.086049382716048</v>
      </c>
      <c r="AW314">
        <f t="shared" si="57"/>
        <v>2.0361615909876543</v>
      </c>
      <c r="AX314" s="9"/>
      <c r="AY314" s="21">
        <v>1.43082</v>
      </c>
      <c r="AZ314" s="21">
        <v>29.342500000000001</v>
      </c>
      <c r="BA314" s="21">
        <v>-1.1892700000000001E-2</v>
      </c>
      <c r="BB314" s="21">
        <v>304</v>
      </c>
      <c r="BC314" s="21">
        <v>1.43005</v>
      </c>
      <c r="BD314">
        <f t="shared" si="58"/>
        <v>14.682345679012347</v>
      </c>
      <c r="BE314">
        <f t="shared" si="59"/>
        <v>21.007793844444446</v>
      </c>
    </row>
    <row r="315" spans="6:57" x14ac:dyDescent="0.25">
      <c r="F315" s="9"/>
      <c r="G315" s="21">
        <v>0.114136</v>
      </c>
      <c r="H315" s="21">
        <v>8.3179800000000004</v>
      </c>
      <c r="I315" s="21">
        <v>-1.38519E-2</v>
      </c>
      <c r="J315" s="21">
        <v>305</v>
      </c>
      <c r="K315" s="21">
        <v>0.113647</v>
      </c>
      <c r="L315">
        <f t="shared" si="48"/>
        <v>17.101111111111113</v>
      </c>
      <c r="M315">
        <f t="shared" si="49"/>
        <v>1.9518524177777781</v>
      </c>
      <c r="N315" s="9"/>
      <c r="O315" s="21">
        <v>1.4358500000000001</v>
      </c>
      <c r="P315" s="21">
        <v>11.835000000000001</v>
      </c>
      <c r="Q315" s="21">
        <v>-1.17523E-2</v>
      </c>
      <c r="R315" s="21">
        <v>305</v>
      </c>
      <c r="S315" s="21">
        <v>1.4352400000000001</v>
      </c>
      <c r="T315">
        <f t="shared" si="50"/>
        <v>14.509012345679011</v>
      </c>
      <c r="U315">
        <f t="shared" si="51"/>
        <v>20.832765376543207</v>
      </c>
      <c r="X315" s="9"/>
      <c r="Y315" s="21">
        <v>0.114136</v>
      </c>
      <c r="Z315" s="21">
        <v>17.077200000000001</v>
      </c>
      <c r="AA315" s="21">
        <v>-1.38794E-2</v>
      </c>
      <c r="AB315" s="21">
        <v>305</v>
      </c>
      <c r="AC315" s="21">
        <v>0.11373900000000001</v>
      </c>
      <c r="AD315">
        <f t="shared" si="52"/>
        <v>17.135061728395058</v>
      </c>
      <c r="AE315">
        <f t="shared" si="53"/>
        <v>1.9557274054320983</v>
      </c>
      <c r="AF315" s="9"/>
      <c r="AG315" s="21">
        <v>1.4358500000000001</v>
      </c>
      <c r="AH315" s="21">
        <v>20.594200000000001</v>
      </c>
      <c r="AI315" s="21">
        <v>-1.1853000000000001E-2</v>
      </c>
      <c r="AJ315" s="21">
        <v>305</v>
      </c>
      <c r="AK315" s="21">
        <v>1.4352400000000001</v>
      </c>
      <c r="AL315">
        <f t="shared" si="54"/>
        <v>14.633333333333333</v>
      </c>
      <c r="AM315">
        <f t="shared" si="55"/>
        <v>21.011271666666666</v>
      </c>
      <c r="AP315" s="9"/>
      <c r="AQ315" s="21">
        <v>0.114136</v>
      </c>
      <c r="AR315" s="21">
        <v>25.8354</v>
      </c>
      <c r="AS315" s="21">
        <v>-1.3848900000000001E-2</v>
      </c>
      <c r="AT315" s="21">
        <v>305</v>
      </c>
      <c r="AU315" s="21">
        <v>0.113678</v>
      </c>
      <c r="AV315">
        <f t="shared" si="56"/>
        <v>17.09740740740741</v>
      </c>
      <c r="AW315">
        <f t="shared" si="57"/>
        <v>1.9514296918518521</v>
      </c>
      <c r="AX315" s="9"/>
      <c r="AY315" s="21">
        <v>1.4358500000000001</v>
      </c>
      <c r="AZ315" s="21">
        <v>29.352499999999999</v>
      </c>
      <c r="BA315" s="21">
        <v>-1.1853000000000001E-2</v>
      </c>
      <c r="BB315" s="21">
        <v>305</v>
      </c>
      <c r="BC315" s="21">
        <v>1.4349400000000001</v>
      </c>
      <c r="BD315">
        <f t="shared" si="58"/>
        <v>14.633333333333333</v>
      </c>
      <c r="BE315">
        <f t="shared" si="59"/>
        <v>21.011271666666666</v>
      </c>
    </row>
    <row r="316" spans="6:57" x14ac:dyDescent="0.25">
      <c r="F316" s="9"/>
      <c r="G316" s="21">
        <v>0.1091</v>
      </c>
      <c r="H316" s="21">
        <v>8.3280499999999993</v>
      </c>
      <c r="I316" s="21">
        <v>-1.3854999999999999E-2</v>
      </c>
      <c r="J316" s="21">
        <v>306</v>
      </c>
      <c r="K316" s="21">
        <v>0.10849</v>
      </c>
      <c r="L316">
        <f t="shared" si="48"/>
        <v>17.104938271604937</v>
      </c>
      <c r="M316">
        <f t="shared" si="49"/>
        <v>1.8661487654320985</v>
      </c>
      <c r="N316" s="9"/>
      <c r="O316" s="21">
        <v>1.44089</v>
      </c>
      <c r="P316" s="21">
        <v>11.8451</v>
      </c>
      <c r="Q316" s="21">
        <v>-1.17004E-2</v>
      </c>
      <c r="R316" s="21">
        <v>306</v>
      </c>
      <c r="S316" s="21">
        <v>1.4401200000000001</v>
      </c>
      <c r="T316">
        <f t="shared" si="50"/>
        <v>14.444938271604938</v>
      </c>
      <c r="U316">
        <f t="shared" si="51"/>
        <v>20.81356710617284</v>
      </c>
      <c r="X316" s="9"/>
      <c r="Y316" s="21">
        <v>0.1091</v>
      </c>
      <c r="Z316" s="21">
        <v>17.087299999999999</v>
      </c>
      <c r="AA316" s="21">
        <v>-1.38794E-2</v>
      </c>
      <c r="AB316" s="21">
        <v>306</v>
      </c>
      <c r="AC316" s="21">
        <v>0.108704</v>
      </c>
      <c r="AD316">
        <f t="shared" si="52"/>
        <v>17.135061728395058</v>
      </c>
      <c r="AE316">
        <f t="shared" si="53"/>
        <v>1.8694352345679008</v>
      </c>
      <c r="AF316" s="9"/>
      <c r="AG316" s="21">
        <v>1.44089</v>
      </c>
      <c r="AH316" s="21">
        <v>20.604299999999999</v>
      </c>
      <c r="AI316" s="21">
        <v>-1.1798100000000001E-2</v>
      </c>
      <c r="AJ316" s="21">
        <v>306</v>
      </c>
      <c r="AK316" s="21">
        <v>1.4398200000000001</v>
      </c>
      <c r="AL316">
        <f t="shared" si="54"/>
        <v>14.565555555555555</v>
      </c>
      <c r="AM316">
        <f t="shared" si="55"/>
        <v>20.987363344444443</v>
      </c>
      <c r="AP316" s="9"/>
      <c r="AQ316" s="21">
        <v>0.1091</v>
      </c>
      <c r="AR316" s="21">
        <v>25.845500000000001</v>
      </c>
      <c r="AS316" s="21">
        <v>-1.3848900000000001E-2</v>
      </c>
      <c r="AT316" s="21">
        <v>306</v>
      </c>
      <c r="AU316" s="21">
        <v>0.108582</v>
      </c>
      <c r="AV316">
        <f t="shared" si="56"/>
        <v>17.09740740740741</v>
      </c>
      <c r="AW316">
        <f t="shared" si="57"/>
        <v>1.8653271481481484</v>
      </c>
      <c r="AX316" s="9"/>
      <c r="AY316" s="21">
        <v>1.44089</v>
      </c>
      <c r="AZ316" s="21">
        <v>29.3626</v>
      </c>
      <c r="BA316" s="21">
        <v>-1.1798100000000001E-2</v>
      </c>
      <c r="BB316" s="21">
        <v>306</v>
      </c>
      <c r="BC316" s="21">
        <v>1.4401200000000001</v>
      </c>
      <c r="BD316">
        <f t="shared" si="58"/>
        <v>14.565555555555555</v>
      </c>
      <c r="BE316">
        <f t="shared" si="59"/>
        <v>20.987363344444443</v>
      </c>
    </row>
    <row r="317" spans="6:57" x14ac:dyDescent="0.25">
      <c r="F317" s="9"/>
      <c r="G317" s="21">
        <v>0.104065</v>
      </c>
      <c r="H317" s="21">
        <v>8.33812</v>
      </c>
      <c r="I317" s="21">
        <v>-1.3858000000000001E-2</v>
      </c>
      <c r="J317" s="21">
        <v>307</v>
      </c>
      <c r="K317" s="21">
        <v>0.10345500000000001</v>
      </c>
      <c r="L317">
        <f t="shared" si="48"/>
        <v>17.10864197530864</v>
      </c>
      <c r="M317">
        <f t="shared" si="49"/>
        <v>1.7804108271604937</v>
      </c>
      <c r="N317" s="9"/>
      <c r="O317" s="21">
        <v>1.4459200000000001</v>
      </c>
      <c r="P317" s="21">
        <v>11.8552</v>
      </c>
      <c r="Q317" s="21">
        <v>-1.16425E-2</v>
      </c>
      <c r="R317" s="21">
        <v>307</v>
      </c>
      <c r="S317" s="21">
        <v>1.4456199999999999</v>
      </c>
      <c r="T317">
        <f t="shared" si="50"/>
        <v>14.373456790123456</v>
      </c>
      <c r="U317">
        <f t="shared" si="51"/>
        <v>20.782868641975309</v>
      </c>
      <c r="X317" s="9"/>
      <c r="Y317" s="21">
        <v>0.104065</v>
      </c>
      <c r="Z317" s="21">
        <v>17.097300000000001</v>
      </c>
      <c r="AA317" s="21">
        <v>-1.38855E-2</v>
      </c>
      <c r="AB317" s="21">
        <v>307</v>
      </c>
      <c r="AC317" s="21">
        <v>0.103607</v>
      </c>
      <c r="AD317">
        <f t="shared" si="52"/>
        <v>17.142592592592592</v>
      </c>
      <c r="AE317">
        <f t="shared" si="53"/>
        <v>1.7839438981481481</v>
      </c>
      <c r="AF317" s="9"/>
      <c r="AG317" s="21">
        <v>1.4459200000000001</v>
      </c>
      <c r="AH317" s="21">
        <v>20.6144</v>
      </c>
      <c r="AI317" s="21">
        <v>-1.17462E-2</v>
      </c>
      <c r="AJ317" s="21">
        <v>307</v>
      </c>
      <c r="AK317" s="21">
        <v>1.4456199999999999</v>
      </c>
      <c r="AL317">
        <f t="shared" si="54"/>
        <v>14.501481481481481</v>
      </c>
      <c r="AM317">
        <f t="shared" si="55"/>
        <v>20.967982103703704</v>
      </c>
      <c r="AP317" s="9"/>
      <c r="AQ317" s="21">
        <v>0.104065</v>
      </c>
      <c r="AR317" s="21">
        <v>25.855499999999999</v>
      </c>
      <c r="AS317" s="21">
        <v>-1.3854999999999999E-2</v>
      </c>
      <c r="AT317" s="21">
        <v>307</v>
      </c>
      <c r="AU317" s="21">
        <v>0.103577</v>
      </c>
      <c r="AV317">
        <f t="shared" si="56"/>
        <v>17.104938271604937</v>
      </c>
      <c r="AW317">
        <f t="shared" si="57"/>
        <v>1.7800254012345678</v>
      </c>
      <c r="AX317" s="9"/>
      <c r="AY317" s="21">
        <v>1.4459200000000001</v>
      </c>
      <c r="AZ317" s="21">
        <v>29.372699999999998</v>
      </c>
      <c r="BA317" s="21">
        <v>-1.17371E-2</v>
      </c>
      <c r="BB317" s="21">
        <v>307</v>
      </c>
      <c r="BC317" s="21">
        <v>1.4459200000000001</v>
      </c>
      <c r="BD317">
        <f t="shared" si="58"/>
        <v>14.490246913580247</v>
      </c>
      <c r="BE317">
        <f t="shared" si="59"/>
        <v>20.951737817283952</v>
      </c>
    </row>
    <row r="318" spans="6:57" x14ac:dyDescent="0.25">
      <c r="F318" s="9"/>
      <c r="G318" s="21">
        <v>9.9029500000000006E-2</v>
      </c>
      <c r="H318" s="21">
        <v>8.3481900000000007</v>
      </c>
      <c r="I318" s="21">
        <v>-1.3864100000000001E-2</v>
      </c>
      <c r="J318" s="21">
        <v>308</v>
      </c>
      <c r="K318" s="21">
        <v>9.8571800000000001E-2</v>
      </c>
      <c r="L318">
        <f t="shared" si="48"/>
        <v>17.11617283950617</v>
      </c>
      <c r="M318">
        <f t="shared" si="49"/>
        <v>1.6950060382098764</v>
      </c>
      <c r="N318" s="9"/>
      <c r="O318" s="21">
        <v>1.45096</v>
      </c>
      <c r="P318" s="21">
        <v>11.8652</v>
      </c>
      <c r="Q318" s="21">
        <v>-1.15814E-2</v>
      </c>
      <c r="R318" s="21">
        <v>308</v>
      </c>
      <c r="S318" s="21">
        <v>1.4501999999999999</v>
      </c>
      <c r="T318">
        <f t="shared" si="50"/>
        <v>14.298024691358025</v>
      </c>
      <c r="U318">
        <f t="shared" si="51"/>
        <v>20.745861906172841</v>
      </c>
      <c r="X318" s="9"/>
      <c r="Y318" s="21">
        <v>9.9029500000000006E-2</v>
      </c>
      <c r="Z318" s="21">
        <v>17.107399999999998</v>
      </c>
      <c r="AA318" s="21">
        <v>-1.38794E-2</v>
      </c>
      <c r="AB318" s="21">
        <v>308</v>
      </c>
      <c r="AC318" s="21">
        <v>9.8571800000000001E-2</v>
      </c>
      <c r="AD318">
        <f t="shared" si="52"/>
        <v>17.135061728395058</v>
      </c>
      <c r="AE318">
        <f t="shared" si="53"/>
        <v>1.6968765954320986</v>
      </c>
      <c r="AF318" s="9"/>
      <c r="AG318" s="21">
        <v>1.45096</v>
      </c>
      <c r="AH318" s="21">
        <v>20.624500000000001</v>
      </c>
      <c r="AI318" s="21">
        <v>-1.16974E-2</v>
      </c>
      <c r="AJ318" s="21">
        <v>308</v>
      </c>
      <c r="AK318" s="21">
        <v>1.4504999999999999</v>
      </c>
      <c r="AL318">
        <f t="shared" si="54"/>
        <v>14.441234567901233</v>
      </c>
      <c r="AM318">
        <f t="shared" si="55"/>
        <v>20.953653708641973</v>
      </c>
      <c r="AP318" s="9"/>
      <c r="AQ318" s="21">
        <v>9.9029500000000006E-2</v>
      </c>
      <c r="AR318" s="21">
        <v>25.865600000000001</v>
      </c>
      <c r="AS318" s="21">
        <v>-1.3861099999999999E-2</v>
      </c>
      <c r="AT318" s="21">
        <v>308</v>
      </c>
      <c r="AU318" s="21">
        <v>9.8419199999999998E-2</v>
      </c>
      <c r="AV318">
        <f t="shared" si="56"/>
        <v>17.112469135802467</v>
      </c>
      <c r="AW318">
        <f t="shared" si="57"/>
        <v>1.6946392622839506</v>
      </c>
      <c r="AX318" s="9"/>
      <c r="AY318" s="21">
        <v>1.45096</v>
      </c>
      <c r="AZ318" s="21">
        <v>29.3828</v>
      </c>
      <c r="BA318" s="21">
        <v>-1.1676000000000001E-2</v>
      </c>
      <c r="BB318" s="21">
        <v>308</v>
      </c>
      <c r="BC318" s="21">
        <v>1.4501999999999999</v>
      </c>
      <c r="BD318">
        <f t="shared" si="58"/>
        <v>14.414814814814815</v>
      </c>
      <c r="BE318">
        <f t="shared" si="59"/>
        <v>20.915319703703705</v>
      </c>
    </row>
    <row r="319" spans="6:57" x14ac:dyDescent="0.25">
      <c r="F319" s="9"/>
      <c r="G319" s="21">
        <v>9.3994099999999997E-2</v>
      </c>
      <c r="H319" s="21">
        <v>8.3582599999999996</v>
      </c>
      <c r="I319" s="21">
        <v>-1.3861099999999999E-2</v>
      </c>
      <c r="J319" s="21">
        <v>309</v>
      </c>
      <c r="K319" s="21">
        <v>9.3444799999999995E-2</v>
      </c>
      <c r="L319">
        <f t="shared" si="48"/>
        <v>17.112469135802467</v>
      </c>
      <c r="M319">
        <f t="shared" si="49"/>
        <v>1.6084711351975307</v>
      </c>
      <c r="N319" s="9"/>
      <c r="O319" s="21">
        <v>1.4559899999999999</v>
      </c>
      <c r="P319" s="21">
        <v>11.875299999999999</v>
      </c>
      <c r="Q319" s="21">
        <v>-1.15204E-2</v>
      </c>
      <c r="R319" s="21">
        <v>309</v>
      </c>
      <c r="S319" s="21">
        <v>1.4559899999999999</v>
      </c>
      <c r="T319">
        <f t="shared" si="50"/>
        <v>14.222716049382715</v>
      </c>
      <c r="U319">
        <f t="shared" si="51"/>
        <v>20.708132340740736</v>
      </c>
      <c r="X319" s="9"/>
      <c r="Y319" s="21">
        <v>9.3994099999999997E-2</v>
      </c>
      <c r="Z319" s="21">
        <v>17.1175</v>
      </c>
      <c r="AA319" s="21">
        <v>-1.38855E-2</v>
      </c>
      <c r="AB319" s="21">
        <v>309</v>
      </c>
      <c r="AC319" s="21">
        <v>9.3414300000000006E-2</v>
      </c>
      <c r="AD319">
        <f t="shared" si="52"/>
        <v>17.142592592592592</v>
      </c>
      <c r="AE319">
        <f t="shared" si="53"/>
        <v>1.6113025624074073</v>
      </c>
      <c r="AF319" s="9"/>
      <c r="AG319" s="21">
        <v>1.4559899999999999</v>
      </c>
      <c r="AH319" s="21">
        <v>20.634499999999999</v>
      </c>
      <c r="AI319" s="21">
        <v>-1.16547E-2</v>
      </c>
      <c r="AJ319" s="21">
        <v>309</v>
      </c>
      <c r="AK319" s="21">
        <v>1.4556899999999999</v>
      </c>
      <c r="AL319">
        <f t="shared" si="54"/>
        <v>14.388518518518518</v>
      </c>
      <c r="AM319">
        <f t="shared" si="55"/>
        <v>20.949539077777775</v>
      </c>
      <c r="AP319" s="9"/>
      <c r="AQ319" s="21">
        <v>9.3994099999999997E-2</v>
      </c>
      <c r="AR319" s="21">
        <v>25.875699999999998</v>
      </c>
      <c r="AS319" s="21">
        <v>-1.3864100000000001E-2</v>
      </c>
      <c r="AT319" s="21">
        <v>309</v>
      </c>
      <c r="AU319" s="21">
        <v>9.3505900000000003E-2</v>
      </c>
      <c r="AV319">
        <f t="shared" si="56"/>
        <v>17.11617283950617</v>
      </c>
      <c r="AW319">
        <f t="shared" si="57"/>
        <v>1.6088192614938268</v>
      </c>
      <c r="AX319" s="9"/>
      <c r="AY319" s="21">
        <v>1.4559899999999999</v>
      </c>
      <c r="AZ319" s="21">
        <v>29.392800000000001</v>
      </c>
      <c r="BA319" s="21">
        <v>-1.16119E-2</v>
      </c>
      <c r="BB319" s="21">
        <v>309</v>
      </c>
      <c r="BC319" s="21">
        <v>1.4553799999999999</v>
      </c>
      <c r="BD319">
        <f t="shared" si="58"/>
        <v>14.335679012345677</v>
      </c>
      <c r="BE319">
        <f t="shared" si="59"/>
        <v>20.87260528518518</v>
      </c>
    </row>
    <row r="320" spans="6:57" x14ac:dyDescent="0.25">
      <c r="F320" s="9"/>
      <c r="G320" s="21">
        <v>8.8958700000000002E-2</v>
      </c>
      <c r="H320" s="21">
        <v>8.3683300000000003</v>
      </c>
      <c r="I320" s="21">
        <v>-1.3854999999999999E-2</v>
      </c>
      <c r="J320" s="21">
        <v>310</v>
      </c>
      <c r="K320" s="21">
        <v>8.8439900000000002E-2</v>
      </c>
      <c r="L320">
        <f t="shared" si="48"/>
        <v>17.104938271604937</v>
      </c>
      <c r="M320">
        <f t="shared" si="49"/>
        <v>1.521633072222222</v>
      </c>
      <c r="N320" s="9"/>
      <c r="O320" s="21">
        <v>1.4610300000000001</v>
      </c>
      <c r="P320" s="21">
        <v>11.885400000000001</v>
      </c>
      <c r="Q320" s="21">
        <v>-1.14594E-2</v>
      </c>
      <c r="R320" s="21">
        <v>310</v>
      </c>
      <c r="S320" s="21">
        <v>1.4605699999999999</v>
      </c>
      <c r="T320">
        <f t="shared" si="50"/>
        <v>14.147407407407405</v>
      </c>
      <c r="U320">
        <f t="shared" si="51"/>
        <v>20.669786644444443</v>
      </c>
      <c r="X320" s="9"/>
      <c r="Y320" s="21">
        <v>8.8958700000000002E-2</v>
      </c>
      <c r="Z320" s="21">
        <v>17.127500000000001</v>
      </c>
      <c r="AA320" s="21">
        <v>-1.38855E-2</v>
      </c>
      <c r="AB320" s="21">
        <v>310</v>
      </c>
      <c r="AC320" s="21">
        <v>8.8470499999999994E-2</v>
      </c>
      <c r="AD320">
        <f t="shared" si="52"/>
        <v>17.142592592592592</v>
      </c>
      <c r="AE320">
        <f t="shared" si="53"/>
        <v>1.5249827516666667</v>
      </c>
      <c r="AF320" s="9"/>
      <c r="AG320" s="21">
        <v>1.4610300000000001</v>
      </c>
      <c r="AH320" s="21">
        <v>20.644600000000001</v>
      </c>
      <c r="AI320" s="21">
        <v>-1.1599699999999999E-2</v>
      </c>
      <c r="AJ320" s="21">
        <v>310</v>
      </c>
      <c r="AK320" s="21">
        <v>1.46027</v>
      </c>
      <c r="AL320">
        <f t="shared" si="54"/>
        <v>14.320617283950616</v>
      </c>
      <c r="AM320">
        <f t="shared" si="55"/>
        <v>20.922851470370368</v>
      </c>
      <c r="AP320" s="9"/>
      <c r="AQ320" s="21">
        <v>8.8958700000000002E-2</v>
      </c>
      <c r="AR320" s="21">
        <v>25.8858</v>
      </c>
      <c r="AS320" s="21">
        <v>-1.3864100000000001E-2</v>
      </c>
      <c r="AT320" s="21">
        <v>310</v>
      </c>
      <c r="AU320" s="21">
        <v>8.8531499999999999E-2</v>
      </c>
      <c r="AV320">
        <f t="shared" si="56"/>
        <v>17.11617283950617</v>
      </c>
      <c r="AW320">
        <f t="shared" si="57"/>
        <v>1.5226324847777775</v>
      </c>
      <c r="AX320" s="9"/>
      <c r="AY320" s="21">
        <v>1.4610300000000001</v>
      </c>
      <c r="AZ320" s="21">
        <v>29.402899999999999</v>
      </c>
      <c r="BA320" s="21">
        <v>-1.15479E-2</v>
      </c>
      <c r="BB320" s="21">
        <v>310</v>
      </c>
      <c r="BC320" s="21">
        <v>1.4599599999999999</v>
      </c>
      <c r="BD320">
        <f t="shared" si="58"/>
        <v>14.256666666666666</v>
      </c>
      <c r="BE320">
        <f t="shared" si="59"/>
        <v>20.8294177</v>
      </c>
    </row>
    <row r="321" spans="6:57" x14ac:dyDescent="0.25">
      <c r="F321" s="9"/>
      <c r="G321" s="21">
        <v>8.3923300000000006E-2</v>
      </c>
      <c r="H321" s="21">
        <v>8.3783999999999992</v>
      </c>
      <c r="I321" s="21">
        <v>-1.3858000000000001E-2</v>
      </c>
      <c r="J321" s="21">
        <v>311</v>
      </c>
      <c r="K321" s="21">
        <v>8.3435099999999998E-2</v>
      </c>
      <c r="L321">
        <f t="shared" si="48"/>
        <v>17.10864197530864</v>
      </c>
      <c r="M321">
        <f t="shared" si="49"/>
        <v>1.4358136930864196</v>
      </c>
      <c r="N321" s="9"/>
      <c r="O321" s="21">
        <v>1.4660599999999999</v>
      </c>
      <c r="P321" s="21">
        <v>11.8955</v>
      </c>
      <c r="Q321" s="21">
        <v>-1.1395300000000001E-2</v>
      </c>
      <c r="R321" s="21">
        <v>311</v>
      </c>
      <c r="S321" s="21">
        <v>1.46515</v>
      </c>
      <c r="T321">
        <f t="shared" si="50"/>
        <v>14.068271604938271</v>
      </c>
      <c r="U321">
        <f t="shared" si="51"/>
        <v>20.624930269135803</v>
      </c>
      <c r="X321" s="9"/>
      <c r="Y321" s="21">
        <v>8.3923300000000006E-2</v>
      </c>
      <c r="Z321" s="21">
        <v>17.137599999999999</v>
      </c>
      <c r="AA321" s="21">
        <v>-1.38885E-2</v>
      </c>
      <c r="AB321" s="21">
        <v>311</v>
      </c>
      <c r="AC321" s="21">
        <v>8.3404500000000006E-2</v>
      </c>
      <c r="AD321">
        <f t="shared" si="52"/>
        <v>17.146296296296295</v>
      </c>
      <c r="AE321">
        <f t="shared" si="53"/>
        <v>1.4389737679629631</v>
      </c>
      <c r="AF321" s="9"/>
      <c r="AG321" s="21">
        <v>1.4660599999999999</v>
      </c>
      <c r="AH321" s="21">
        <v>20.654699999999998</v>
      </c>
      <c r="AI321" s="21">
        <v>-1.1544799999999999E-2</v>
      </c>
      <c r="AJ321" s="21">
        <v>311</v>
      </c>
      <c r="AK321" s="21">
        <v>1.46515</v>
      </c>
      <c r="AL321">
        <f t="shared" si="54"/>
        <v>14.252839506172839</v>
      </c>
      <c r="AM321">
        <f t="shared" si="55"/>
        <v>20.89551788641975</v>
      </c>
      <c r="AP321" s="9"/>
      <c r="AQ321" s="21">
        <v>8.3923300000000006E-2</v>
      </c>
      <c r="AR321" s="21">
        <v>25.895800000000001</v>
      </c>
      <c r="AS321" s="21">
        <v>-1.38672E-2</v>
      </c>
      <c r="AT321" s="21">
        <v>311</v>
      </c>
      <c r="AU321" s="21">
        <v>8.3404500000000006E-2</v>
      </c>
      <c r="AV321">
        <f t="shared" si="56"/>
        <v>17.12</v>
      </c>
      <c r="AW321">
        <f t="shared" si="57"/>
        <v>1.4367668960000002</v>
      </c>
      <c r="AX321" s="9"/>
      <c r="AY321" s="21">
        <v>1.4660599999999999</v>
      </c>
      <c r="AZ321" s="21">
        <v>29.413</v>
      </c>
      <c r="BA321" s="21">
        <v>-1.1489900000000001E-2</v>
      </c>
      <c r="BB321" s="21">
        <v>311</v>
      </c>
      <c r="BC321" s="21">
        <v>1.4654499999999999</v>
      </c>
      <c r="BD321">
        <f t="shared" si="58"/>
        <v>14.185061728395063</v>
      </c>
      <c r="BE321">
        <f t="shared" si="59"/>
        <v>20.796151597530866</v>
      </c>
    </row>
    <row r="322" spans="6:57" x14ac:dyDescent="0.25">
      <c r="F322" s="9"/>
      <c r="G322" s="21">
        <v>7.8887899999999997E-2</v>
      </c>
      <c r="H322" s="21">
        <v>8.3884799999999995</v>
      </c>
      <c r="I322" s="21">
        <v>-1.3861099999999999E-2</v>
      </c>
      <c r="J322" s="21">
        <v>312</v>
      </c>
      <c r="K322" s="21">
        <v>7.8430200000000005E-2</v>
      </c>
      <c r="L322">
        <f t="shared" si="48"/>
        <v>17.112469135802467</v>
      </c>
      <c r="M322">
        <f t="shared" si="49"/>
        <v>1.3499667539382714</v>
      </c>
      <c r="N322" s="9"/>
      <c r="O322" s="21">
        <v>1.4711000000000001</v>
      </c>
      <c r="P322" s="21">
        <v>11.9055</v>
      </c>
      <c r="Q322" s="21">
        <v>-1.1328100000000001E-2</v>
      </c>
      <c r="R322" s="21">
        <v>312</v>
      </c>
      <c r="S322" s="21">
        <v>1.4706399999999999</v>
      </c>
      <c r="T322">
        <f t="shared" si="50"/>
        <v>13.985308641975308</v>
      </c>
      <c r="U322">
        <f t="shared" si="51"/>
        <v>20.573787543209878</v>
      </c>
      <c r="X322" s="9"/>
      <c r="Y322" s="21">
        <v>7.8887899999999997E-2</v>
      </c>
      <c r="Z322" s="21">
        <v>17.1477</v>
      </c>
      <c r="AA322" s="21">
        <v>-1.3897700000000001E-2</v>
      </c>
      <c r="AB322" s="21">
        <v>312</v>
      </c>
      <c r="AC322" s="21">
        <v>7.8369099999999997E-2</v>
      </c>
      <c r="AD322">
        <f t="shared" si="52"/>
        <v>17.157654320987653</v>
      </c>
      <c r="AE322">
        <f t="shared" si="53"/>
        <v>1.3535313183086419</v>
      </c>
      <c r="AF322" s="9"/>
      <c r="AG322" s="21">
        <v>1.4711000000000001</v>
      </c>
      <c r="AH322" s="21">
        <v>20.6647</v>
      </c>
      <c r="AI322" s="21">
        <v>-1.14777E-2</v>
      </c>
      <c r="AJ322" s="21">
        <v>312</v>
      </c>
      <c r="AK322" s="21">
        <v>1.47034</v>
      </c>
      <c r="AL322">
        <f t="shared" si="54"/>
        <v>14.17</v>
      </c>
      <c r="AM322">
        <f t="shared" si="55"/>
        <v>20.845487000000002</v>
      </c>
      <c r="AP322" s="9"/>
      <c r="AQ322" s="21">
        <v>7.8887899999999997E-2</v>
      </c>
      <c r="AR322" s="21">
        <v>25.905899999999999</v>
      </c>
      <c r="AS322" s="21">
        <v>-1.3864100000000001E-2</v>
      </c>
      <c r="AT322" s="21">
        <v>312</v>
      </c>
      <c r="AU322" s="21">
        <v>7.8369099999999997E-2</v>
      </c>
      <c r="AV322">
        <f t="shared" si="56"/>
        <v>17.11617283950617</v>
      </c>
      <c r="AW322">
        <f t="shared" si="57"/>
        <v>1.3502589313456788</v>
      </c>
      <c r="AX322" s="9"/>
      <c r="AY322" s="21">
        <v>1.4711000000000001</v>
      </c>
      <c r="AZ322" s="21">
        <v>29.422999999999998</v>
      </c>
      <c r="BA322" s="21">
        <v>-1.14349E-2</v>
      </c>
      <c r="BB322" s="21">
        <v>312</v>
      </c>
      <c r="BC322" s="21">
        <v>1.47034</v>
      </c>
      <c r="BD322">
        <f t="shared" si="58"/>
        <v>14.117160493827161</v>
      </c>
      <c r="BE322">
        <f t="shared" si="59"/>
        <v>20.767754802469138</v>
      </c>
    </row>
    <row r="323" spans="6:57" x14ac:dyDescent="0.25">
      <c r="F323" s="9"/>
      <c r="G323" s="21">
        <v>7.3852500000000001E-2</v>
      </c>
      <c r="H323" s="21">
        <v>8.3985500000000002</v>
      </c>
      <c r="I323" s="21">
        <v>-1.3870199999999999E-2</v>
      </c>
      <c r="J323" s="21">
        <v>313</v>
      </c>
      <c r="K323" s="21">
        <v>7.3242199999999993E-2</v>
      </c>
      <c r="L323">
        <f t="shared" si="48"/>
        <v>17.123703703703701</v>
      </c>
      <c r="M323">
        <f t="shared" si="49"/>
        <v>1.2646283277777777</v>
      </c>
      <c r="N323" s="9"/>
      <c r="O323" s="21">
        <v>1.47614</v>
      </c>
      <c r="P323" s="21">
        <v>11.9156</v>
      </c>
      <c r="Q323" s="21">
        <v>-1.12671E-2</v>
      </c>
      <c r="R323" s="21">
        <v>313</v>
      </c>
      <c r="S323" s="21">
        <v>1.4755199999999999</v>
      </c>
      <c r="T323">
        <f t="shared" si="50"/>
        <v>13.909999999999998</v>
      </c>
      <c r="U323">
        <f t="shared" si="51"/>
        <v>20.533107399999999</v>
      </c>
      <c r="X323" s="9"/>
      <c r="Y323" s="21">
        <v>7.3852500000000001E-2</v>
      </c>
      <c r="Z323" s="21">
        <v>17.157800000000002</v>
      </c>
      <c r="AA323" s="21">
        <v>-1.3897700000000001E-2</v>
      </c>
      <c r="AB323" s="21">
        <v>313</v>
      </c>
      <c r="AC323" s="21">
        <v>7.3272699999999996E-2</v>
      </c>
      <c r="AD323">
        <f t="shared" si="52"/>
        <v>17.157654320987653</v>
      </c>
      <c r="AE323">
        <f t="shared" si="53"/>
        <v>1.2671356657407407</v>
      </c>
      <c r="AF323" s="9"/>
      <c r="AG323" s="21">
        <v>1.47614</v>
      </c>
      <c r="AH323" s="21">
        <v>20.674800000000001</v>
      </c>
      <c r="AI323" s="21">
        <v>-1.1410500000000001E-2</v>
      </c>
      <c r="AJ323" s="21">
        <v>313</v>
      </c>
      <c r="AK323" s="21">
        <v>1.4755199999999999</v>
      </c>
      <c r="AL323">
        <f t="shared" si="54"/>
        <v>14.087037037037037</v>
      </c>
      <c r="AM323">
        <f t="shared" si="55"/>
        <v>20.794438851851851</v>
      </c>
      <c r="AP323" s="9"/>
      <c r="AQ323" s="21">
        <v>7.3852500000000001E-2</v>
      </c>
      <c r="AR323" s="21">
        <v>25.916</v>
      </c>
      <c r="AS323" s="21">
        <v>-1.38672E-2</v>
      </c>
      <c r="AT323" s="21">
        <v>313</v>
      </c>
      <c r="AU323" s="21">
        <v>7.3364299999999993E-2</v>
      </c>
      <c r="AV323">
        <f t="shared" si="56"/>
        <v>17.12</v>
      </c>
      <c r="AW323">
        <f t="shared" si="57"/>
        <v>1.2643548</v>
      </c>
      <c r="AX323" s="9"/>
      <c r="AY323" s="21">
        <v>1.47614</v>
      </c>
      <c r="AZ323" s="21">
        <v>29.4331</v>
      </c>
      <c r="BA323" s="21">
        <v>-1.1377E-2</v>
      </c>
      <c r="BB323" s="21">
        <v>313</v>
      </c>
      <c r="BC323" s="21">
        <v>1.4755199999999999</v>
      </c>
      <c r="BD323">
        <f t="shared" si="58"/>
        <v>14.045679012345678</v>
      </c>
      <c r="BE323">
        <f t="shared" si="59"/>
        <v>20.73338861728395</v>
      </c>
    </row>
    <row r="324" spans="6:57" x14ac:dyDescent="0.25">
      <c r="F324" s="9"/>
      <c r="G324" s="21">
        <v>6.8817100000000006E-2</v>
      </c>
      <c r="H324" s="21">
        <v>8.4086200000000009</v>
      </c>
      <c r="I324" s="21">
        <v>-1.3876299999999999E-2</v>
      </c>
      <c r="J324" s="21">
        <v>314</v>
      </c>
      <c r="K324" s="21">
        <v>6.8359400000000001E-2</v>
      </c>
      <c r="L324">
        <f t="shared" si="48"/>
        <v>17.131234567901231</v>
      </c>
      <c r="M324">
        <f t="shared" si="49"/>
        <v>1.1789218823827159</v>
      </c>
      <c r="N324" s="9"/>
      <c r="O324" s="21">
        <v>1.4811700000000001</v>
      </c>
      <c r="P324" s="21">
        <v>11.925700000000001</v>
      </c>
      <c r="Q324" s="21">
        <v>-1.11938E-2</v>
      </c>
      <c r="R324" s="21">
        <v>314</v>
      </c>
      <c r="S324" s="21">
        <v>1.4801</v>
      </c>
      <c r="T324">
        <f t="shared" si="50"/>
        <v>13.819506172839505</v>
      </c>
      <c r="U324">
        <f t="shared" si="51"/>
        <v>20.469037958024693</v>
      </c>
      <c r="X324" s="9"/>
      <c r="Y324" s="21">
        <v>6.8817100000000006E-2</v>
      </c>
      <c r="Z324" s="21">
        <v>17.1678</v>
      </c>
      <c r="AA324" s="21">
        <v>-1.3897700000000001E-2</v>
      </c>
      <c r="AB324" s="21">
        <v>314</v>
      </c>
      <c r="AC324" s="21">
        <v>6.8328899999999998E-2</v>
      </c>
      <c r="AD324">
        <f t="shared" si="52"/>
        <v>17.157654320987653</v>
      </c>
      <c r="AE324">
        <f t="shared" si="53"/>
        <v>1.1807400131728396</v>
      </c>
      <c r="AF324" s="9"/>
      <c r="AG324" s="21">
        <v>1.4811700000000001</v>
      </c>
      <c r="AH324" s="21">
        <v>20.684899999999999</v>
      </c>
      <c r="AI324" s="21">
        <v>-1.1340299999999999E-2</v>
      </c>
      <c r="AJ324" s="21">
        <v>314</v>
      </c>
      <c r="AK324" s="21">
        <v>1.48071</v>
      </c>
      <c r="AL324">
        <f t="shared" si="54"/>
        <v>14.000370370370367</v>
      </c>
      <c r="AM324">
        <f t="shared" si="55"/>
        <v>20.736928581481479</v>
      </c>
      <c r="AP324" s="9"/>
      <c r="AQ324" s="21">
        <v>6.8817100000000006E-2</v>
      </c>
      <c r="AR324" s="21">
        <v>25.925999999999998</v>
      </c>
      <c r="AS324" s="21">
        <v>-1.38672E-2</v>
      </c>
      <c r="AT324" s="21">
        <v>314</v>
      </c>
      <c r="AU324" s="21">
        <v>6.8298300000000006E-2</v>
      </c>
      <c r="AV324">
        <f t="shared" si="56"/>
        <v>17.12</v>
      </c>
      <c r="AW324">
        <f t="shared" si="57"/>
        <v>1.1781487520000002</v>
      </c>
      <c r="AX324" s="9"/>
      <c r="AY324" s="21">
        <v>1.4811700000000001</v>
      </c>
      <c r="AZ324" s="21">
        <v>29.443200000000001</v>
      </c>
      <c r="BA324" s="21">
        <v>-1.13098E-2</v>
      </c>
      <c r="BB324" s="21">
        <v>314</v>
      </c>
      <c r="BC324" s="21">
        <v>1.48041</v>
      </c>
      <c r="BD324">
        <f t="shared" si="58"/>
        <v>13.962716049382715</v>
      </c>
      <c r="BE324">
        <f t="shared" si="59"/>
        <v>20.681156130864199</v>
      </c>
    </row>
    <row r="325" spans="6:57" x14ac:dyDescent="0.25">
      <c r="F325" s="9"/>
      <c r="G325" s="21">
        <v>6.3781699999999997E-2</v>
      </c>
      <c r="H325" s="21">
        <v>8.4186899999999998</v>
      </c>
      <c r="I325" s="21">
        <v>-1.38794E-2</v>
      </c>
      <c r="J325" s="21">
        <v>315</v>
      </c>
      <c r="K325" s="21">
        <v>6.3324000000000005E-2</v>
      </c>
      <c r="L325">
        <f t="shared" si="48"/>
        <v>17.135061728395058</v>
      </c>
      <c r="M325">
        <f t="shared" si="49"/>
        <v>1.092903366641975</v>
      </c>
      <c r="N325" s="9"/>
      <c r="O325" s="21">
        <v>1.48621</v>
      </c>
      <c r="P325" s="21">
        <v>11.935700000000001</v>
      </c>
      <c r="Q325" s="21">
        <v>-1.11115E-2</v>
      </c>
      <c r="R325" s="21">
        <v>315</v>
      </c>
      <c r="S325" s="21">
        <v>1.48529</v>
      </c>
      <c r="T325">
        <f t="shared" si="50"/>
        <v>13.717901234567901</v>
      </c>
      <c r="U325">
        <f t="shared" si="51"/>
        <v>20.387681993827162</v>
      </c>
      <c r="X325" s="9"/>
      <c r="Y325" s="21">
        <v>6.3781699999999997E-2</v>
      </c>
      <c r="Z325" s="21">
        <v>17.177900000000001</v>
      </c>
      <c r="AA325" s="21">
        <v>-1.3894699999999999E-2</v>
      </c>
      <c r="AB325" s="21">
        <v>315</v>
      </c>
      <c r="AC325" s="21">
        <v>6.3354499999999994E-2</v>
      </c>
      <c r="AD325">
        <f t="shared" si="52"/>
        <v>17.153950617283947</v>
      </c>
      <c r="AE325">
        <f t="shared" si="53"/>
        <v>1.0941081320864194</v>
      </c>
      <c r="AF325" s="9"/>
      <c r="AG325" s="21">
        <v>1.48621</v>
      </c>
      <c r="AH325" s="21">
        <v>20.695</v>
      </c>
      <c r="AI325" s="21">
        <v>-1.1261E-2</v>
      </c>
      <c r="AJ325" s="21">
        <v>315</v>
      </c>
      <c r="AK325" s="21">
        <v>1.48499</v>
      </c>
      <c r="AL325">
        <f t="shared" si="54"/>
        <v>13.90246913580247</v>
      </c>
      <c r="AM325">
        <f t="shared" si="55"/>
        <v>20.661988654320989</v>
      </c>
      <c r="AP325" s="9"/>
      <c r="AQ325" s="21">
        <v>6.3781699999999997E-2</v>
      </c>
      <c r="AR325" s="21">
        <v>25.9361</v>
      </c>
      <c r="AS325" s="21">
        <v>-1.38733E-2</v>
      </c>
      <c r="AT325" s="21">
        <v>315</v>
      </c>
      <c r="AU325" s="21">
        <v>6.3384999999999997E-2</v>
      </c>
      <c r="AV325">
        <f t="shared" si="56"/>
        <v>17.127530864197528</v>
      </c>
      <c r="AW325">
        <f t="shared" si="57"/>
        <v>1.0924230353209874</v>
      </c>
      <c r="AX325" s="9"/>
      <c r="AY325" s="21">
        <v>1.48621</v>
      </c>
      <c r="AZ325" s="21">
        <v>29.453299999999999</v>
      </c>
      <c r="BA325" s="21">
        <v>-1.12274E-2</v>
      </c>
      <c r="BB325" s="21">
        <v>315</v>
      </c>
      <c r="BC325" s="21">
        <v>1.48529</v>
      </c>
      <c r="BD325">
        <f t="shared" si="58"/>
        <v>13.860987654320986</v>
      </c>
      <c r="BE325">
        <f t="shared" si="59"/>
        <v>20.600338461728395</v>
      </c>
    </row>
    <row r="326" spans="6:57" x14ac:dyDescent="0.25">
      <c r="F326" s="9"/>
      <c r="G326" s="21">
        <v>5.8746300000000001E-2</v>
      </c>
      <c r="H326" s="21">
        <v>8.4287600000000005</v>
      </c>
      <c r="I326" s="21">
        <v>-1.38733E-2</v>
      </c>
      <c r="J326" s="21">
        <v>316</v>
      </c>
      <c r="K326" s="21">
        <v>5.8288600000000003E-2</v>
      </c>
      <c r="L326">
        <f t="shared" si="48"/>
        <v>17.127530864197528</v>
      </c>
      <c r="M326">
        <f t="shared" si="49"/>
        <v>1.0061790664074073</v>
      </c>
      <c r="N326" s="9"/>
      <c r="O326" s="21">
        <v>1.4912399999999999</v>
      </c>
      <c r="P326" s="21">
        <v>11.9458</v>
      </c>
      <c r="Q326" s="21">
        <v>-1.1025999999999999E-2</v>
      </c>
      <c r="R326" s="21">
        <v>316</v>
      </c>
      <c r="S326" s="21">
        <v>1.49048</v>
      </c>
      <c r="T326">
        <f t="shared" si="50"/>
        <v>13.612345679012344</v>
      </c>
      <c r="U326">
        <f t="shared" si="51"/>
        <v>20.299274370370366</v>
      </c>
      <c r="X326" s="9"/>
      <c r="Y326" s="21">
        <v>5.8746300000000001E-2</v>
      </c>
      <c r="Z326" s="21">
        <v>17.187999999999999</v>
      </c>
      <c r="AA326" s="21">
        <v>-1.3894699999999999E-2</v>
      </c>
      <c r="AB326" s="21">
        <v>316</v>
      </c>
      <c r="AC326" s="21">
        <v>5.8380099999999997E-2</v>
      </c>
      <c r="AD326">
        <f t="shared" si="52"/>
        <v>17.153950617283947</v>
      </c>
      <c r="AE326">
        <f t="shared" si="53"/>
        <v>1.0077311291481479</v>
      </c>
      <c r="AF326" s="9"/>
      <c r="AG326" s="21">
        <v>1.4912399999999999</v>
      </c>
      <c r="AH326" s="21">
        <v>20.704999999999998</v>
      </c>
      <c r="AI326" s="21">
        <v>-1.11755E-2</v>
      </c>
      <c r="AJ326" s="21">
        <v>316</v>
      </c>
      <c r="AK326" s="21">
        <v>1.48987</v>
      </c>
      <c r="AL326">
        <f t="shared" si="54"/>
        <v>13.796913580246912</v>
      </c>
      <c r="AM326">
        <f t="shared" si="55"/>
        <v>20.574509407407405</v>
      </c>
      <c r="AP326" s="9"/>
      <c r="AQ326" s="21">
        <v>5.8746300000000001E-2</v>
      </c>
      <c r="AR326" s="21">
        <v>25.946200000000001</v>
      </c>
      <c r="AS326" s="21">
        <v>-1.38733E-2</v>
      </c>
      <c r="AT326" s="21">
        <v>316</v>
      </c>
      <c r="AU326" s="21">
        <v>5.8319099999999999E-2</v>
      </c>
      <c r="AV326">
        <f t="shared" si="56"/>
        <v>17.127530864197528</v>
      </c>
      <c r="AW326">
        <f t="shared" si="57"/>
        <v>1.0061790664074073</v>
      </c>
      <c r="AX326" s="9"/>
      <c r="AY326" s="21">
        <v>1.4912399999999999</v>
      </c>
      <c r="AZ326" s="21">
        <v>29.4633</v>
      </c>
      <c r="BA326" s="21">
        <v>-1.11542E-2</v>
      </c>
      <c r="BB326" s="21">
        <v>316</v>
      </c>
      <c r="BC326" s="21">
        <v>1.49017</v>
      </c>
      <c r="BD326">
        <f t="shared" si="58"/>
        <v>13.770617283950616</v>
      </c>
      <c r="BE326">
        <f t="shared" si="59"/>
        <v>20.535295318518514</v>
      </c>
    </row>
    <row r="327" spans="6:57" x14ac:dyDescent="0.25">
      <c r="F327" s="9"/>
      <c r="G327" s="21">
        <v>5.3710899999999999E-2</v>
      </c>
      <c r="H327" s="21">
        <v>8.4388299999999994</v>
      </c>
      <c r="I327" s="21">
        <v>-1.38672E-2</v>
      </c>
      <c r="J327" s="21">
        <v>317</v>
      </c>
      <c r="K327" s="21">
        <v>5.3222699999999998E-2</v>
      </c>
      <c r="L327">
        <f t="shared" si="48"/>
        <v>17.12</v>
      </c>
      <c r="M327">
        <f t="shared" si="49"/>
        <v>0.91953060800000008</v>
      </c>
      <c r="N327" s="9"/>
      <c r="O327" s="21">
        <v>1.4962800000000001</v>
      </c>
      <c r="P327" s="21">
        <v>11.9559</v>
      </c>
      <c r="Q327" s="21">
        <v>-1.0937499999999999E-2</v>
      </c>
      <c r="R327" s="21">
        <v>317</v>
      </c>
      <c r="S327" s="21">
        <v>1.49597</v>
      </c>
      <c r="T327">
        <f t="shared" si="50"/>
        <v>13.503086419753084</v>
      </c>
      <c r="U327">
        <f t="shared" si="51"/>
        <v>20.204398148148144</v>
      </c>
      <c r="X327" s="9"/>
      <c r="Y327" s="21">
        <v>5.3710899999999999E-2</v>
      </c>
      <c r="Z327" s="21">
        <v>17.198</v>
      </c>
      <c r="AA327" s="21">
        <v>-1.3894699999999999E-2</v>
      </c>
      <c r="AB327" s="21">
        <v>317</v>
      </c>
      <c r="AC327" s="21">
        <v>5.3405800000000003E-2</v>
      </c>
      <c r="AD327">
        <f t="shared" si="52"/>
        <v>17.153950617283947</v>
      </c>
      <c r="AE327">
        <f t="shared" si="53"/>
        <v>0.92135412620987633</v>
      </c>
      <c r="AF327" s="9"/>
      <c r="AG327" s="21">
        <v>1.4962800000000001</v>
      </c>
      <c r="AH327" s="21">
        <v>20.7151</v>
      </c>
      <c r="AI327" s="21">
        <v>-1.1087E-2</v>
      </c>
      <c r="AJ327" s="21">
        <v>317</v>
      </c>
      <c r="AK327" s="21">
        <v>1.49597</v>
      </c>
      <c r="AL327">
        <f t="shared" si="54"/>
        <v>13.687654320987654</v>
      </c>
      <c r="AM327">
        <f t="shared" si="55"/>
        <v>20.480563407407409</v>
      </c>
      <c r="AP327" s="9"/>
      <c r="AQ327" s="21">
        <v>5.3710899999999999E-2</v>
      </c>
      <c r="AR327" s="21">
        <v>25.956299999999999</v>
      </c>
      <c r="AS327" s="21">
        <v>-1.38733E-2</v>
      </c>
      <c r="AT327" s="21">
        <v>317</v>
      </c>
      <c r="AU327" s="21">
        <v>5.3222699999999998E-2</v>
      </c>
      <c r="AV327">
        <f t="shared" si="56"/>
        <v>17.127530864197528</v>
      </c>
      <c r="AW327">
        <f t="shared" si="57"/>
        <v>0.91993509749382696</v>
      </c>
      <c r="AX327" s="9"/>
      <c r="AY327" s="21">
        <v>1.4962800000000001</v>
      </c>
      <c r="AZ327" s="21">
        <v>29.473400000000002</v>
      </c>
      <c r="BA327" s="21">
        <v>-1.1068700000000001E-2</v>
      </c>
      <c r="BB327" s="21">
        <v>317</v>
      </c>
      <c r="BC327" s="21">
        <v>1.49536</v>
      </c>
      <c r="BD327">
        <f t="shared" si="58"/>
        <v>13.665061728395063</v>
      </c>
      <c r="BE327">
        <f t="shared" si="59"/>
        <v>20.446758562962966</v>
      </c>
    </row>
    <row r="328" spans="6:57" x14ac:dyDescent="0.25">
      <c r="F328" s="9"/>
      <c r="G328" s="21">
        <v>4.8675499999999997E-2</v>
      </c>
      <c r="H328" s="21">
        <v>8.4489000000000001</v>
      </c>
      <c r="I328" s="21">
        <v>-1.38733E-2</v>
      </c>
      <c r="J328" s="21">
        <v>318</v>
      </c>
      <c r="K328" s="21">
        <v>4.8605299999999997E-2</v>
      </c>
      <c r="L328">
        <f t="shared" si="48"/>
        <v>17.127530864197528</v>
      </c>
      <c r="M328">
        <f t="shared" si="49"/>
        <v>0.83369112858024674</v>
      </c>
      <c r="N328" s="9"/>
      <c r="O328" s="21">
        <v>1.5013099999999999</v>
      </c>
      <c r="P328" s="21">
        <v>11.965999999999999</v>
      </c>
      <c r="Q328" s="21">
        <v>-1.0842900000000001E-2</v>
      </c>
      <c r="R328" s="21">
        <v>318</v>
      </c>
      <c r="S328" s="21">
        <v>1.5005500000000001</v>
      </c>
      <c r="T328">
        <f t="shared" si="50"/>
        <v>13.386296296296297</v>
      </c>
      <c r="U328">
        <f t="shared" si="51"/>
        <v>20.096980492592593</v>
      </c>
      <c r="X328" s="9"/>
      <c r="Y328" s="21">
        <v>4.8675499999999997E-2</v>
      </c>
      <c r="Z328" s="21">
        <v>17.208100000000002</v>
      </c>
      <c r="AA328" s="21">
        <v>-1.3897700000000001E-2</v>
      </c>
      <c r="AB328" s="21">
        <v>318</v>
      </c>
      <c r="AC328" s="21">
        <v>4.8602300000000001E-2</v>
      </c>
      <c r="AD328">
        <f t="shared" si="52"/>
        <v>17.157654320987653</v>
      </c>
      <c r="AE328">
        <f t="shared" si="53"/>
        <v>0.83515740290123441</v>
      </c>
      <c r="AF328" s="9"/>
      <c r="AG328" s="21">
        <v>1.5013099999999999</v>
      </c>
      <c r="AH328" s="21">
        <v>20.725200000000001</v>
      </c>
      <c r="AI328" s="21">
        <v>-1.09894E-2</v>
      </c>
      <c r="AJ328" s="21">
        <v>318</v>
      </c>
      <c r="AK328" s="21">
        <v>1.50116</v>
      </c>
      <c r="AL328">
        <f t="shared" si="54"/>
        <v>13.56716049382716</v>
      </c>
      <c r="AM328">
        <f t="shared" si="55"/>
        <v>20.368513720987654</v>
      </c>
      <c r="AP328" s="9"/>
      <c r="AQ328" s="21">
        <v>4.8675499999999997E-2</v>
      </c>
      <c r="AR328" s="21">
        <v>25.9663</v>
      </c>
      <c r="AS328" s="21">
        <v>-1.38672E-2</v>
      </c>
      <c r="AT328" s="21">
        <v>318</v>
      </c>
      <c r="AU328" s="21">
        <v>4.8645000000000001E-2</v>
      </c>
      <c r="AV328">
        <f t="shared" si="56"/>
        <v>17.12</v>
      </c>
      <c r="AW328">
        <f t="shared" si="57"/>
        <v>0.83332455999999999</v>
      </c>
      <c r="AX328" s="9"/>
      <c r="AY328" s="21">
        <v>1.5013099999999999</v>
      </c>
      <c r="AZ328" s="21">
        <v>29.483499999999999</v>
      </c>
      <c r="BA328" s="21">
        <v>-1.09833E-2</v>
      </c>
      <c r="BB328" s="21">
        <v>318</v>
      </c>
      <c r="BC328" s="21">
        <v>1.50085</v>
      </c>
      <c r="BD328">
        <f t="shared" si="58"/>
        <v>13.559629629629628</v>
      </c>
      <c r="BE328">
        <f t="shared" si="59"/>
        <v>20.357207559259255</v>
      </c>
    </row>
    <row r="329" spans="6:57" x14ac:dyDescent="0.25">
      <c r="F329" s="9"/>
      <c r="G329" s="21">
        <v>4.3640100000000001E-2</v>
      </c>
      <c r="H329" s="21">
        <v>8.4589700000000008</v>
      </c>
      <c r="I329" s="21">
        <v>-1.38824E-2</v>
      </c>
      <c r="J329" s="21">
        <v>319</v>
      </c>
      <c r="K329" s="21">
        <v>4.3612699999999997E-2</v>
      </c>
      <c r="L329">
        <f t="shared" si="48"/>
        <v>17.138765432098765</v>
      </c>
      <c r="M329">
        <f t="shared" si="49"/>
        <v>0.74793743733333329</v>
      </c>
      <c r="N329" s="9"/>
      <c r="O329" s="21">
        <v>1.5063500000000001</v>
      </c>
      <c r="P329" s="21">
        <v>11.976000000000001</v>
      </c>
      <c r="Q329" s="21">
        <v>-1.07452E-2</v>
      </c>
      <c r="R329" s="21">
        <v>319</v>
      </c>
      <c r="S329" s="21">
        <v>1.50543</v>
      </c>
      <c r="T329">
        <f t="shared" si="50"/>
        <v>13.265679012345677</v>
      </c>
      <c r="U329">
        <f t="shared" si="51"/>
        <v>19.982755580246913</v>
      </c>
      <c r="X329" s="9"/>
      <c r="Y329" s="21">
        <v>4.3640100000000001E-2</v>
      </c>
      <c r="Z329" s="21">
        <v>17.2182</v>
      </c>
      <c r="AA329" s="21">
        <v>-1.39069E-2</v>
      </c>
      <c r="AB329" s="21">
        <v>319</v>
      </c>
      <c r="AC329" s="21">
        <v>4.3569900000000002E-2</v>
      </c>
      <c r="AD329">
        <f t="shared" si="52"/>
        <v>17.169012345679011</v>
      </c>
      <c r="AE329">
        <f t="shared" si="53"/>
        <v>0.74925741566666659</v>
      </c>
      <c r="AF329" s="9"/>
      <c r="AG329" s="21">
        <v>1.5063500000000001</v>
      </c>
      <c r="AH329" s="21">
        <v>20.735199999999999</v>
      </c>
      <c r="AI329" s="21">
        <v>-1.08948E-2</v>
      </c>
      <c r="AJ329" s="21">
        <v>319</v>
      </c>
      <c r="AK329" s="21">
        <v>1.50543</v>
      </c>
      <c r="AL329">
        <f t="shared" si="54"/>
        <v>13.45037037037037</v>
      </c>
      <c r="AM329">
        <f t="shared" si="55"/>
        <v>20.260965407407408</v>
      </c>
      <c r="AP329" s="9"/>
      <c r="AQ329" s="21">
        <v>4.3640100000000001E-2</v>
      </c>
      <c r="AR329" s="21">
        <v>25.976400000000002</v>
      </c>
      <c r="AS329" s="21">
        <v>-1.3864100000000001E-2</v>
      </c>
      <c r="AT329" s="21">
        <v>319</v>
      </c>
      <c r="AU329" s="21">
        <v>4.3679799999999998E-2</v>
      </c>
      <c r="AV329">
        <f t="shared" si="56"/>
        <v>17.11617283950617</v>
      </c>
      <c r="AW329">
        <f t="shared" si="57"/>
        <v>0.74695149433333319</v>
      </c>
      <c r="AX329" s="9"/>
      <c r="AY329" s="21">
        <v>1.5063500000000001</v>
      </c>
      <c r="AZ329" s="21">
        <v>29.493500000000001</v>
      </c>
      <c r="BA329" s="21">
        <v>-1.0897799999999999E-2</v>
      </c>
      <c r="BB329" s="21">
        <v>319</v>
      </c>
      <c r="BC329" s="21">
        <v>1.50543</v>
      </c>
      <c r="BD329">
        <f t="shared" si="58"/>
        <v>13.454074074074072</v>
      </c>
      <c r="BE329">
        <f t="shared" si="59"/>
        <v>20.266544481481478</v>
      </c>
    </row>
    <row r="330" spans="6:57" x14ac:dyDescent="0.25">
      <c r="F330" s="9"/>
      <c r="G330" s="21">
        <v>3.8604699999999999E-2</v>
      </c>
      <c r="H330" s="21">
        <v>8.4690399999999997</v>
      </c>
      <c r="I330" s="21">
        <v>-1.3897700000000001E-2</v>
      </c>
      <c r="J330" s="21">
        <v>320</v>
      </c>
      <c r="K330" s="21">
        <v>3.8684099999999999E-2</v>
      </c>
      <c r="L330">
        <f t="shared" si="48"/>
        <v>17.157654320987653</v>
      </c>
      <c r="M330">
        <f t="shared" si="49"/>
        <v>0.66236609776543198</v>
      </c>
      <c r="N330" s="9"/>
      <c r="O330" s="21">
        <v>1.5113799999999999</v>
      </c>
      <c r="P330" s="21">
        <v>11.9861</v>
      </c>
      <c r="Q330" s="21">
        <v>-1.06476E-2</v>
      </c>
      <c r="R330" s="21">
        <v>320</v>
      </c>
      <c r="S330" s="21">
        <v>1.51031</v>
      </c>
      <c r="T330">
        <f t="shared" si="50"/>
        <v>13.145185185185186</v>
      </c>
      <c r="U330">
        <f t="shared" si="51"/>
        <v>19.867369985185185</v>
      </c>
      <c r="X330" s="9"/>
      <c r="Y330" s="21">
        <v>3.8604699999999999E-2</v>
      </c>
      <c r="Z330" s="21">
        <v>17.228300000000001</v>
      </c>
      <c r="AA330" s="21">
        <v>-1.3903799999999999E-2</v>
      </c>
      <c r="AB330" s="21">
        <v>320</v>
      </c>
      <c r="AC330" s="21">
        <v>3.8546799999999999E-2</v>
      </c>
      <c r="AD330">
        <f t="shared" si="52"/>
        <v>17.165185185185184</v>
      </c>
      <c r="AE330">
        <f t="shared" si="53"/>
        <v>0.66265682451851848</v>
      </c>
      <c r="AF330" s="9"/>
      <c r="AG330" s="21">
        <v>1.5113799999999999</v>
      </c>
      <c r="AH330" s="21">
        <v>20.7453</v>
      </c>
      <c r="AI330" s="21">
        <v>-1.07971E-2</v>
      </c>
      <c r="AJ330" s="21">
        <v>320</v>
      </c>
      <c r="AK330" s="21">
        <v>1.5109300000000001</v>
      </c>
      <c r="AL330">
        <f t="shared" si="54"/>
        <v>13.329753086419753</v>
      </c>
      <c r="AM330">
        <f t="shared" si="55"/>
        <v>20.146322219753085</v>
      </c>
      <c r="AP330" s="9"/>
      <c r="AQ330" s="21">
        <v>3.8604699999999999E-2</v>
      </c>
      <c r="AR330" s="21">
        <v>25.986499999999999</v>
      </c>
      <c r="AS330" s="21">
        <v>-1.38672E-2</v>
      </c>
      <c r="AT330" s="21">
        <v>320</v>
      </c>
      <c r="AU330" s="21">
        <v>3.8537599999999998E-2</v>
      </c>
      <c r="AV330">
        <f t="shared" si="56"/>
        <v>17.12</v>
      </c>
      <c r="AW330">
        <f t="shared" si="57"/>
        <v>0.66091246400000003</v>
      </c>
      <c r="AX330" s="9"/>
      <c r="AY330" s="21">
        <v>1.5113799999999999</v>
      </c>
      <c r="AZ330" s="21">
        <v>29.503599999999999</v>
      </c>
      <c r="BA330" s="21">
        <v>-1.0791E-2</v>
      </c>
      <c r="BB330" s="21">
        <v>320</v>
      </c>
      <c r="BC330" s="21">
        <v>1.5106200000000001</v>
      </c>
      <c r="BD330">
        <f t="shared" si="58"/>
        <v>13.322222222222221</v>
      </c>
      <c r="BE330">
        <f t="shared" si="59"/>
        <v>20.13494022222222</v>
      </c>
    </row>
    <row r="331" spans="6:57" x14ac:dyDescent="0.25">
      <c r="F331" s="9"/>
      <c r="G331" s="21">
        <v>3.3569300000000003E-2</v>
      </c>
      <c r="H331" s="21">
        <v>8.4791100000000004</v>
      </c>
      <c r="I331" s="21">
        <v>-1.3897700000000001E-2</v>
      </c>
      <c r="J331" s="21">
        <v>321</v>
      </c>
      <c r="K331" s="21">
        <v>3.3453400000000001E-2</v>
      </c>
      <c r="L331">
        <f t="shared" si="48"/>
        <v>17.157654320987653</v>
      </c>
      <c r="M331">
        <f t="shared" si="49"/>
        <v>0.57597044519753093</v>
      </c>
      <c r="N331" s="9"/>
      <c r="O331" s="21">
        <v>1.5164200000000001</v>
      </c>
      <c r="P331" s="21">
        <v>11.9962</v>
      </c>
      <c r="Q331" s="21">
        <v>-1.05316E-2</v>
      </c>
      <c r="R331" s="21">
        <v>321</v>
      </c>
      <c r="S331" s="21">
        <v>1.5155000000000001</v>
      </c>
      <c r="T331">
        <f t="shared" si="50"/>
        <v>13.001975308641976</v>
      </c>
      <c r="U331">
        <f t="shared" si="51"/>
        <v>19.716455397530865</v>
      </c>
      <c r="X331" s="9"/>
      <c r="Y331" s="21">
        <v>3.3569300000000003E-2</v>
      </c>
      <c r="Z331" s="21">
        <v>17.238299999999999</v>
      </c>
      <c r="AA331" s="21">
        <v>-1.3903799999999999E-2</v>
      </c>
      <c r="AB331" s="21">
        <v>321</v>
      </c>
      <c r="AC331" s="21">
        <v>3.3489999999999999E-2</v>
      </c>
      <c r="AD331">
        <f t="shared" si="52"/>
        <v>17.165185185185184</v>
      </c>
      <c r="AE331">
        <f t="shared" si="53"/>
        <v>0.57622325103703709</v>
      </c>
      <c r="AF331" s="9"/>
      <c r="AG331" s="21">
        <v>1.5164200000000001</v>
      </c>
      <c r="AH331" s="21">
        <v>20.755400000000002</v>
      </c>
      <c r="AI331" s="21">
        <v>-1.06903E-2</v>
      </c>
      <c r="AJ331" s="21">
        <v>321</v>
      </c>
      <c r="AK331" s="21">
        <v>1.5152000000000001</v>
      </c>
      <c r="AL331">
        <f t="shared" si="54"/>
        <v>13.197901234567899</v>
      </c>
      <c r="AM331">
        <f t="shared" si="55"/>
        <v>20.013561390123456</v>
      </c>
      <c r="AP331" s="9"/>
      <c r="AQ331" s="21">
        <v>3.3569300000000003E-2</v>
      </c>
      <c r="AR331" s="21">
        <v>25.996500000000001</v>
      </c>
      <c r="AS331" s="21">
        <v>-1.3876299999999999E-2</v>
      </c>
      <c r="AT331" s="21">
        <v>321</v>
      </c>
      <c r="AU331" s="21">
        <v>3.34869E-2</v>
      </c>
      <c r="AV331">
        <f t="shared" si="56"/>
        <v>17.131234567901231</v>
      </c>
      <c r="AW331">
        <f t="shared" si="57"/>
        <v>0.5750835525802469</v>
      </c>
      <c r="AX331" s="9"/>
      <c r="AY331" s="21">
        <v>1.5164200000000001</v>
      </c>
      <c r="AZ331" s="21">
        <v>29.5137</v>
      </c>
      <c r="BA331" s="21">
        <v>-1.06873E-2</v>
      </c>
      <c r="BB331" s="21">
        <v>321</v>
      </c>
      <c r="BC331" s="21">
        <v>1.5152000000000001</v>
      </c>
      <c r="BD331">
        <f t="shared" si="58"/>
        <v>13.194197530864198</v>
      </c>
      <c r="BE331">
        <f t="shared" si="59"/>
        <v>20.007945019753087</v>
      </c>
    </row>
    <row r="332" spans="6:57" x14ac:dyDescent="0.25">
      <c r="F332" s="9"/>
      <c r="G332" s="21">
        <v>2.8533900000000001E-2</v>
      </c>
      <c r="H332" s="21">
        <v>8.4891900000000007</v>
      </c>
      <c r="I332" s="21">
        <v>-1.39069E-2</v>
      </c>
      <c r="J332" s="21">
        <v>322</v>
      </c>
      <c r="K332" s="21">
        <v>2.8436300000000001E-2</v>
      </c>
      <c r="L332">
        <f t="shared" ref="L332:L358" si="60">-I332/$F$2*1000</f>
        <v>17.169012345679011</v>
      </c>
      <c r="M332">
        <f t="shared" ref="M332:M358" si="61">L332*G332</f>
        <v>0.48989888137037035</v>
      </c>
      <c r="N332" s="9"/>
      <c r="O332" s="21">
        <v>1.52145</v>
      </c>
      <c r="P332" s="21">
        <v>12.0062</v>
      </c>
      <c r="Q332" s="21">
        <v>-1.0412599999999999E-2</v>
      </c>
      <c r="R332" s="21">
        <v>322</v>
      </c>
      <c r="S332" s="21">
        <v>1.5209999999999999</v>
      </c>
      <c r="T332">
        <f t="shared" ref="T332:T358" si="62">-Q332/$F$2*1000</f>
        <v>12.855061728395061</v>
      </c>
      <c r="U332">
        <f t="shared" ref="U332:U358" si="63">T332*O332</f>
        <v>19.558333666666666</v>
      </c>
      <c r="X332" s="9"/>
      <c r="Y332" s="21">
        <v>2.8533900000000001E-2</v>
      </c>
      <c r="Z332" s="21">
        <v>17.2484</v>
      </c>
      <c r="AA332" s="21">
        <v>-1.3897700000000001E-2</v>
      </c>
      <c r="AB332" s="21">
        <v>322</v>
      </c>
      <c r="AC332" s="21">
        <v>2.84943E-2</v>
      </c>
      <c r="AD332">
        <f t="shared" ref="AD332:AD358" si="64">-AA332/$F$2*1000</f>
        <v>17.157654320987653</v>
      </c>
      <c r="AE332">
        <f t="shared" ref="AE332:AE358" si="65">AD332*Y332</f>
        <v>0.48957479262962961</v>
      </c>
      <c r="AF332" s="9"/>
      <c r="AG332" s="21">
        <v>1.52145</v>
      </c>
      <c r="AH332" s="21">
        <v>20.765499999999999</v>
      </c>
      <c r="AI332" s="21">
        <v>-1.0589599999999999E-2</v>
      </c>
      <c r="AJ332" s="21">
        <v>322</v>
      </c>
      <c r="AK332" s="21">
        <v>1.5209999999999999</v>
      </c>
      <c r="AL332">
        <f t="shared" ref="AL332:AL358" si="66">-AI332/$F$2*1000</f>
        <v>13.073580246913579</v>
      </c>
      <c r="AM332">
        <f t="shared" ref="AM332:AM358" si="67">AL332*AG332</f>
        <v>19.890798666666665</v>
      </c>
      <c r="AP332" s="9"/>
      <c r="AQ332" s="21">
        <v>2.8533900000000001E-2</v>
      </c>
      <c r="AR332" s="21">
        <v>26.006599999999999</v>
      </c>
      <c r="AS332" s="21">
        <v>-1.38824E-2</v>
      </c>
      <c r="AT332" s="21">
        <v>322</v>
      </c>
      <c r="AU332" s="21">
        <v>2.84271E-2</v>
      </c>
      <c r="AV332">
        <f t="shared" ref="AV332:AV358" si="68">-AS332/$F$2*1000</f>
        <v>17.138765432098765</v>
      </c>
      <c r="AW332">
        <f t="shared" ref="AW332:AW358" si="69">AV332*AQ332</f>
        <v>0.48903581896296294</v>
      </c>
      <c r="AX332" s="9"/>
      <c r="AY332" s="21">
        <v>1.52145</v>
      </c>
      <c r="AZ332" s="21">
        <v>29.523700000000002</v>
      </c>
      <c r="BA332" s="21">
        <v>-1.0577400000000001E-2</v>
      </c>
      <c r="BB332" s="21">
        <v>322</v>
      </c>
      <c r="BC332" s="21">
        <v>1.5197799999999999</v>
      </c>
      <c r="BD332">
        <f t="shared" ref="BD332:BD358" si="70">-BA332/$F$2*1000</f>
        <v>13.058518518518518</v>
      </c>
      <c r="BE332">
        <f t="shared" ref="BE332:BE358" si="71">BD332*AY332</f>
        <v>19.867882999999999</v>
      </c>
    </row>
    <row r="333" spans="6:57" x14ac:dyDescent="0.25">
      <c r="F333" s="9"/>
      <c r="G333" s="21">
        <v>2.3498499999999999E-2</v>
      </c>
      <c r="H333" s="21">
        <v>8.4992599999999996</v>
      </c>
      <c r="I333" s="21">
        <v>-1.39069E-2</v>
      </c>
      <c r="J333" s="21">
        <v>323</v>
      </c>
      <c r="K333" s="21">
        <v>2.3358199999999999E-2</v>
      </c>
      <c r="L333">
        <f t="shared" si="60"/>
        <v>17.169012345679011</v>
      </c>
      <c r="M333">
        <f t="shared" si="61"/>
        <v>0.40344603660493822</v>
      </c>
      <c r="N333" s="9"/>
      <c r="O333" s="21">
        <v>1.5264899999999999</v>
      </c>
      <c r="P333" s="21">
        <v>12.016299999999999</v>
      </c>
      <c r="Q333" s="21">
        <v>-1.02966E-2</v>
      </c>
      <c r="R333" s="21">
        <v>323</v>
      </c>
      <c r="S333" s="21">
        <v>1.5255700000000001</v>
      </c>
      <c r="T333">
        <f t="shared" si="62"/>
        <v>12.711851851851851</v>
      </c>
      <c r="U333">
        <f t="shared" si="63"/>
        <v>19.404514733333329</v>
      </c>
      <c r="X333" s="9"/>
      <c r="Y333" s="21">
        <v>2.3498499999999999E-2</v>
      </c>
      <c r="Z333" s="21">
        <v>17.258500000000002</v>
      </c>
      <c r="AA333" s="21">
        <v>-1.3894699999999999E-2</v>
      </c>
      <c r="AB333" s="21">
        <v>323</v>
      </c>
      <c r="AC333" s="21">
        <v>2.3352100000000001E-2</v>
      </c>
      <c r="AD333">
        <f t="shared" si="64"/>
        <v>17.153950617283947</v>
      </c>
      <c r="AE333">
        <f t="shared" si="65"/>
        <v>0.4030921085802468</v>
      </c>
      <c r="AF333" s="9"/>
      <c r="AG333" s="21">
        <v>1.5264899999999999</v>
      </c>
      <c r="AH333" s="21">
        <v>20.775500000000001</v>
      </c>
      <c r="AI333" s="21">
        <v>-1.04706E-2</v>
      </c>
      <c r="AJ333" s="21">
        <v>323</v>
      </c>
      <c r="AK333" s="21">
        <v>1.5261800000000001</v>
      </c>
      <c r="AL333">
        <f t="shared" si="66"/>
        <v>12.926666666666666</v>
      </c>
      <c r="AM333">
        <f t="shared" si="67"/>
        <v>19.732427399999999</v>
      </c>
      <c r="AP333" s="9"/>
      <c r="AQ333" s="21">
        <v>2.3498499999999999E-2</v>
      </c>
      <c r="AR333" s="21">
        <v>26.0167</v>
      </c>
      <c r="AS333" s="21">
        <v>-1.38885E-2</v>
      </c>
      <c r="AT333" s="21">
        <v>323</v>
      </c>
      <c r="AU333" s="21">
        <v>2.3364300000000001E-2</v>
      </c>
      <c r="AV333">
        <f t="shared" si="68"/>
        <v>17.146296296296295</v>
      </c>
      <c r="AW333">
        <f t="shared" si="69"/>
        <v>0.40291224351851845</v>
      </c>
      <c r="AX333" s="9"/>
      <c r="AY333" s="21">
        <v>1.5264899999999999</v>
      </c>
      <c r="AZ333" s="21">
        <v>29.533799999999999</v>
      </c>
      <c r="BA333" s="21">
        <v>-1.0449200000000001E-2</v>
      </c>
      <c r="BB333" s="21">
        <v>323</v>
      </c>
      <c r="BC333" s="21">
        <v>1.5258799999999999</v>
      </c>
      <c r="BD333">
        <f t="shared" si="70"/>
        <v>12.900246913580247</v>
      </c>
      <c r="BE333">
        <f t="shared" si="71"/>
        <v>19.692097911111109</v>
      </c>
    </row>
    <row r="334" spans="6:57" x14ac:dyDescent="0.25">
      <c r="F334" s="9"/>
      <c r="G334" s="21">
        <v>1.84631E-2</v>
      </c>
      <c r="H334" s="21">
        <v>8.5093300000000003</v>
      </c>
      <c r="I334" s="21">
        <v>-1.3909899999999999E-2</v>
      </c>
      <c r="J334" s="21">
        <v>324</v>
      </c>
      <c r="K334" s="21">
        <v>1.8261699999999999E-2</v>
      </c>
      <c r="L334">
        <f t="shared" si="60"/>
        <v>17.172716049382714</v>
      </c>
      <c r="M334">
        <f t="shared" si="61"/>
        <v>0.31706157369135801</v>
      </c>
      <c r="N334" s="9"/>
      <c r="O334" s="21">
        <v>1.53152</v>
      </c>
      <c r="P334" s="21">
        <v>12.026400000000001</v>
      </c>
      <c r="Q334" s="21">
        <v>-1.01624E-2</v>
      </c>
      <c r="R334" s="21">
        <v>324</v>
      </c>
      <c r="S334" s="21">
        <v>1.5307599999999999</v>
      </c>
      <c r="T334">
        <f t="shared" si="62"/>
        <v>12.546172839506172</v>
      </c>
      <c r="U334">
        <f t="shared" si="63"/>
        <v>19.214714627160493</v>
      </c>
      <c r="X334" s="9"/>
      <c r="Y334" s="21">
        <v>1.84631E-2</v>
      </c>
      <c r="Z334" s="21">
        <v>17.2685</v>
      </c>
      <c r="AA334" s="21">
        <v>-1.39008E-2</v>
      </c>
      <c r="AB334" s="21">
        <v>324</v>
      </c>
      <c r="AC334" s="21">
        <v>1.8304399999999998E-2</v>
      </c>
      <c r="AD334">
        <f t="shared" si="64"/>
        <v>17.161481481481481</v>
      </c>
      <c r="AE334">
        <f t="shared" si="65"/>
        <v>0.31685414874074069</v>
      </c>
      <c r="AF334" s="9"/>
      <c r="AG334" s="21">
        <v>1.53152</v>
      </c>
      <c r="AH334" s="21">
        <v>20.785599999999999</v>
      </c>
      <c r="AI334" s="21">
        <v>-1.03424E-2</v>
      </c>
      <c r="AJ334" s="21">
        <v>324</v>
      </c>
      <c r="AK334" s="21">
        <v>1.5307599999999999</v>
      </c>
      <c r="AL334">
        <f t="shared" si="66"/>
        <v>12.768395061728393</v>
      </c>
      <c r="AM334">
        <f t="shared" si="67"/>
        <v>19.555052404938269</v>
      </c>
      <c r="AP334" s="9"/>
      <c r="AQ334" s="21">
        <v>1.84631E-2</v>
      </c>
      <c r="AR334" s="21">
        <v>26.026800000000001</v>
      </c>
      <c r="AS334" s="21">
        <v>-1.38916E-2</v>
      </c>
      <c r="AT334" s="21">
        <v>324</v>
      </c>
      <c r="AU334" s="21">
        <v>1.8362400000000001E-2</v>
      </c>
      <c r="AV334">
        <f t="shared" si="68"/>
        <v>17.150123456790123</v>
      </c>
      <c r="AW334">
        <f t="shared" si="69"/>
        <v>0.31664444439506173</v>
      </c>
      <c r="AX334" s="9"/>
      <c r="AY334" s="21">
        <v>1.53152</v>
      </c>
      <c r="AZ334" s="21">
        <v>29.543900000000001</v>
      </c>
      <c r="BA334" s="21">
        <v>-1.0318000000000001E-2</v>
      </c>
      <c r="BB334" s="21">
        <v>324</v>
      </c>
      <c r="BC334" s="21">
        <v>1.5307599999999999</v>
      </c>
      <c r="BD334">
        <f t="shared" si="70"/>
        <v>12.738271604938271</v>
      </c>
      <c r="BE334">
        <f t="shared" si="71"/>
        <v>19.508917728395062</v>
      </c>
    </row>
    <row r="335" spans="6:57" x14ac:dyDescent="0.25">
      <c r="F335" s="9"/>
      <c r="G335" s="21">
        <v>1.3427700000000001E-2</v>
      </c>
      <c r="H335" s="21">
        <v>8.5193999999999992</v>
      </c>
      <c r="I335" s="21">
        <v>-1.3909899999999999E-2</v>
      </c>
      <c r="J335" s="21">
        <v>325</v>
      </c>
      <c r="K335" s="21">
        <v>1.3324000000000001E-2</v>
      </c>
      <c r="L335">
        <f t="shared" si="60"/>
        <v>17.172716049382714</v>
      </c>
      <c r="M335">
        <f t="shared" si="61"/>
        <v>0.2305900792962963</v>
      </c>
      <c r="N335" s="9"/>
      <c r="O335" s="21">
        <v>1.5365599999999999</v>
      </c>
      <c r="P335" s="21">
        <v>12.0365</v>
      </c>
      <c r="Q335" s="21">
        <v>-1.0022E-2</v>
      </c>
      <c r="R335" s="21">
        <v>325</v>
      </c>
      <c r="S335" s="21">
        <v>1.5356399999999999</v>
      </c>
      <c r="T335">
        <f t="shared" si="62"/>
        <v>12.372839506172838</v>
      </c>
      <c r="U335">
        <f t="shared" si="63"/>
        <v>19.011610271604933</v>
      </c>
      <c r="X335" s="9"/>
      <c r="Y335" s="21">
        <v>1.3427700000000001E-2</v>
      </c>
      <c r="Z335" s="21">
        <v>17.278600000000001</v>
      </c>
      <c r="AA335" s="21">
        <v>-1.3909899999999999E-2</v>
      </c>
      <c r="AB335" s="21">
        <v>325</v>
      </c>
      <c r="AC335" s="21">
        <v>1.33148E-2</v>
      </c>
      <c r="AD335">
        <f t="shared" si="64"/>
        <v>17.172716049382714</v>
      </c>
      <c r="AE335">
        <f t="shared" si="65"/>
        <v>0.2305900792962963</v>
      </c>
      <c r="AF335" s="9"/>
      <c r="AG335" s="21">
        <v>1.5365599999999999</v>
      </c>
      <c r="AH335" s="21">
        <v>20.7957</v>
      </c>
      <c r="AI335" s="21">
        <v>-1.0201999999999999E-2</v>
      </c>
      <c r="AJ335" s="21">
        <v>325</v>
      </c>
      <c r="AK335" s="21">
        <v>1.5362499999999999</v>
      </c>
      <c r="AL335">
        <f t="shared" si="66"/>
        <v>12.595061728395061</v>
      </c>
      <c r="AM335">
        <f t="shared" si="67"/>
        <v>19.353068049382713</v>
      </c>
      <c r="AP335" s="9"/>
      <c r="AQ335" s="21">
        <v>1.3427700000000001E-2</v>
      </c>
      <c r="AR335" s="21">
        <v>26.036799999999999</v>
      </c>
      <c r="AS335" s="21">
        <v>-1.38885E-2</v>
      </c>
      <c r="AT335" s="21">
        <v>325</v>
      </c>
      <c r="AU335" s="21">
        <v>1.3201900000000001E-2</v>
      </c>
      <c r="AV335">
        <f t="shared" si="68"/>
        <v>17.146296296296295</v>
      </c>
      <c r="AW335">
        <f t="shared" si="69"/>
        <v>0.23023532277777778</v>
      </c>
      <c r="AX335" s="9"/>
      <c r="AY335" s="21">
        <v>1.5365599999999999</v>
      </c>
      <c r="AZ335" s="21">
        <v>29.553999999999998</v>
      </c>
      <c r="BA335" s="21">
        <v>-1.01685E-2</v>
      </c>
      <c r="BB335" s="21">
        <v>325</v>
      </c>
      <c r="BC335" s="21">
        <v>1.5359499999999999</v>
      </c>
      <c r="BD335">
        <f t="shared" si="70"/>
        <v>12.553703703703704</v>
      </c>
      <c r="BE335">
        <f t="shared" si="71"/>
        <v>19.289518962962962</v>
      </c>
    </row>
    <row r="336" spans="6:57" x14ac:dyDescent="0.25">
      <c r="F336" s="9"/>
      <c r="G336" s="21">
        <v>8.3923299999999999E-3</v>
      </c>
      <c r="H336" s="21">
        <v>8.5294699999999999</v>
      </c>
      <c r="I336" s="21">
        <v>-1.39069E-2</v>
      </c>
      <c r="J336" s="21">
        <v>326</v>
      </c>
      <c r="K336" s="21">
        <v>8.2611100000000003E-3</v>
      </c>
      <c r="L336">
        <f t="shared" si="60"/>
        <v>17.169012345679011</v>
      </c>
      <c r="M336">
        <f t="shared" si="61"/>
        <v>0.14408801737901233</v>
      </c>
      <c r="N336" s="9"/>
      <c r="O336" s="21">
        <v>1.5416000000000001</v>
      </c>
      <c r="P336" s="21">
        <v>12.0465</v>
      </c>
      <c r="Q336" s="21">
        <v>-9.8754900000000007E-3</v>
      </c>
      <c r="R336" s="21">
        <v>326</v>
      </c>
      <c r="S336" s="21">
        <v>1.5408299999999999</v>
      </c>
      <c r="T336">
        <f t="shared" si="62"/>
        <v>12.191962962962963</v>
      </c>
      <c r="U336">
        <f t="shared" si="63"/>
        <v>18.795130103703706</v>
      </c>
      <c r="X336" s="9"/>
      <c r="Y336" s="21">
        <v>8.3923299999999999E-3</v>
      </c>
      <c r="Z336" s="21">
        <v>17.288699999999999</v>
      </c>
      <c r="AA336" s="21">
        <v>-1.39191E-2</v>
      </c>
      <c r="AB336" s="21">
        <v>326</v>
      </c>
      <c r="AC336" s="21">
        <v>8.2458500000000007E-3</v>
      </c>
      <c r="AD336">
        <f t="shared" si="64"/>
        <v>17.184074074074076</v>
      </c>
      <c r="AE336">
        <f t="shared" si="65"/>
        <v>0.14421442037407409</v>
      </c>
      <c r="AF336" s="9"/>
      <c r="AG336" s="21">
        <v>1.5416000000000001</v>
      </c>
      <c r="AH336" s="21">
        <v>20.805700000000002</v>
      </c>
      <c r="AI336" s="21">
        <v>-1.00555E-2</v>
      </c>
      <c r="AJ336" s="21">
        <v>326</v>
      </c>
      <c r="AK336" s="21">
        <v>1.5402199999999999</v>
      </c>
      <c r="AL336">
        <f t="shared" si="66"/>
        <v>12.414197530864197</v>
      </c>
      <c r="AM336">
        <f t="shared" si="67"/>
        <v>19.137726913580245</v>
      </c>
      <c r="AP336" s="9"/>
      <c r="AQ336" s="21">
        <v>8.3923299999999999E-3</v>
      </c>
      <c r="AR336" s="21">
        <v>26.046900000000001</v>
      </c>
      <c r="AS336" s="21">
        <v>-1.38824E-2</v>
      </c>
      <c r="AT336" s="21">
        <v>326</v>
      </c>
      <c r="AU336" s="21">
        <v>8.1359899999999992E-3</v>
      </c>
      <c r="AV336">
        <f t="shared" si="68"/>
        <v>17.138765432098765</v>
      </c>
      <c r="AW336">
        <f t="shared" si="69"/>
        <v>0.14383417529876544</v>
      </c>
      <c r="AX336" s="9"/>
      <c r="AY336" s="21">
        <v>1.5416000000000001</v>
      </c>
      <c r="AZ336" s="21">
        <v>29.564</v>
      </c>
      <c r="BA336" s="21">
        <v>-1.0031099999999999E-2</v>
      </c>
      <c r="BB336" s="21">
        <v>326</v>
      </c>
      <c r="BC336" s="21">
        <v>1.5408299999999999</v>
      </c>
      <c r="BD336">
        <f t="shared" si="70"/>
        <v>12.384074074074071</v>
      </c>
      <c r="BE336">
        <f t="shared" si="71"/>
        <v>19.091288592592591</v>
      </c>
    </row>
    <row r="337" spans="6:57" x14ac:dyDescent="0.25">
      <c r="F337" s="9"/>
      <c r="G337" s="21">
        <v>3.3569300000000002E-3</v>
      </c>
      <c r="H337" s="21">
        <v>8.5395400000000006</v>
      </c>
      <c r="I337" s="21">
        <v>-1.3903799999999999E-2</v>
      </c>
      <c r="J337" s="21">
        <v>327</v>
      </c>
      <c r="K337" s="21">
        <v>3.1402600000000002E-3</v>
      </c>
      <c r="L337">
        <f t="shared" si="60"/>
        <v>17.165185185185184</v>
      </c>
      <c r="M337">
        <f t="shared" si="61"/>
        <v>5.76223251037037E-2</v>
      </c>
      <c r="N337" s="9"/>
      <c r="O337" s="21">
        <v>1.5466299999999999</v>
      </c>
      <c r="P337" s="21">
        <v>12.0566</v>
      </c>
      <c r="Q337" s="21">
        <v>-9.7106899999999993E-3</v>
      </c>
      <c r="R337" s="21">
        <v>327</v>
      </c>
      <c r="S337" s="21">
        <v>1.5460199999999999</v>
      </c>
      <c r="T337">
        <f t="shared" si="62"/>
        <v>11.988506172839504</v>
      </c>
      <c r="U337">
        <f t="shared" si="63"/>
        <v>18.541783302098761</v>
      </c>
      <c r="X337" s="9"/>
      <c r="Y337" s="21">
        <v>3.3569300000000002E-3</v>
      </c>
      <c r="Z337" s="21">
        <v>17.2987</v>
      </c>
      <c r="AA337" s="21">
        <v>-1.39282E-2</v>
      </c>
      <c r="AB337" s="21">
        <v>327</v>
      </c>
      <c r="AC337" s="21">
        <v>3.2714799999999998E-3</v>
      </c>
      <c r="AD337">
        <f t="shared" si="64"/>
        <v>17.195308641975309</v>
      </c>
      <c r="AE337">
        <f t="shared" si="65"/>
        <v>5.7723447439506179E-2</v>
      </c>
      <c r="AF337" s="9"/>
      <c r="AG337" s="21">
        <v>1.5466299999999999</v>
      </c>
      <c r="AH337" s="21">
        <v>20.815799999999999</v>
      </c>
      <c r="AI337" s="21">
        <v>-9.8998999999999997E-3</v>
      </c>
      <c r="AJ337" s="21">
        <v>327</v>
      </c>
      <c r="AK337" s="21">
        <v>1.54572</v>
      </c>
      <c r="AL337">
        <f t="shared" si="66"/>
        <v>12.222098765432097</v>
      </c>
      <c r="AM337">
        <f t="shared" si="67"/>
        <v>18.903064613580245</v>
      </c>
      <c r="AP337" s="9"/>
      <c r="AQ337" s="21">
        <v>3.3569300000000002E-3</v>
      </c>
      <c r="AR337" s="21">
        <v>26.056999999999999</v>
      </c>
      <c r="AS337" s="21">
        <v>-1.38855E-2</v>
      </c>
      <c r="AT337" s="21">
        <v>327</v>
      </c>
      <c r="AU337" s="21">
        <v>3.17688E-3</v>
      </c>
      <c r="AV337">
        <f t="shared" si="68"/>
        <v>17.142592592592592</v>
      </c>
      <c r="AW337">
        <f t="shared" si="69"/>
        <v>5.7546483351851856E-2</v>
      </c>
      <c r="AX337" s="9"/>
      <c r="AY337" s="21">
        <v>1.5466299999999999</v>
      </c>
      <c r="AZ337" s="21">
        <v>29.574100000000001</v>
      </c>
      <c r="BA337" s="21">
        <v>-9.8846400000000001E-3</v>
      </c>
      <c r="BB337" s="21">
        <v>327</v>
      </c>
      <c r="BC337" s="21">
        <v>1.54572</v>
      </c>
      <c r="BD337">
        <f t="shared" si="70"/>
        <v>12.203259259259259</v>
      </c>
      <c r="BE337">
        <f t="shared" si="71"/>
        <v>18.873926868148146</v>
      </c>
    </row>
    <row r="338" spans="6:57" x14ac:dyDescent="0.25">
      <c r="F338" s="9"/>
      <c r="G338" s="21">
        <v>-1.67847E-3</v>
      </c>
      <c r="H338" s="21">
        <v>8.5496099999999995</v>
      </c>
      <c r="I338" s="21">
        <v>-1.3916E-2</v>
      </c>
      <c r="J338" s="21">
        <v>328</v>
      </c>
      <c r="K338" s="21">
        <v>-1.85242E-3</v>
      </c>
      <c r="L338">
        <f t="shared" si="60"/>
        <v>17.180246913580245</v>
      </c>
      <c r="M338">
        <f t="shared" si="61"/>
        <v>-2.8836529037037033E-2</v>
      </c>
      <c r="N338" s="9"/>
      <c r="O338" s="21">
        <v>1.5516700000000001</v>
      </c>
      <c r="P338" s="21">
        <v>12.066700000000001</v>
      </c>
      <c r="Q338" s="21">
        <v>-9.5367400000000001E-3</v>
      </c>
      <c r="R338" s="21">
        <v>328</v>
      </c>
      <c r="S338" s="21">
        <v>1.5506</v>
      </c>
      <c r="T338">
        <f t="shared" si="62"/>
        <v>11.773753086419752</v>
      </c>
      <c r="U338">
        <f t="shared" si="63"/>
        <v>18.268979451604938</v>
      </c>
      <c r="X338" s="9"/>
      <c r="Y338" s="21">
        <v>-1.67847E-3</v>
      </c>
      <c r="Z338" s="21">
        <v>17.308800000000002</v>
      </c>
      <c r="AA338" s="21">
        <v>-1.39343E-2</v>
      </c>
      <c r="AB338" s="21">
        <v>328</v>
      </c>
      <c r="AC338" s="21">
        <v>-1.9073499999999999E-3</v>
      </c>
      <c r="AD338">
        <f t="shared" si="64"/>
        <v>17.202839506172836</v>
      </c>
      <c r="AE338">
        <f t="shared" si="65"/>
        <v>-2.8874450025925921E-2</v>
      </c>
      <c r="AF338" s="9"/>
      <c r="AG338" s="21">
        <v>1.5516700000000001</v>
      </c>
      <c r="AH338" s="21">
        <v>20.825900000000001</v>
      </c>
      <c r="AI338" s="21">
        <v>-9.7412100000000001E-3</v>
      </c>
      <c r="AJ338" s="21">
        <v>328</v>
      </c>
      <c r="AK338" s="21">
        <v>1.5506</v>
      </c>
      <c r="AL338">
        <f t="shared" si="66"/>
        <v>12.026185185185184</v>
      </c>
      <c r="AM338">
        <f t="shared" si="67"/>
        <v>18.660670766296295</v>
      </c>
      <c r="AP338" s="9"/>
      <c r="AQ338" s="21">
        <v>-1.67847E-3</v>
      </c>
      <c r="AR338" s="21">
        <v>26.067</v>
      </c>
      <c r="AS338" s="21">
        <v>-1.3894699999999999E-2</v>
      </c>
      <c r="AT338" s="21">
        <v>328</v>
      </c>
      <c r="AU338" s="21">
        <v>-1.87378E-3</v>
      </c>
      <c r="AV338">
        <f t="shared" si="68"/>
        <v>17.153950617283947</v>
      </c>
      <c r="AW338">
        <f t="shared" si="69"/>
        <v>-2.8792391492592585E-2</v>
      </c>
      <c r="AX338" s="9"/>
      <c r="AY338" s="21">
        <v>1.5516700000000001</v>
      </c>
      <c r="AZ338" s="21">
        <v>29.584199999999999</v>
      </c>
      <c r="BA338" s="21">
        <v>-9.7228999999999996E-3</v>
      </c>
      <c r="BB338" s="21">
        <v>328</v>
      </c>
      <c r="BC338" s="21">
        <v>1.5508999999999999</v>
      </c>
      <c r="BD338">
        <f t="shared" si="70"/>
        <v>12.003580246913579</v>
      </c>
      <c r="BE338">
        <f t="shared" si="71"/>
        <v>18.625595361728394</v>
      </c>
    </row>
    <row r="339" spans="6:57" x14ac:dyDescent="0.25">
      <c r="F339" s="9"/>
      <c r="G339" s="21">
        <v>-6.7138700000000003E-3</v>
      </c>
      <c r="H339" s="21">
        <v>8.5596800000000002</v>
      </c>
      <c r="I339" s="21">
        <v>-1.39221E-2</v>
      </c>
      <c r="J339" s="21">
        <v>329</v>
      </c>
      <c r="K339" s="21">
        <v>-6.8115199999999997E-3</v>
      </c>
      <c r="L339">
        <f t="shared" si="60"/>
        <v>17.187777777777779</v>
      </c>
      <c r="M339">
        <f t="shared" si="61"/>
        <v>-0.11539650558888891</v>
      </c>
      <c r="N339" s="9"/>
      <c r="O339" s="21">
        <v>1.5567</v>
      </c>
      <c r="P339" s="21">
        <v>12.076700000000001</v>
      </c>
      <c r="Q339" s="21">
        <v>-9.3566900000000008E-3</v>
      </c>
      <c r="R339" s="21">
        <v>329</v>
      </c>
      <c r="S339" s="21">
        <v>1.55609</v>
      </c>
      <c r="T339">
        <f t="shared" si="62"/>
        <v>11.551469135802471</v>
      </c>
      <c r="U339">
        <f t="shared" si="63"/>
        <v>17.982172003703706</v>
      </c>
      <c r="X339" s="9"/>
      <c r="Y339" s="21">
        <v>-6.7138700000000003E-3</v>
      </c>
      <c r="Z339" s="21">
        <v>17.318899999999999</v>
      </c>
      <c r="AA339" s="21">
        <v>-1.3946500000000001E-2</v>
      </c>
      <c r="AB339" s="21">
        <v>329</v>
      </c>
      <c r="AC339" s="21">
        <v>-6.7688000000000002E-3</v>
      </c>
      <c r="AD339">
        <f t="shared" si="64"/>
        <v>17.217901234567901</v>
      </c>
      <c r="AE339">
        <f t="shared" si="65"/>
        <v>-0.1155987505617284</v>
      </c>
      <c r="AF339" s="9"/>
      <c r="AG339" s="21">
        <v>1.5567</v>
      </c>
      <c r="AH339" s="21">
        <v>20.835899999999999</v>
      </c>
      <c r="AI339" s="21">
        <v>-9.5672599999999993E-3</v>
      </c>
      <c r="AJ339" s="21">
        <v>329</v>
      </c>
      <c r="AK339" s="21">
        <v>1.5564</v>
      </c>
      <c r="AL339">
        <f t="shared" si="66"/>
        <v>11.81143209876543</v>
      </c>
      <c r="AM339">
        <f t="shared" si="67"/>
        <v>18.386856348148143</v>
      </c>
      <c r="AP339" s="9"/>
      <c r="AQ339" s="21">
        <v>-6.7138700000000003E-3</v>
      </c>
      <c r="AR339" s="21">
        <v>26.077100000000002</v>
      </c>
      <c r="AS339" s="21">
        <v>-1.39008E-2</v>
      </c>
      <c r="AT339" s="21">
        <v>329</v>
      </c>
      <c r="AU339" s="21">
        <v>-6.9824199999999996E-3</v>
      </c>
      <c r="AV339">
        <f t="shared" si="68"/>
        <v>17.161481481481481</v>
      </c>
      <c r="AW339">
        <f t="shared" si="69"/>
        <v>-0.11521995567407407</v>
      </c>
      <c r="AX339" s="9"/>
      <c r="AY339" s="21">
        <v>1.5567</v>
      </c>
      <c r="AZ339" s="21">
        <v>29.594200000000001</v>
      </c>
      <c r="BA339" s="21">
        <v>-9.5428500000000003E-3</v>
      </c>
      <c r="BB339" s="21">
        <v>329</v>
      </c>
      <c r="BC339" s="21">
        <v>1.55579</v>
      </c>
      <c r="BD339">
        <f t="shared" si="70"/>
        <v>11.781296296296297</v>
      </c>
      <c r="BE339">
        <f t="shared" si="71"/>
        <v>18.339943944444446</v>
      </c>
    </row>
    <row r="340" spans="6:57" x14ac:dyDescent="0.25">
      <c r="F340" s="9"/>
      <c r="G340" s="21">
        <v>-1.1749300000000001E-2</v>
      </c>
      <c r="H340" s="21">
        <v>8.5697500000000009</v>
      </c>
      <c r="I340" s="21">
        <v>-1.39282E-2</v>
      </c>
      <c r="J340" s="21">
        <v>330</v>
      </c>
      <c r="K340" s="21">
        <v>-1.19904E-2</v>
      </c>
      <c r="L340">
        <f t="shared" si="60"/>
        <v>17.195308641975309</v>
      </c>
      <c r="M340">
        <f t="shared" si="61"/>
        <v>-0.2020328398271605</v>
      </c>
      <c r="N340" s="9"/>
      <c r="O340" s="21">
        <v>1.5617399999999999</v>
      </c>
      <c r="P340" s="21">
        <v>12.0868</v>
      </c>
      <c r="Q340" s="21">
        <v>-9.1583299999999992E-3</v>
      </c>
      <c r="R340" s="21">
        <v>330</v>
      </c>
      <c r="S340" s="21">
        <v>1.56128</v>
      </c>
      <c r="T340">
        <f t="shared" si="62"/>
        <v>11.306580246913578</v>
      </c>
      <c r="U340">
        <f t="shared" si="63"/>
        <v>17.657938634814808</v>
      </c>
      <c r="X340" s="9"/>
      <c r="Y340" s="21">
        <v>-1.1749300000000001E-2</v>
      </c>
      <c r="Z340" s="21">
        <v>17.329000000000001</v>
      </c>
      <c r="AA340" s="21">
        <v>-1.3952600000000001E-2</v>
      </c>
      <c r="AB340" s="21">
        <v>330</v>
      </c>
      <c r="AC340" s="21">
        <v>-1.19904E-2</v>
      </c>
      <c r="AD340">
        <f t="shared" si="64"/>
        <v>17.225432098765431</v>
      </c>
      <c r="AE340">
        <f t="shared" si="65"/>
        <v>-0.20238676935802469</v>
      </c>
      <c r="AF340" s="9"/>
      <c r="AG340" s="21">
        <v>1.5617399999999999</v>
      </c>
      <c r="AH340" s="21">
        <v>20.846</v>
      </c>
      <c r="AI340" s="21">
        <v>-9.3749999999999997E-3</v>
      </c>
      <c r="AJ340" s="21">
        <v>330</v>
      </c>
      <c r="AK340" s="21">
        <v>1.56097</v>
      </c>
      <c r="AL340">
        <f t="shared" si="66"/>
        <v>11.574074074074073</v>
      </c>
      <c r="AM340">
        <f t="shared" si="67"/>
        <v>18.075694444444441</v>
      </c>
      <c r="AP340" s="9"/>
      <c r="AQ340" s="21">
        <v>-1.1749300000000001E-2</v>
      </c>
      <c r="AR340" s="21">
        <v>26.087199999999999</v>
      </c>
      <c r="AS340" s="21">
        <v>-1.3897700000000001E-2</v>
      </c>
      <c r="AT340" s="21">
        <v>330</v>
      </c>
      <c r="AU340" s="21">
        <v>-1.20117E-2</v>
      </c>
      <c r="AV340">
        <f t="shared" si="68"/>
        <v>17.157654320987653</v>
      </c>
      <c r="AW340">
        <f t="shared" si="69"/>
        <v>-0.20159042791358026</v>
      </c>
      <c r="AX340" s="9"/>
      <c r="AY340" s="21">
        <v>1.5617399999999999</v>
      </c>
      <c r="AZ340" s="21">
        <v>29.604299999999999</v>
      </c>
      <c r="BA340" s="21">
        <v>-9.3536399999999999E-3</v>
      </c>
      <c r="BB340" s="21">
        <v>330</v>
      </c>
      <c r="BC340" s="21">
        <v>1.56128</v>
      </c>
      <c r="BD340">
        <f t="shared" si="70"/>
        <v>11.547703703703702</v>
      </c>
      <c r="BE340">
        <f t="shared" si="71"/>
        <v>18.034510782222217</v>
      </c>
    </row>
    <row r="341" spans="6:57" x14ac:dyDescent="0.25">
      <c r="F341" s="9"/>
      <c r="G341" s="21">
        <v>-1.67847E-2</v>
      </c>
      <c r="H341" s="21">
        <v>8.5798199999999998</v>
      </c>
      <c r="I341" s="21">
        <v>-1.39343E-2</v>
      </c>
      <c r="J341" s="21">
        <v>331</v>
      </c>
      <c r="K341" s="21">
        <v>-1.70013E-2</v>
      </c>
      <c r="L341">
        <f t="shared" si="60"/>
        <v>17.202839506172836</v>
      </c>
      <c r="M341">
        <f t="shared" si="61"/>
        <v>-0.28874450025925918</v>
      </c>
      <c r="N341" s="9"/>
      <c r="O341" s="21">
        <v>1.56677</v>
      </c>
      <c r="P341" s="21">
        <v>12.0969</v>
      </c>
      <c r="Q341" s="21">
        <v>-8.95081E-3</v>
      </c>
      <c r="R341" s="21">
        <v>331</v>
      </c>
      <c r="S341" s="21">
        <v>1.56586</v>
      </c>
      <c r="T341">
        <f t="shared" si="62"/>
        <v>11.050382716049382</v>
      </c>
      <c r="U341">
        <f t="shared" si="63"/>
        <v>17.31340812802469</v>
      </c>
      <c r="X341" s="9"/>
      <c r="Y341" s="21">
        <v>-1.67847E-2</v>
      </c>
      <c r="Z341" s="21">
        <v>17.338999999999999</v>
      </c>
      <c r="AA341" s="21">
        <v>-1.39557E-2</v>
      </c>
      <c r="AB341" s="21">
        <v>331</v>
      </c>
      <c r="AC341" s="21">
        <v>-1.7172199999999999E-2</v>
      </c>
      <c r="AD341">
        <f t="shared" si="64"/>
        <v>17.229259259259258</v>
      </c>
      <c r="AE341">
        <f t="shared" si="65"/>
        <v>-0.28918794788888885</v>
      </c>
      <c r="AF341" s="9"/>
      <c r="AG341" s="21">
        <v>1.56677</v>
      </c>
      <c r="AH341" s="21">
        <v>20.856100000000001</v>
      </c>
      <c r="AI341" s="21">
        <v>-9.1644299999999995E-3</v>
      </c>
      <c r="AJ341" s="21">
        <v>331</v>
      </c>
      <c r="AK341" s="21">
        <v>1.56616</v>
      </c>
      <c r="AL341">
        <f t="shared" si="66"/>
        <v>11.31411111111111</v>
      </c>
      <c r="AM341">
        <f t="shared" si="67"/>
        <v>17.726609865555552</v>
      </c>
      <c r="AP341" s="9"/>
      <c r="AQ341" s="21">
        <v>-1.67847E-2</v>
      </c>
      <c r="AR341" s="21">
        <v>26.097300000000001</v>
      </c>
      <c r="AS341" s="21">
        <v>-1.3894699999999999E-2</v>
      </c>
      <c r="AT341" s="21">
        <v>331</v>
      </c>
      <c r="AU341" s="21">
        <v>-1.7105100000000002E-2</v>
      </c>
      <c r="AV341">
        <f t="shared" si="68"/>
        <v>17.153950617283947</v>
      </c>
      <c r="AW341">
        <f t="shared" si="69"/>
        <v>-0.28792391492592584</v>
      </c>
      <c r="AX341" s="9"/>
      <c r="AY341" s="21">
        <v>1.56677</v>
      </c>
      <c r="AZ341" s="21">
        <v>29.6144</v>
      </c>
      <c r="BA341" s="21">
        <v>-9.1461200000000006E-3</v>
      </c>
      <c r="BB341" s="21">
        <v>331</v>
      </c>
      <c r="BC341" s="21">
        <v>1.56616</v>
      </c>
      <c r="BD341">
        <f t="shared" si="70"/>
        <v>11.291506172839506</v>
      </c>
      <c r="BE341">
        <f t="shared" si="71"/>
        <v>17.691193126419755</v>
      </c>
    </row>
    <row r="342" spans="6:57" x14ac:dyDescent="0.25">
      <c r="F342" s="9"/>
      <c r="G342" s="21">
        <v>-2.1820099999999999E-2</v>
      </c>
      <c r="H342" s="21">
        <v>8.5899000000000001</v>
      </c>
      <c r="I342" s="21">
        <v>-1.39343E-2</v>
      </c>
      <c r="J342" s="21">
        <v>332</v>
      </c>
      <c r="K342" s="21">
        <v>-2.2091699999999999E-2</v>
      </c>
      <c r="L342">
        <f t="shared" si="60"/>
        <v>17.202839506172836</v>
      </c>
      <c r="M342">
        <f t="shared" si="61"/>
        <v>-0.37536767830864187</v>
      </c>
      <c r="N342" s="9"/>
      <c r="O342" s="21">
        <v>1.5718099999999999</v>
      </c>
      <c r="P342" s="21">
        <v>12.106999999999999</v>
      </c>
      <c r="Q342" s="21">
        <v>-8.7249800000000002E-3</v>
      </c>
      <c r="R342" s="21">
        <v>332</v>
      </c>
      <c r="S342" s="21">
        <v>1.57043</v>
      </c>
      <c r="T342">
        <f t="shared" si="62"/>
        <v>10.77158024691358</v>
      </c>
      <c r="U342">
        <f t="shared" si="63"/>
        <v>16.930877547901233</v>
      </c>
      <c r="X342" s="9"/>
      <c r="Y342" s="21">
        <v>-2.1820099999999999E-2</v>
      </c>
      <c r="Z342" s="21">
        <v>17.3491</v>
      </c>
      <c r="AA342" s="21">
        <v>-1.3964799999999999E-2</v>
      </c>
      <c r="AB342" s="21">
        <v>332</v>
      </c>
      <c r="AC342" s="21">
        <v>-2.20612E-2</v>
      </c>
      <c r="AD342">
        <f t="shared" si="64"/>
        <v>17.240493827160492</v>
      </c>
      <c r="AE342">
        <f t="shared" si="65"/>
        <v>-0.37618929935802464</v>
      </c>
      <c r="AF342" s="9"/>
      <c r="AG342" s="21">
        <v>1.5718099999999999</v>
      </c>
      <c r="AH342" s="21">
        <v>20.866199999999999</v>
      </c>
      <c r="AI342" s="21">
        <v>-8.9416500000000006E-3</v>
      </c>
      <c r="AJ342" s="21">
        <v>332</v>
      </c>
      <c r="AK342" s="21">
        <v>1.57135</v>
      </c>
      <c r="AL342">
        <f t="shared" si="66"/>
        <v>11.039074074074074</v>
      </c>
      <c r="AM342">
        <f t="shared" si="67"/>
        <v>17.35132702037037</v>
      </c>
      <c r="AP342" s="9"/>
      <c r="AQ342" s="21">
        <v>-2.1820099999999999E-2</v>
      </c>
      <c r="AR342" s="21">
        <v>26.107299999999999</v>
      </c>
      <c r="AS342" s="21">
        <v>-1.3909899999999999E-2</v>
      </c>
      <c r="AT342" s="21">
        <v>332</v>
      </c>
      <c r="AU342" s="21">
        <v>-2.2174099999999999E-2</v>
      </c>
      <c r="AV342">
        <f t="shared" si="68"/>
        <v>17.172716049382714</v>
      </c>
      <c r="AW342">
        <f t="shared" si="69"/>
        <v>-0.37471038146913571</v>
      </c>
      <c r="AX342" s="9"/>
      <c r="AY342" s="21">
        <v>1.5718099999999999</v>
      </c>
      <c r="AZ342" s="21">
        <v>29.624500000000001</v>
      </c>
      <c r="BA342" s="21">
        <v>-8.9202900000000009E-3</v>
      </c>
      <c r="BB342" s="21">
        <v>332</v>
      </c>
      <c r="BC342" s="21">
        <v>1.57074</v>
      </c>
      <c r="BD342">
        <f t="shared" si="70"/>
        <v>11.012703703703703</v>
      </c>
      <c r="BE342">
        <f t="shared" si="71"/>
        <v>17.309877808518518</v>
      </c>
    </row>
    <row r="343" spans="6:57" x14ac:dyDescent="0.25">
      <c r="F343" s="9"/>
      <c r="G343" s="21">
        <v>-2.6855500000000001E-2</v>
      </c>
      <c r="H343" s="21">
        <v>8.5999700000000008</v>
      </c>
      <c r="I343" s="21">
        <v>-1.3937400000000001E-2</v>
      </c>
      <c r="J343" s="21">
        <v>333</v>
      </c>
      <c r="K343" s="21">
        <v>-2.7127100000000001E-2</v>
      </c>
      <c r="L343">
        <f t="shared" si="60"/>
        <v>17.206666666666667</v>
      </c>
      <c r="M343">
        <f t="shared" si="61"/>
        <v>-0.4620936366666667</v>
      </c>
      <c r="N343" s="9"/>
      <c r="O343" s="21">
        <v>1.57684</v>
      </c>
      <c r="P343" s="21">
        <v>12.117000000000001</v>
      </c>
      <c r="Q343" s="21">
        <v>-8.4747299999999998E-3</v>
      </c>
      <c r="R343" s="21">
        <v>333</v>
      </c>
      <c r="S343" s="21">
        <v>1.57562</v>
      </c>
      <c r="T343">
        <f t="shared" si="62"/>
        <v>10.462629629629628</v>
      </c>
      <c r="U343">
        <f t="shared" si="63"/>
        <v>16.497892905185182</v>
      </c>
      <c r="X343" s="9"/>
      <c r="Y343" s="21">
        <v>-2.6855500000000001E-2</v>
      </c>
      <c r="Z343" s="21">
        <v>17.359200000000001</v>
      </c>
      <c r="AA343" s="21">
        <v>-1.39679E-2</v>
      </c>
      <c r="AB343" s="21">
        <v>333</v>
      </c>
      <c r="AC343" s="21">
        <v>-2.7069099999999999E-2</v>
      </c>
      <c r="AD343">
        <f t="shared" si="64"/>
        <v>17.244320987654319</v>
      </c>
      <c r="AE343">
        <f t="shared" si="65"/>
        <v>-0.46310486228395059</v>
      </c>
      <c r="AF343" s="9"/>
      <c r="AG343" s="21">
        <v>1.57684</v>
      </c>
      <c r="AH343" s="21">
        <v>20.876200000000001</v>
      </c>
      <c r="AI343" s="21">
        <v>-8.6975100000000003E-3</v>
      </c>
      <c r="AJ343" s="21">
        <v>333</v>
      </c>
      <c r="AK343" s="21">
        <v>1.5759300000000001</v>
      </c>
      <c r="AL343">
        <f t="shared" si="66"/>
        <v>10.737666666666666</v>
      </c>
      <c r="AM343">
        <f t="shared" si="67"/>
        <v>16.931582306666666</v>
      </c>
      <c r="AP343" s="9"/>
      <c r="AQ343" s="21">
        <v>-2.6855500000000001E-2</v>
      </c>
      <c r="AR343" s="21">
        <v>26.1174</v>
      </c>
      <c r="AS343" s="21">
        <v>-1.39252E-2</v>
      </c>
      <c r="AT343" s="21">
        <v>333</v>
      </c>
      <c r="AU343" s="21">
        <v>-2.70905E-2</v>
      </c>
      <c r="AV343">
        <f t="shared" si="68"/>
        <v>17.191604938271606</v>
      </c>
      <c r="AW343">
        <f t="shared" si="69"/>
        <v>-0.46168914641975312</v>
      </c>
      <c r="AX343" s="9"/>
      <c r="AY343" s="21">
        <v>1.57684</v>
      </c>
      <c r="AZ343" s="21">
        <v>29.634499999999999</v>
      </c>
      <c r="BA343" s="21">
        <v>-8.6761500000000005E-3</v>
      </c>
      <c r="BB343" s="21">
        <v>333</v>
      </c>
      <c r="BC343" s="21">
        <v>1.5765400000000001</v>
      </c>
      <c r="BD343">
        <f t="shared" si="70"/>
        <v>10.711296296296297</v>
      </c>
      <c r="BE343">
        <f t="shared" si="71"/>
        <v>16.890000451851854</v>
      </c>
    </row>
    <row r="344" spans="6:57" x14ac:dyDescent="0.25">
      <c r="F344" s="9"/>
      <c r="G344" s="21">
        <v>-3.18909E-2</v>
      </c>
      <c r="H344" s="21">
        <v>8.6100399999999997</v>
      </c>
      <c r="I344" s="21">
        <v>-1.3943499999999999E-2</v>
      </c>
      <c r="J344" s="21">
        <v>334</v>
      </c>
      <c r="K344" s="21">
        <v>-3.2196000000000002E-2</v>
      </c>
      <c r="L344">
        <f t="shared" si="60"/>
        <v>17.214197530864197</v>
      </c>
      <c r="M344">
        <f t="shared" si="61"/>
        <v>-0.54897625203703704</v>
      </c>
      <c r="N344" s="9"/>
      <c r="O344" s="21">
        <v>1.58188</v>
      </c>
      <c r="P344" s="21">
        <v>12.1271</v>
      </c>
      <c r="Q344" s="21">
        <v>-8.1970199999999993E-3</v>
      </c>
      <c r="R344" s="21">
        <v>334</v>
      </c>
      <c r="S344" s="21">
        <v>1.5811200000000001</v>
      </c>
      <c r="T344">
        <f t="shared" si="62"/>
        <v>10.119777777777776</v>
      </c>
      <c r="U344">
        <f t="shared" si="63"/>
        <v>16.008274071111106</v>
      </c>
      <c r="X344" s="9"/>
      <c r="Y344" s="21">
        <v>-3.18909E-2</v>
      </c>
      <c r="Z344" s="21">
        <v>17.369199999999999</v>
      </c>
      <c r="AA344" s="21">
        <v>-1.3977099999999999E-2</v>
      </c>
      <c r="AB344" s="21">
        <v>334</v>
      </c>
      <c r="AC344" s="21">
        <v>-3.2186899999999997E-2</v>
      </c>
      <c r="AD344">
        <f t="shared" si="64"/>
        <v>17.255679012345677</v>
      </c>
      <c r="AE344">
        <f t="shared" si="65"/>
        <v>-0.55029913381481477</v>
      </c>
      <c r="AF344" s="9"/>
      <c r="AG344" s="21">
        <v>1.58188</v>
      </c>
      <c r="AH344" s="21">
        <v>20.886299999999999</v>
      </c>
      <c r="AI344" s="21">
        <v>-8.4381100000000004E-3</v>
      </c>
      <c r="AJ344" s="21">
        <v>334</v>
      </c>
      <c r="AK344" s="21">
        <v>1.58142</v>
      </c>
      <c r="AL344">
        <f t="shared" si="66"/>
        <v>10.417419753086421</v>
      </c>
      <c r="AM344">
        <f t="shared" si="67"/>
        <v>16.479107959012346</v>
      </c>
      <c r="AP344" s="9"/>
      <c r="AQ344" s="21">
        <v>-3.18909E-2</v>
      </c>
      <c r="AR344" s="21">
        <v>26.127500000000001</v>
      </c>
      <c r="AS344" s="21">
        <v>-1.3937400000000001E-2</v>
      </c>
      <c r="AT344" s="21">
        <v>334</v>
      </c>
      <c r="AU344" s="21">
        <v>-3.2153300000000003E-2</v>
      </c>
      <c r="AV344">
        <f t="shared" si="68"/>
        <v>17.206666666666667</v>
      </c>
      <c r="AW344">
        <f t="shared" si="69"/>
        <v>-0.54873608600000001</v>
      </c>
      <c r="AX344" s="9"/>
      <c r="AY344" s="21">
        <v>1.58188</v>
      </c>
      <c r="AZ344" s="21">
        <v>29.644600000000001</v>
      </c>
      <c r="BA344" s="21">
        <v>-8.4045400000000003E-3</v>
      </c>
      <c r="BB344" s="21">
        <v>334</v>
      </c>
      <c r="BC344" s="21">
        <v>1.5811200000000001</v>
      </c>
      <c r="BD344">
        <f t="shared" si="70"/>
        <v>10.375975308641976</v>
      </c>
      <c r="BE344">
        <f t="shared" si="71"/>
        <v>16.41354782123457</v>
      </c>
    </row>
    <row r="345" spans="6:57" x14ac:dyDescent="0.25">
      <c r="F345" s="9"/>
      <c r="G345" s="21">
        <v>-3.6926300000000002E-2</v>
      </c>
      <c r="H345" s="21">
        <v>8.6201100000000004</v>
      </c>
      <c r="I345" s="21">
        <v>-1.3946500000000001E-2</v>
      </c>
      <c r="J345" s="21">
        <v>335</v>
      </c>
      <c r="K345" s="21">
        <v>-3.7204000000000001E-2</v>
      </c>
      <c r="L345">
        <f t="shared" si="60"/>
        <v>17.217901234567901</v>
      </c>
      <c r="M345">
        <f t="shared" si="61"/>
        <v>-0.63579338635802474</v>
      </c>
      <c r="N345" s="9"/>
      <c r="O345" s="21">
        <v>1.58691</v>
      </c>
      <c r="P345" s="21">
        <v>12.1372</v>
      </c>
      <c r="Q345" s="21">
        <v>-7.8857400000000005E-3</v>
      </c>
      <c r="R345" s="21">
        <v>335</v>
      </c>
      <c r="S345" s="21">
        <v>1.5860000000000001</v>
      </c>
      <c r="T345">
        <f t="shared" si="62"/>
        <v>9.7354814814814823</v>
      </c>
      <c r="U345">
        <f t="shared" si="63"/>
        <v>15.449332917777779</v>
      </c>
      <c r="X345" s="9"/>
      <c r="Y345" s="21">
        <v>-3.6926300000000002E-2</v>
      </c>
      <c r="Z345" s="21">
        <v>17.379300000000001</v>
      </c>
      <c r="AA345" s="21">
        <v>-1.3992299999999999E-2</v>
      </c>
      <c r="AB345" s="21">
        <v>335</v>
      </c>
      <c r="AC345" s="21">
        <v>-3.7173499999999998E-2</v>
      </c>
      <c r="AD345">
        <f t="shared" si="64"/>
        <v>17.274444444444445</v>
      </c>
      <c r="AE345">
        <f t="shared" si="65"/>
        <v>-0.63788131788888891</v>
      </c>
      <c r="AF345" s="9"/>
      <c r="AG345" s="21">
        <v>1.58691</v>
      </c>
      <c r="AH345" s="21">
        <v>20.8964</v>
      </c>
      <c r="AI345" s="21">
        <v>-8.1268299999999998E-3</v>
      </c>
      <c r="AJ345" s="21">
        <v>335</v>
      </c>
      <c r="AK345" s="21">
        <v>1.5860000000000001</v>
      </c>
      <c r="AL345">
        <f t="shared" si="66"/>
        <v>10.033123456790122</v>
      </c>
      <c r="AM345">
        <f t="shared" si="67"/>
        <v>15.921663944814814</v>
      </c>
      <c r="AP345" s="9"/>
      <c r="AQ345" s="21">
        <v>-3.6926300000000002E-2</v>
      </c>
      <c r="AR345" s="21">
        <v>26.137499999999999</v>
      </c>
      <c r="AS345" s="21">
        <v>-1.39496E-2</v>
      </c>
      <c r="AT345" s="21">
        <v>335</v>
      </c>
      <c r="AU345" s="21">
        <v>-3.7368800000000001E-2</v>
      </c>
      <c r="AV345">
        <f t="shared" si="68"/>
        <v>17.221728395061724</v>
      </c>
      <c r="AW345">
        <f t="shared" si="69"/>
        <v>-0.63593470923456774</v>
      </c>
      <c r="AX345" s="9"/>
      <c r="AY345" s="21">
        <v>1.58691</v>
      </c>
      <c r="AZ345" s="21">
        <v>29.654699999999998</v>
      </c>
      <c r="BA345" s="21">
        <v>-8.1146199999999995E-3</v>
      </c>
      <c r="BB345" s="21">
        <v>335</v>
      </c>
      <c r="BC345" s="21">
        <v>1.58569</v>
      </c>
      <c r="BD345">
        <f t="shared" si="70"/>
        <v>10.018049382716047</v>
      </c>
      <c r="BE345">
        <f t="shared" si="71"/>
        <v>15.897742745925923</v>
      </c>
    </row>
    <row r="346" spans="6:57" x14ac:dyDescent="0.25">
      <c r="F346" s="9"/>
      <c r="G346" s="21">
        <v>-4.1961699999999998E-2</v>
      </c>
      <c r="H346" s="21">
        <v>8.6301799999999993</v>
      </c>
      <c r="I346" s="21">
        <v>-1.3952600000000001E-2</v>
      </c>
      <c r="J346" s="21">
        <v>336</v>
      </c>
      <c r="K346" s="21">
        <v>-4.22943E-2</v>
      </c>
      <c r="L346">
        <f t="shared" si="60"/>
        <v>17.225432098765431</v>
      </c>
      <c r="M346">
        <f t="shared" si="61"/>
        <v>-0.72280841409876539</v>
      </c>
      <c r="N346" s="9"/>
      <c r="O346" s="21">
        <v>1.59195</v>
      </c>
      <c r="P346" s="21">
        <v>12.1472</v>
      </c>
      <c r="Q346" s="21">
        <v>-7.5286900000000002E-3</v>
      </c>
      <c r="R346" s="21">
        <v>336</v>
      </c>
      <c r="S346" s="21">
        <v>1.5911900000000001</v>
      </c>
      <c r="T346">
        <f t="shared" si="62"/>
        <v>9.2946790123456786</v>
      </c>
      <c r="U346">
        <f t="shared" si="63"/>
        <v>14.796664253703703</v>
      </c>
      <c r="X346" s="9"/>
      <c r="Y346" s="21">
        <v>-4.1961699999999998E-2</v>
      </c>
      <c r="Z346" s="21">
        <v>17.389399999999998</v>
      </c>
      <c r="AA346" s="21">
        <v>-1.40045E-2</v>
      </c>
      <c r="AB346" s="21">
        <v>336</v>
      </c>
      <c r="AC346" s="21">
        <v>-4.2269899999999999E-2</v>
      </c>
      <c r="AD346">
        <f t="shared" si="64"/>
        <v>17.289506172839506</v>
      </c>
      <c r="AE346">
        <f t="shared" si="65"/>
        <v>-0.72549707117283946</v>
      </c>
      <c r="AF346" s="9"/>
      <c r="AG346" s="21">
        <v>1.59195</v>
      </c>
      <c r="AH346" s="21">
        <v>20.906400000000001</v>
      </c>
      <c r="AI346" s="21">
        <v>-7.7941900000000003E-3</v>
      </c>
      <c r="AJ346" s="21">
        <v>336</v>
      </c>
      <c r="AK346" s="21">
        <v>1.5911900000000001</v>
      </c>
      <c r="AL346">
        <f t="shared" si="66"/>
        <v>9.6224567901234561</v>
      </c>
      <c r="AM346">
        <f t="shared" si="67"/>
        <v>15.318470087037035</v>
      </c>
      <c r="AP346" s="9"/>
      <c r="AQ346" s="21">
        <v>-4.1961699999999998E-2</v>
      </c>
      <c r="AR346" s="21">
        <v>26.147600000000001</v>
      </c>
      <c r="AS346" s="21">
        <v>-1.39496E-2</v>
      </c>
      <c r="AT346" s="21">
        <v>336</v>
      </c>
      <c r="AU346" s="21">
        <v>-4.2282100000000003E-2</v>
      </c>
      <c r="AV346">
        <f t="shared" si="68"/>
        <v>17.221728395061724</v>
      </c>
      <c r="AW346">
        <f t="shared" si="69"/>
        <v>-0.72265300039506153</v>
      </c>
      <c r="AX346" s="9"/>
      <c r="AY346" s="21">
        <v>1.59195</v>
      </c>
      <c r="AZ346" s="21">
        <v>29.6647</v>
      </c>
      <c r="BA346" s="21">
        <v>-7.7911400000000002E-3</v>
      </c>
      <c r="BB346" s="21">
        <v>336</v>
      </c>
      <c r="BC346" s="21">
        <v>1.5911900000000001</v>
      </c>
      <c r="BD346">
        <f t="shared" si="70"/>
        <v>9.6186913580246909</v>
      </c>
      <c r="BE346">
        <f t="shared" si="71"/>
        <v>15.312475707407406</v>
      </c>
    </row>
    <row r="347" spans="6:57" x14ac:dyDescent="0.25">
      <c r="F347" s="9"/>
      <c r="G347" s="21">
        <v>-4.69971E-2</v>
      </c>
      <c r="H347" s="21">
        <v>8.64025</v>
      </c>
      <c r="I347" s="21">
        <v>-1.3958699999999999E-2</v>
      </c>
      <c r="J347" s="21">
        <v>337</v>
      </c>
      <c r="K347" s="21">
        <v>-4.7329700000000002E-2</v>
      </c>
      <c r="L347">
        <f t="shared" si="60"/>
        <v>17.232962962962961</v>
      </c>
      <c r="M347">
        <f t="shared" si="61"/>
        <v>-0.80989928366666664</v>
      </c>
      <c r="N347" s="9"/>
      <c r="O347" s="21">
        <v>1.5969800000000001</v>
      </c>
      <c r="P347" s="21">
        <v>12.157299999999999</v>
      </c>
      <c r="Q347" s="21">
        <v>-7.1472200000000001E-3</v>
      </c>
      <c r="R347" s="21">
        <v>337</v>
      </c>
      <c r="S347" s="21">
        <v>1.5957600000000001</v>
      </c>
      <c r="T347">
        <f t="shared" si="62"/>
        <v>8.8237283950617282</v>
      </c>
      <c r="U347">
        <f t="shared" si="63"/>
        <v>14.091317772345679</v>
      </c>
      <c r="X347" s="9"/>
      <c r="Y347" s="21">
        <v>-4.69971E-2</v>
      </c>
      <c r="Z347" s="21">
        <v>17.3995</v>
      </c>
      <c r="AA347" s="21">
        <v>-1.40076E-2</v>
      </c>
      <c r="AB347" s="21">
        <v>337</v>
      </c>
      <c r="AC347" s="21">
        <v>-4.7338900000000003E-2</v>
      </c>
      <c r="AD347">
        <f t="shared" si="64"/>
        <v>17.293333333333333</v>
      </c>
      <c r="AE347">
        <f t="shared" si="65"/>
        <v>-0.81273651599999996</v>
      </c>
      <c r="AF347" s="9"/>
      <c r="AG347" s="21">
        <v>1.5969800000000001</v>
      </c>
      <c r="AH347" s="21">
        <v>20.916499999999999</v>
      </c>
      <c r="AI347" s="21">
        <v>-7.4127200000000002E-3</v>
      </c>
      <c r="AJ347" s="21">
        <v>337</v>
      </c>
      <c r="AK347" s="21">
        <v>1.5963700000000001</v>
      </c>
      <c r="AL347">
        <f t="shared" si="66"/>
        <v>9.1515061728395057</v>
      </c>
      <c r="AM347">
        <f t="shared" si="67"/>
        <v>14.614772327901234</v>
      </c>
      <c r="AP347" s="9"/>
      <c r="AQ347" s="21">
        <v>-4.69971E-2</v>
      </c>
      <c r="AR347" s="21">
        <v>26.157699999999998</v>
      </c>
      <c r="AS347" s="21">
        <v>-1.3943499999999999E-2</v>
      </c>
      <c r="AT347" s="21">
        <v>337</v>
      </c>
      <c r="AU347" s="21">
        <v>-4.7442600000000001E-2</v>
      </c>
      <c r="AV347">
        <f t="shared" si="68"/>
        <v>17.214197530864197</v>
      </c>
      <c r="AW347">
        <f t="shared" si="69"/>
        <v>-0.8090173627777778</v>
      </c>
      <c r="AX347" s="9"/>
      <c r="AY347" s="21">
        <v>1.5969800000000001</v>
      </c>
      <c r="AZ347" s="21">
        <v>29.674800000000001</v>
      </c>
      <c r="BA347" s="21">
        <v>-7.4462900000000004E-3</v>
      </c>
      <c r="BB347" s="21">
        <v>337</v>
      </c>
      <c r="BC347" s="21">
        <v>1.5960700000000001</v>
      </c>
      <c r="BD347">
        <f t="shared" si="70"/>
        <v>9.1929506172839499</v>
      </c>
      <c r="BE347">
        <f t="shared" si="71"/>
        <v>14.680958276790124</v>
      </c>
    </row>
    <row r="348" spans="6:57" x14ac:dyDescent="0.25">
      <c r="F348" s="9"/>
      <c r="G348" s="21">
        <v>-5.2032500000000002E-2</v>
      </c>
      <c r="H348" s="21">
        <v>8.6503200000000007</v>
      </c>
      <c r="I348" s="21">
        <v>-1.3964799999999999E-2</v>
      </c>
      <c r="J348" s="21">
        <v>338</v>
      </c>
      <c r="K348" s="21">
        <v>-5.2490200000000001E-2</v>
      </c>
      <c r="L348">
        <f t="shared" si="60"/>
        <v>17.240493827160492</v>
      </c>
      <c r="M348">
        <f t="shared" si="61"/>
        <v>-0.89706599506172835</v>
      </c>
      <c r="N348" s="9"/>
      <c r="O348" s="21">
        <v>1.60202</v>
      </c>
      <c r="P348" s="21">
        <v>12.167400000000001</v>
      </c>
      <c r="Q348" s="21">
        <v>-6.7199699999999996E-3</v>
      </c>
      <c r="R348" s="21">
        <v>338</v>
      </c>
      <c r="S348" s="21">
        <v>1.6015600000000001</v>
      </c>
      <c r="T348">
        <f t="shared" si="62"/>
        <v>8.2962592592592586</v>
      </c>
      <c r="U348">
        <f t="shared" si="63"/>
        <v>13.290773258518517</v>
      </c>
      <c r="X348" s="9"/>
      <c r="Y348" s="21">
        <v>-5.2032500000000002E-2</v>
      </c>
      <c r="Z348" s="21">
        <v>17.409500000000001</v>
      </c>
      <c r="AA348" s="21">
        <v>-1.40076E-2</v>
      </c>
      <c r="AB348" s="21">
        <v>338</v>
      </c>
      <c r="AC348" s="21">
        <v>-5.2520799999999999E-2</v>
      </c>
      <c r="AD348">
        <f t="shared" si="64"/>
        <v>17.293333333333333</v>
      </c>
      <c r="AE348">
        <f t="shared" si="65"/>
        <v>-0.89981536666666673</v>
      </c>
      <c r="AF348" s="9"/>
      <c r="AG348" s="21">
        <v>1.60202</v>
      </c>
      <c r="AH348" s="21">
        <v>20.926600000000001</v>
      </c>
      <c r="AI348" s="21">
        <v>-7.0068400000000003E-3</v>
      </c>
      <c r="AJ348" s="21">
        <v>338</v>
      </c>
      <c r="AK348" s="21">
        <v>1.6015600000000001</v>
      </c>
      <c r="AL348">
        <f t="shared" si="66"/>
        <v>8.6504197530864193</v>
      </c>
      <c r="AM348">
        <f t="shared" si="67"/>
        <v>13.858145452839505</v>
      </c>
      <c r="AP348" s="9"/>
      <c r="AQ348" s="21">
        <v>-5.2032500000000002E-2</v>
      </c>
      <c r="AR348" s="21">
        <v>26.1677</v>
      </c>
      <c r="AS348" s="21">
        <v>-1.3943499999999999E-2</v>
      </c>
      <c r="AT348" s="21">
        <v>338</v>
      </c>
      <c r="AU348" s="21">
        <v>-5.2520799999999999E-2</v>
      </c>
      <c r="AV348">
        <f t="shared" si="68"/>
        <v>17.214197530864197</v>
      </c>
      <c r="AW348">
        <f t="shared" si="69"/>
        <v>-0.89569773302469136</v>
      </c>
      <c r="AX348" s="9"/>
      <c r="AY348" s="21">
        <v>1.60202</v>
      </c>
      <c r="AZ348" s="21">
        <v>29.684899999999999</v>
      </c>
      <c r="BA348" s="21">
        <v>-7.0465099999999998E-3</v>
      </c>
      <c r="BB348" s="21">
        <v>338</v>
      </c>
      <c r="BC348" s="21">
        <v>1.6015600000000001</v>
      </c>
      <c r="BD348">
        <f t="shared" si="70"/>
        <v>8.6993950617283939</v>
      </c>
      <c r="BE348">
        <f t="shared" si="71"/>
        <v>13.936604876790122</v>
      </c>
    </row>
    <row r="349" spans="6:57" x14ac:dyDescent="0.25">
      <c r="F349" s="9"/>
      <c r="G349" s="21">
        <v>-5.7067899999999998E-2</v>
      </c>
      <c r="H349" s="21">
        <v>8.6603899999999996</v>
      </c>
      <c r="I349" s="21">
        <v>-1.3974E-2</v>
      </c>
      <c r="J349" s="21">
        <v>339</v>
      </c>
      <c r="K349" s="21">
        <v>-5.74951E-2</v>
      </c>
      <c r="L349">
        <f t="shared" si="60"/>
        <v>17.251851851851853</v>
      </c>
      <c r="M349">
        <f t="shared" si="61"/>
        <v>-0.98452695629629638</v>
      </c>
      <c r="N349" s="9"/>
      <c r="O349" s="21">
        <v>1.6070599999999999</v>
      </c>
      <c r="P349" s="21">
        <v>12.1775</v>
      </c>
      <c r="Q349" s="21">
        <v>-6.2469500000000002E-3</v>
      </c>
      <c r="R349" s="21">
        <v>339</v>
      </c>
      <c r="S349" s="21">
        <v>1.6064499999999999</v>
      </c>
      <c r="T349">
        <f t="shared" si="62"/>
        <v>7.7122839506172838</v>
      </c>
      <c r="U349">
        <f t="shared" si="63"/>
        <v>12.394103045679012</v>
      </c>
      <c r="X349" s="9"/>
      <c r="Y349" s="21">
        <v>-5.7067899999999998E-2</v>
      </c>
      <c r="Z349" s="21">
        <v>17.419599999999999</v>
      </c>
      <c r="AA349" s="21">
        <v>-1.40137E-2</v>
      </c>
      <c r="AB349" s="21">
        <v>339</v>
      </c>
      <c r="AC349" s="21">
        <v>-5.7525600000000003E-2</v>
      </c>
      <c r="AD349">
        <f t="shared" si="64"/>
        <v>17.300864197530863</v>
      </c>
      <c r="AE349">
        <f t="shared" si="65"/>
        <v>-0.98732398793827147</v>
      </c>
      <c r="AF349" s="9"/>
      <c r="AG349" s="21">
        <v>1.6070599999999999</v>
      </c>
      <c r="AH349" s="21">
        <v>20.936699999999998</v>
      </c>
      <c r="AI349" s="21">
        <v>-6.5521199999999998E-3</v>
      </c>
      <c r="AJ349" s="21">
        <v>339</v>
      </c>
      <c r="AK349" s="21">
        <v>1.6064499999999999</v>
      </c>
      <c r="AL349">
        <f t="shared" si="66"/>
        <v>8.0890370370370377</v>
      </c>
      <c r="AM349">
        <f t="shared" si="67"/>
        <v>12.999567860740742</v>
      </c>
      <c r="AP349" s="9"/>
      <c r="AQ349" s="21">
        <v>-5.7067899999999998E-2</v>
      </c>
      <c r="AR349" s="21">
        <v>26.177800000000001</v>
      </c>
      <c r="AS349" s="21">
        <v>-1.39496E-2</v>
      </c>
      <c r="AT349" s="21">
        <v>339</v>
      </c>
      <c r="AU349" s="21">
        <v>-5.7556200000000002E-2</v>
      </c>
      <c r="AV349">
        <f t="shared" si="68"/>
        <v>17.221728395061724</v>
      </c>
      <c r="AW349">
        <f t="shared" si="69"/>
        <v>-0.98280787387654289</v>
      </c>
      <c r="AX349" s="9"/>
      <c r="AY349" s="21">
        <v>1.6070599999999999</v>
      </c>
      <c r="AZ349" s="21">
        <v>29.695</v>
      </c>
      <c r="BA349" s="21">
        <v>-6.6070599999999997E-3</v>
      </c>
      <c r="BB349" s="21">
        <v>339</v>
      </c>
      <c r="BC349" s="21">
        <v>1.6061399999999999</v>
      </c>
      <c r="BD349">
        <f t="shared" si="70"/>
        <v>8.1568641975308633</v>
      </c>
      <c r="BE349">
        <f t="shared" si="71"/>
        <v>13.108570177283948</v>
      </c>
    </row>
    <row r="350" spans="6:57" x14ac:dyDescent="0.25">
      <c r="F350" s="9"/>
      <c r="G350" s="21">
        <v>-6.21033E-2</v>
      </c>
      <c r="H350" s="21">
        <v>8.6704600000000003</v>
      </c>
      <c r="I350" s="21">
        <v>-1.3974E-2</v>
      </c>
      <c r="J350" s="21">
        <v>340</v>
      </c>
      <c r="K350" s="21">
        <v>-6.2439000000000001E-2</v>
      </c>
      <c r="L350">
        <f t="shared" si="60"/>
        <v>17.251851851851853</v>
      </c>
      <c r="M350">
        <f t="shared" si="61"/>
        <v>-1.0713969311111111</v>
      </c>
      <c r="N350" s="9"/>
      <c r="O350" s="21">
        <v>1.61209</v>
      </c>
      <c r="P350" s="21">
        <v>12.1875</v>
      </c>
      <c r="Q350" s="21">
        <v>-5.7098399999999999E-3</v>
      </c>
      <c r="R350" s="21">
        <v>340</v>
      </c>
      <c r="S350" s="21">
        <v>1.6113299999999999</v>
      </c>
      <c r="T350">
        <f t="shared" si="62"/>
        <v>7.0491851851851841</v>
      </c>
      <c r="U350">
        <f t="shared" si="63"/>
        <v>11.363920945185184</v>
      </c>
      <c r="X350" s="9"/>
      <c r="Y350" s="21">
        <v>-6.21033E-2</v>
      </c>
      <c r="Z350" s="21">
        <v>17.4297</v>
      </c>
      <c r="AA350" s="21">
        <v>-1.4019800000000001E-2</v>
      </c>
      <c r="AB350" s="21">
        <v>340</v>
      </c>
      <c r="AC350" s="21">
        <v>-6.25E-2</v>
      </c>
      <c r="AD350">
        <f t="shared" si="64"/>
        <v>17.308395061728394</v>
      </c>
      <c r="AE350">
        <f t="shared" si="65"/>
        <v>-1.074908451037037</v>
      </c>
      <c r="AF350" s="9"/>
      <c r="AG350" s="21">
        <v>1.61209</v>
      </c>
      <c r="AH350" s="21">
        <v>20.9467</v>
      </c>
      <c r="AI350" s="21">
        <v>-6.0424800000000002E-3</v>
      </c>
      <c r="AJ350" s="21">
        <v>340</v>
      </c>
      <c r="AK350" s="21">
        <v>1.6110199999999999</v>
      </c>
      <c r="AL350">
        <f t="shared" si="66"/>
        <v>7.4598518518518517</v>
      </c>
      <c r="AM350">
        <f t="shared" si="67"/>
        <v>12.025952571851851</v>
      </c>
      <c r="AP350" s="9"/>
      <c r="AQ350" s="21">
        <v>-6.21033E-2</v>
      </c>
      <c r="AR350" s="21">
        <v>26.187899999999999</v>
      </c>
      <c r="AS350" s="21">
        <v>-1.3958699999999999E-2</v>
      </c>
      <c r="AT350" s="21">
        <v>340</v>
      </c>
      <c r="AU350" s="21">
        <v>-6.26221E-2</v>
      </c>
      <c r="AV350">
        <f t="shared" si="68"/>
        <v>17.232962962962961</v>
      </c>
      <c r="AW350">
        <f t="shared" si="69"/>
        <v>-1.0702238687777776</v>
      </c>
      <c r="AX350" s="9"/>
      <c r="AY350" s="21">
        <v>1.61209</v>
      </c>
      <c r="AZ350" s="21">
        <v>29.704999999999998</v>
      </c>
      <c r="BA350" s="21">
        <v>-6.0974100000000002E-3</v>
      </c>
      <c r="BB350" s="21">
        <v>340</v>
      </c>
      <c r="BC350" s="21">
        <v>1.6107199999999999</v>
      </c>
      <c r="BD350">
        <f t="shared" si="70"/>
        <v>7.5276666666666658</v>
      </c>
      <c r="BE350">
        <f t="shared" si="71"/>
        <v>12.135276156666665</v>
      </c>
    </row>
    <row r="351" spans="6:57" x14ac:dyDescent="0.25">
      <c r="F351" s="9"/>
      <c r="G351" s="21">
        <v>-6.7138699999999996E-2</v>
      </c>
      <c r="H351" s="21">
        <v>8.6805299999999992</v>
      </c>
      <c r="I351" s="21">
        <v>-1.3980100000000001E-2</v>
      </c>
      <c r="J351" s="21">
        <v>341</v>
      </c>
      <c r="K351" s="21">
        <v>-6.7504900000000007E-2</v>
      </c>
      <c r="L351">
        <f t="shared" si="60"/>
        <v>17.259382716049384</v>
      </c>
      <c r="M351">
        <f t="shared" si="61"/>
        <v>-1.1587725183580246</v>
      </c>
      <c r="N351" s="9"/>
      <c r="O351" s="21">
        <v>1.61713</v>
      </c>
      <c r="P351" s="21">
        <v>12.1976</v>
      </c>
      <c r="Q351" s="21">
        <v>-5.0933799999999998E-3</v>
      </c>
      <c r="R351" s="21">
        <v>341</v>
      </c>
      <c r="S351" s="21">
        <v>1.6168199999999999</v>
      </c>
      <c r="T351">
        <f t="shared" si="62"/>
        <v>6.2881234567901227</v>
      </c>
      <c r="U351">
        <f t="shared" si="63"/>
        <v>10.168713085679011</v>
      </c>
      <c r="X351" s="9"/>
      <c r="Y351" s="21">
        <v>-6.7138699999999996E-2</v>
      </c>
      <c r="Z351" s="21">
        <v>17.439699999999998</v>
      </c>
      <c r="AA351" s="21">
        <v>-1.40289E-2</v>
      </c>
      <c r="AB351" s="21">
        <v>341</v>
      </c>
      <c r="AC351" s="21">
        <v>-6.7596400000000001E-2</v>
      </c>
      <c r="AD351">
        <f t="shared" si="64"/>
        <v>17.319629629629631</v>
      </c>
      <c r="AE351">
        <f t="shared" si="65"/>
        <v>-1.1628174178148147</v>
      </c>
      <c r="AF351" s="9"/>
      <c r="AG351" s="21">
        <v>1.61713</v>
      </c>
      <c r="AH351" s="21">
        <v>20.956800000000001</v>
      </c>
      <c r="AI351" s="21">
        <v>-5.4443399999999998E-3</v>
      </c>
      <c r="AJ351" s="21">
        <v>341</v>
      </c>
      <c r="AK351" s="21">
        <v>1.61652</v>
      </c>
      <c r="AL351">
        <f t="shared" si="66"/>
        <v>6.7214074074074066</v>
      </c>
      <c r="AM351">
        <f t="shared" si="67"/>
        <v>10.869389560740739</v>
      </c>
      <c r="AP351" s="9"/>
      <c r="AQ351" s="21">
        <v>-6.7138699999999996E-2</v>
      </c>
      <c r="AR351" s="21">
        <v>26.198</v>
      </c>
      <c r="AS351" s="21">
        <v>-1.3974E-2</v>
      </c>
      <c r="AT351" s="21">
        <v>341</v>
      </c>
      <c r="AU351" s="21">
        <v>-6.7687999999999998E-2</v>
      </c>
      <c r="AV351">
        <f t="shared" si="68"/>
        <v>17.251851851851853</v>
      </c>
      <c r="AW351">
        <f t="shared" si="69"/>
        <v>-1.1582669059259258</v>
      </c>
      <c r="AX351" s="9"/>
      <c r="AY351" s="21">
        <v>1.61713</v>
      </c>
      <c r="AZ351" s="21">
        <v>29.7151</v>
      </c>
      <c r="BA351" s="21">
        <v>-5.5114700000000001E-3</v>
      </c>
      <c r="BB351" s="21">
        <v>341</v>
      </c>
      <c r="BC351" s="21">
        <v>1.6162099999999999</v>
      </c>
      <c r="BD351">
        <f t="shared" si="70"/>
        <v>6.8042839506172834</v>
      </c>
      <c r="BE351">
        <f t="shared" si="71"/>
        <v>11.003411705061728</v>
      </c>
    </row>
    <row r="352" spans="6:57" x14ac:dyDescent="0.25">
      <c r="F352" s="9"/>
      <c r="G352" s="21">
        <v>-7.2174100000000005E-2</v>
      </c>
      <c r="H352" s="21">
        <v>8.6906099999999995</v>
      </c>
      <c r="I352" s="21">
        <v>-1.39893E-2</v>
      </c>
      <c r="J352" s="21">
        <v>342</v>
      </c>
      <c r="K352" s="21">
        <v>-7.2601299999999994E-2</v>
      </c>
      <c r="L352">
        <f t="shared" si="60"/>
        <v>17.270740740740738</v>
      </c>
      <c r="M352">
        <f t="shared" si="61"/>
        <v>-1.2465001692962963</v>
      </c>
      <c r="N352" s="9"/>
      <c r="O352" s="21">
        <v>1.62216</v>
      </c>
      <c r="P352" s="21">
        <v>12.207700000000001</v>
      </c>
      <c r="Q352" s="21">
        <v>-4.3750000000000004E-3</v>
      </c>
      <c r="R352" s="21">
        <v>342</v>
      </c>
      <c r="S352" s="21">
        <v>1.6210899999999999</v>
      </c>
      <c r="T352">
        <f t="shared" si="62"/>
        <v>5.401234567901235</v>
      </c>
      <c r="U352">
        <f t="shared" si="63"/>
        <v>8.7616666666666685</v>
      </c>
      <c r="X352" s="9"/>
      <c r="Y352" s="21">
        <v>-7.2174100000000005E-2</v>
      </c>
      <c r="Z352" s="21">
        <v>17.4498</v>
      </c>
      <c r="AA352" s="21">
        <v>-1.40381E-2</v>
      </c>
      <c r="AB352" s="21">
        <v>342</v>
      </c>
      <c r="AC352" s="21">
        <v>-7.2570800000000005E-2</v>
      </c>
      <c r="AD352">
        <f t="shared" si="64"/>
        <v>17.330987654320985</v>
      </c>
      <c r="AE352">
        <f t="shared" si="65"/>
        <v>-1.2508484360617282</v>
      </c>
      <c r="AF352" s="9"/>
      <c r="AG352" s="21">
        <v>1.62216</v>
      </c>
      <c r="AH352" s="21">
        <v>20.966899999999999</v>
      </c>
      <c r="AI352" s="21">
        <v>-4.7903399999999997E-3</v>
      </c>
      <c r="AJ352" s="21">
        <v>342</v>
      </c>
      <c r="AK352" s="21">
        <v>1.6214</v>
      </c>
      <c r="AL352">
        <f t="shared" si="66"/>
        <v>5.9139999999999988</v>
      </c>
      <c r="AM352">
        <f t="shared" si="67"/>
        <v>9.593454239999998</v>
      </c>
      <c r="AP352" s="9"/>
      <c r="AQ352" s="21">
        <v>-7.2174100000000005E-2</v>
      </c>
      <c r="AR352" s="21">
        <v>26.207999999999998</v>
      </c>
      <c r="AS352" s="21">
        <v>-1.3983199999999999E-2</v>
      </c>
      <c r="AT352" s="21">
        <v>342</v>
      </c>
      <c r="AU352" s="21">
        <v>-7.2631799999999996E-2</v>
      </c>
      <c r="AV352">
        <f t="shared" si="68"/>
        <v>17.263209876543208</v>
      </c>
      <c r="AW352">
        <f t="shared" si="69"/>
        <v>-1.2459566359506171</v>
      </c>
      <c r="AX352" s="9"/>
      <c r="AY352" s="21">
        <v>1.62216</v>
      </c>
      <c r="AZ352" s="21">
        <v>29.725200000000001</v>
      </c>
      <c r="BA352" s="21">
        <v>-4.8440599999999999E-3</v>
      </c>
      <c r="BB352" s="21">
        <v>342</v>
      </c>
      <c r="BC352" s="21">
        <v>1.6214</v>
      </c>
      <c r="BD352">
        <f t="shared" si="70"/>
        <v>5.98032098765432</v>
      </c>
      <c r="BE352">
        <f t="shared" si="71"/>
        <v>9.7010374933333328</v>
      </c>
    </row>
    <row r="353" spans="6:57" x14ac:dyDescent="0.25">
      <c r="F353" s="9"/>
      <c r="G353" s="21">
        <v>-7.72095E-2</v>
      </c>
      <c r="H353" s="21">
        <v>8.7006800000000002</v>
      </c>
      <c r="I353" s="21">
        <v>-1.39893E-2</v>
      </c>
      <c r="J353" s="21">
        <v>343</v>
      </c>
      <c r="K353" s="21">
        <v>-7.7667200000000006E-2</v>
      </c>
      <c r="L353">
        <f t="shared" si="60"/>
        <v>17.270740740740738</v>
      </c>
      <c r="M353">
        <f t="shared" si="61"/>
        <v>-1.3334652572222221</v>
      </c>
      <c r="N353" s="9"/>
      <c r="O353" s="21">
        <v>1.6272</v>
      </c>
      <c r="P353" s="21">
        <v>12.217700000000001</v>
      </c>
      <c r="Q353" s="21">
        <v>-3.5354599999999998E-3</v>
      </c>
      <c r="R353" s="21">
        <v>343</v>
      </c>
      <c r="S353" s="21">
        <v>1.6262799999999999</v>
      </c>
      <c r="T353">
        <f t="shared" si="62"/>
        <v>4.364765432098765</v>
      </c>
      <c r="U353">
        <f t="shared" si="63"/>
        <v>7.10234631111111</v>
      </c>
      <c r="X353" s="9"/>
      <c r="Y353" s="21">
        <v>-7.72095E-2</v>
      </c>
      <c r="Z353" s="21">
        <v>17.459900000000001</v>
      </c>
      <c r="AA353" s="21">
        <v>-1.4047199999999999E-2</v>
      </c>
      <c r="AB353" s="21">
        <v>343</v>
      </c>
      <c r="AC353" s="21">
        <v>-7.7667200000000006E-2</v>
      </c>
      <c r="AD353">
        <f t="shared" si="64"/>
        <v>17.342222222222222</v>
      </c>
      <c r="AE353">
        <f t="shared" si="65"/>
        <v>-1.3389843066666667</v>
      </c>
      <c r="AF353" s="9"/>
      <c r="AG353" s="21">
        <v>1.6272</v>
      </c>
      <c r="AH353" s="21">
        <v>20.976900000000001</v>
      </c>
      <c r="AI353" s="21">
        <v>-3.99139E-3</v>
      </c>
      <c r="AJ353" s="21">
        <v>343</v>
      </c>
      <c r="AK353" s="21">
        <v>1.62598</v>
      </c>
      <c r="AL353">
        <f t="shared" si="66"/>
        <v>4.9276419753086422</v>
      </c>
      <c r="AM353">
        <f t="shared" si="67"/>
        <v>8.0182590222222228</v>
      </c>
      <c r="AP353" s="9"/>
      <c r="AQ353" s="21">
        <v>-7.72095E-2</v>
      </c>
      <c r="AR353" s="21">
        <v>26.2181</v>
      </c>
      <c r="AS353" s="21">
        <v>-1.3980100000000001E-2</v>
      </c>
      <c r="AT353" s="21">
        <v>343</v>
      </c>
      <c r="AU353" s="21">
        <v>-7.77283E-2</v>
      </c>
      <c r="AV353">
        <f t="shared" si="68"/>
        <v>17.259382716049384</v>
      </c>
      <c r="AW353">
        <f t="shared" si="69"/>
        <v>-1.3325883098148148</v>
      </c>
      <c r="AX353" s="9"/>
      <c r="AY353" s="21">
        <v>1.6272</v>
      </c>
      <c r="AZ353" s="21">
        <v>29.735199999999999</v>
      </c>
      <c r="BA353" s="21">
        <v>-4.0609699999999997E-3</v>
      </c>
      <c r="BB353" s="21">
        <v>343</v>
      </c>
      <c r="BC353" s="21">
        <v>1.62659</v>
      </c>
      <c r="BD353">
        <f t="shared" si="70"/>
        <v>5.0135432098765431</v>
      </c>
      <c r="BE353">
        <f t="shared" si="71"/>
        <v>8.158037511111111</v>
      </c>
    </row>
    <row r="354" spans="6:57" x14ac:dyDescent="0.25">
      <c r="F354" s="9"/>
      <c r="G354" s="21">
        <v>-8.2244899999999996E-2</v>
      </c>
      <c r="H354" s="21">
        <v>8.7107500000000009</v>
      </c>
      <c r="I354" s="21">
        <v>-1.3992299999999999E-2</v>
      </c>
      <c r="J354" s="21">
        <v>344</v>
      </c>
      <c r="K354" s="21">
        <v>-8.2824700000000001E-2</v>
      </c>
      <c r="L354">
        <f t="shared" si="60"/>
        <v>17.274444444444445</v>
      </c>
      <c r="M354">
        <f t="shared" si="61"/>
        <v>-1.4207349558888889</v>
      </c>
      <c r="N354" s="9"/>
      <c r="O354" s="21">
        <v>1.6322300000000001</v>
      </c>
      <c r="P354" s="21">
        <v>12.2278</v>
      </c>
      <c r="Q354" s="21">
        <v>-2.52258E-3</v>
      </c>
      <c r="R354" s="21">
        <v>344</v>
      </c>
      <c r="S354" s="21">
        <v>1.6311599999999999</v>
      </c>
      <c r="T354">
        <f t="shared" si="62"/>
        <v>3.1142962962962959</v>
      </c>
      <c r="U354">
        <f t="shared" si="63"/>
        <v>5.0832478437037034</v>
      </c>
      <c r="X354" s="9"/>
      <c r="Y354" s="21">
        <v>-8.2244899999999996E-2</v>
      </c>
      <c r="Z354" s="21">
        <v>17.47</v>
      </c>
      <c r="AA354" s="21">
        <v>-1.4047199999999999E-2</v>
      </c>
      <c r="AB354" s="21">
        <v>344</v>
      </c>
      <c r="AC354" s="21">
        <v>-8.2763699999999996E-2</v>
      </c>
      <c r="AD354">
        <f t="shared" si="64"/>
        <v>17.342222222222222</v>
      </c>
      <c r="AE354">
        <f t="shared" si="65"/>
        <v>-1.4263093324444445</v>
      </c>
      <c r="AF354" s="9"/>
      <c r="AG354" s="21">
        <v>1.6322300000000001</v>
      </c>
      <c r="AH354" s="21">
        <v>20.986999999999998</v>
      </c>
      <c r="AI354" s="21">
        <v>-3.08319E-3</v>
      </c>
      <c r="AJ354" s="21">
        <v>344</v>
      </c>
      <c r="AK354" s="21">
        <v>1.63147</v>
      </c>
      <c r="AL354">
        <f t="shared" si="66"/>
        <v>3.806407407407407</v>
      </c>
      <c r="AM354">
        <f t="shared" si="67"/>
        <v>6.2129323625925919</v>
      </c>
      <c r="AP354" s="9"/>
      <c r="AQ354" s="21">
        <v>-8.2244899999999996E-2</v>
      </c>
      <c r="AR354" s="21">
        <v>26.228200000000001</v>
      </c>
      <c r="AS354" s="21">
        <v>-1.3977099999999999E-2</v>
      </c>
      <c r="AT354" s="21">
        <v>344</v>
      </c>
      <c r="AU354" s="21">
        <v>-8.2672099999999998E-2</v>
      </c>
      <c r="AV354">
        <f t="shared" si="68"/>
        <v>17.255679012345677</v>
      </c>
      <c r="AW354">
        <f t="shared" si="69"/>
        <v>-1.4191915948024689</v>
      </c>
      <c r="AX354" s="9"/>
      <c r="AY354" s="21">
        <v>1.6322300000000001</v>
      </c>
      <c r="AZ354" s="21">
        <v>29.7453</v>
      </c>
      <c r="BA354" s="21">
        <v>-3.1094400000000002E-3</v>
      </c>
      <c r="BB354" s="21">
        <v>344</v>
      </c>
      <c r="BC354" s="21">
        <v>1.6317699999999999</v>
      </c>
      <c r="BD354">
        <f t="shared" si="70"/>
        <v>3.8388148148148149</v>
      </c>
      <c r="BE354">
        <f t="shared" si="71"/>
        <v>6.2658287051851858</v>
      </c>
    </row>
    <row r="355" spans="6:57" x14ac:dyDescent="0.25">
      <c r="F355" s="9"/>
      <c r="G355" s="21">
        <v>-8.7280300000000005E-2</v>
      </c>
      <c r="H355" s="21">
        <v>8.7208199999999998</v>
      </c>
      <c r="I355" s="21">
        <v>-1.3992299999999999E-2</v>
      </c>
      <c r="J355" s="21">
        <v>345</v>
      </c>
      <c r="K355" s="21">
        <v>-8.7799100000000005E-2</v>
      </c>
      <c r="L355">
        <f t="shared" si="60"/>
        <v>17.274444444444445</v>
      </c>
      <c r="M355">
        <f t="shared" si="61"/>
        <v>-1.5077186934444446</v>
      </c>
      <c r="N355" s="9"/>
      <c r="O355" s="21">
        <v>1.63727</v>
      </c>
      <c r="P355" s="21">
        <v>12.2379</v>
      </c>
      <c r="Q355" s="21">
        <v>-1.29944E-3</v>
      </c>
      <c r="R355" s="21">
        <v>345</v>
      </c>
      <c r="S355" s="21">
        <v>1.63666</v>
      </c>
      <c r="T355">
        <f t="shared" si="62"/>
        <v>1.6042469135802468</v>
      </c>
      <c r="U355">
        <f t="shared" si="63"/>
        <v>2.6265853441975309</v>
      </c>
      <c r="X355" s="9"/>
      <c r="Y355" s="21">
        <v>-8.7280300000000005E-2</v>
      </c>
      <c r="Z355" s="21">
        <v>17.48</v>
      </c>
      <c r="AA355" s="21">
        <v>-1.4053299999999999E-2</v>
      </c>
      <c r="AB355" s="21">
        <v>345</v>
      </c>
      <c r="AC355" s="21">
        <v>-8.7707499999999994E-2</v>
      </c>
      <c r="AD355">
        <f t="shared" si="64"/>
        <v>17.349753086419753</v>
      </c>
      <c r="AE355">
        <f t="shared" si="65"/>
        <v>-1.514291654308642</v>
      </c>
      <c r="AF355" s="9"/>
      <c r="AG355" s="21">
        <v>1.63727</v>
      </c>
      <c r="AH355" s="21">
        <v>20.9971</v>
      </c>
      <c r="AI355" s="21">
        <v>-1.9424399999999999E-3</v>
      </c>
      <c r="AJ355" s="21">
        <v>345</v>
      </c>
      <c r="AK355" s="21">
        <v>1.63635</v>
      </c>
      <c r="AL355">
        <f t="shared" si="66"/>
        <v>2.3980740740740738</v>
      </c>
      <c r="AM355">
        <f t="shared" si="67"/>
        <v>3.9262947392592586</v>
      </c>
      <c r="AP355" s="9"/>
      <c r="AQ355" s="21">
        <v>-8.7280300000000005E-2</v>
      </c>
      <c r="AR355" s="21">
        <v>26.238199999999999</v>
      </c>
      <c r="AS355" s="21">
        <v>-1.3977099999999999E-2</v>
      </c>
      <c r="AT355" s="21">
        <v>345</v>
      </c>
      <c r="AU355" s="21">
        <v>-8.7554900000000005E-2</v>
      </c>
      <c r="AV355">
        <f t="shared" si="68"/>
        <v>17.255679012345677</v>
      </c>
      <c r="AW355">
        <f t="shared" si="69"/>
        <v>-1.5060808409012345</v>
      </c>
      <c r="AX355" s="9"/>
      <c r="AY355" s="21">
        <v>1.63727</v>
      </c>
      <c r="AZ355" s="21">
        <v>29.755400000000002</v>
      </c>
      <c r="BA355" s="21">
        <v>-2.0022600000000001E-3</v>
      </c>
      <c r="BB355" s="21">
        <v>345</v>
      </c>
      <c r="BC355" s="21">
        <v>1.63635</v>
      </c>
      <c r="BD355">
        <f t="shared" si="70"/>
        <v>2.4719259259259259</v>
      </c>
      <c r="BE355">
        <f t="shared" si="71"/>
        <v>4.0472101607407405</v>
      </c>
    </row>
    <row r="356" spans="6:57" x14ac:dyDescent="0.25">
      <c r="F356" s="9"/>
      <c r="G356" s="21">
        <v>-9.2315700000000001E-2</v>
      </c>
      <c r="H356" s="21">
        <v>8.7308900000000005</v>
      </c>
      <c r="I356" s="21">
        <v>-1.3992299999999999E-2</v>
      </c>
      <c r="J356" s="21">
        <v>346</v>
      </c>
      <c r="K356" s="21">
        <v>-9.2773400000000006E-2</v>
      </c>
      <c r="L356">
        <f t="shared" si="60"/>
        <v>17.274444444444445</v>
      </c>
      <c r="M356">
        <f t="shared" si="61"/>
        <v>-1.594702431</v>
      </c>
      <c r="N356" s="9"/>
      <c r="O356" s="21">
        <v>1.6423000000000001</v>
      </c>
      <c r="P356" s="21">
        <v>12.2479</v>
      </c>
      <c r="Q356" s="21">
        <v>2.00958E-4</v>
      </c>
      <c r="R356" s="21">
        <v>346</v>
      </c>
      <c r="S356" s="21">
        <v>1.64124</v>
      </c>
      <c r="T356">
        <f t="shared" si="62"/>
        <v>-0.24809629629629626</v>
      </c>
      <c r="U356">
        <f t="shared" si="63"/>
        <v>-0.40744854740740738</v>
      </c>
      <c r="X356" s="9"/>
      <c r="Y356" s="21">
        <v>-9.2315700000000001E-2</v>
      </c>
      <c r="Z356" s="21">
        <v>17.490100000000002</v>
      </c>
      <c r="AA356" s="21">
        <v>-1.40503E-2</v>
      </c>
      <c r="AB356" s="21">
        <v>346</v>
      </c>
      <c r="AC356" s="21">
        <v>-9.2773400000000006E-2</v>
      </c>
      <c r="AD356">
        <f t="shared" si="64"/>
        <v>17.34604938271605</v>
      </c>
      <c r="AE356">
        <f t="shared" si="65"/>
        <v>-1.601312691</v>
      </c>
      <c r="AF356" s="9"/>
      <c r="AG356" s="21">
        <v>1.6423000000000001</v>
      </c>
      <c r="AH356" s="21">
        <v>21.007200000000001</v>
      </c>
      <c r="AI356" s="21">
        <v>-5.5816700000000004E-4</v>
      </c>
      <c r="AJ356" s="21">
        <v>346</v>
      </c>
      <c r="AK356" s="21">
        <v>1.64154</v>
      </c>
      <c r="AL356">
        <f t="shared" si="66"/>
        <v>0.68909506172839508</v>
      </c>
      <c r="AM356">
        <f t="shared" si="67"/>
        <v>1.1317008198765433</v>
      </c>
      <c r="AP356" s="9"/>
      <c r="AQ356" s="21">
        <v>-9.2315700000000001E-2</v>
      </c>
      <c r="AR356" s="21">
        <v>26.2483</v>
      </c>
      <c r="AS356" s="21">
        <v>-1.3986200000000001E-2</v>
      </c>
      <c r="AT356" s="21">
        <v>346</v>
      </c>
      <c r="AU356" s="21">
        <v>-9.2681899999999998E-2</v>
      </c>
      <c r="AV356">
        <f t="shared" si="68"/>
        <v>17.266913580246914</v>
      </c>
      <c r="AW356">
        <f t="shared" si="69"/>
        <v>-1.5940072140000001</v>
      </c>
      <c r="AX356" s="9"/>
      <c r="AY356" s="21">
        <v>1.6423000000000001</v>
      </c>
      <c r="AZ356" s="21">
        <v>29.765499999999999</v>
      </c>
      <c r="BA356" s="21">
        <v>-5.8502200000000004E-4</v>
      </c>
      <c r="BB356" s="21">
        <v>346</v>
      </c>
      <c r="BC356" s="21">
        <v>1.64154</v>
      </c>
      <c r="BD356">
        <f t="shared" si="70"/>
        <v>0.72224938271604944</v>
      </c>
      <c r="BE356">
        <f t="shared" si="71"/>
        <v>1.186150161234568</v>
      </c>
    </row>
    <row r="357" spans="6:57" x14ac:dyDescent="0.25">
      <c r="F357" s="9"/>
      <c r="G357" s="21">
        <v>-9.7351099999999996E-2</v>
      </c>
      <c r="H357" s="21">
        <v>8.7409599999999994</v>
      </c>
      <c r="I357" s="21">
        <v>-1.3998399999999999E-2</v>
      </c>
      <c r="J357" s="21">
        <v>347</v>
      </c>
      <c r="K357" s="21">
        <v>-9.7808800000000001E-2</v>
      </c>
      <c r="L357">
        <f t="shared" si="60"/>
        <v>17.281975308641975</v>
      </c>
      <c r="M357">
        <f t="shared" si="61"/>
        <v>-1.6824193064691357</v>
      </c>
      <c r="N357" s="9"/>
      <c r="O357" s="21">
        <v>1.64734</v>
      </c>
      <c r="P357" s="21">
        <v>12.257999999999999</v>
      </c>
      <c r="Q357" s="21">
        <v>2.06207E-3</v>
      </c>
      <c r="R357" s="21">
        <v>347</v>
      </c>
      <c r="S357" s="21">
        <v>1.64612</v>
      </c>
      <c r="T357">
        <f t="shared" si="62"/>
        <v>-2.5457654320987655</v>
      </c>
      <c r="U357">
        <f t="shared" si="63"/>
        <v>-4.1937412269135805</v>
      </c>
      <c r="X357" s="9"/>
      <c r="Y357" s="21">
        <v>-9.7351099999999996E-2</v>
      </c>
      <c r="Z357" s="21">
        <v>17.5002</v>
      </c>
      <c r="AA357" s="21">
        <v>-1.40594E-2</v>
      </c>
      <c r="AB357" s="21">
        <v>347</v>
      </c>
      <c r="AC357" s="21">
        <v>-9.7778299999999999E-2</v>
      </c>
      <c r="AD357">
        <f t="shared" si="64"/>
        <v>17.357283950617283</v>
      </c>
      <c r="AE357">
        <f t="shared" si="65"/>
        <v>-1.6897506856049382</v>
      </c>
      <c r="AF357" s="9"/>
      <c r="AG357" s="21">
        <v>1.64734</v>
      </c>
      <c r="AH357" s="21">
        <v>21.017199999999999</v>
      </c>
      <c r="AI357" s="21">
        <v>1.2206999999999999E-3</v>
      </c>
      <c r="AJ357" s="21">
        <v>347</v>
      </c>
      <c r="AK357" s="21">
        <v>1.64673</v>
      </c>
      <c r="AL357">
        <f t="shared" si="66"/>
        <v>-1.5070370370370367</v>
      </c>
      <c r="AM357">
        <f t="shared" si="67"/>
        <v>-2.4826023925925922</v>
      </c>
      <c r="AP357" s="9"/>
      <c r="AQ357" s="21">
        <v>-9.7351099999999996E-2</v>
      </c>
      <c r="AR357" s="21">
        <v>26.258400000000002</v>
      </c>
      <c r="AS357" s="21">
        <v>-1.39893E-2</v>
      </c>
      <c r="AT357" s="21">
        <v>347</v>
      </c>
      <c r="AU357" s="21">
        <v>-9.7839400000000007E-2</v>
      </c>
      <c r="AV357">
        <f t="shared" si="68"/>
        <v>17.270740740740738</v>
      </c>
      <c r="AW357">
        <f t="shared" si="69"/>
        <v>-1.6813256089259256</v>
      </c>
      <c r="AX357" s="9"/>
      <c r="AY357" s="21">
        <v>1.64734</v>
      </c>
      <c r="AZ357" s="21">
        <v>29.775500000000001</v>
      </c>
      <c r="BA357" s="21">
        <v>1.1465500000000001E-3</v>
      </c>
      <c r="BB357" s="21">
        <v>347</v>
      </c>
      <c r="BC357" s="21">
        <v>1.64642</v>
      </c>
      <c r="BD357">
        <f t="shared" si="70"/>
        <v>-1.4154938271604938</v>
      </c>
      <c r="BE357">
        <f t="shared" si="71"/>
        <v>-2.3317996012345676</v>
      </c>
    </row>
    <row r="358" spans="6:57" x14ac:dyDescent="0.25">
      <c r="F358" s="9"/>
      <c r="G358" s="21">
        <v>-0.102386</v>
      </c>
      <c r="H358" s="21">
        <v>8.7510300000000001</v>
      </c>
      <c r="I358" s="21">
        <v>-1.40076E-2</v>
      </c>
      <c r="J358" s="21">
        <v>348</v>
      </c>
      <c r="K358" s="21">
        <v>-0.102844</v>
      </c>
      <c r="L358">
        <f t="shared" si="60"/>
        <v>17.293333333333333</v>
      </c>
      <c r="M358">
        <f t="shared" si="61"/>
        <v>-1.7705952266666667</v>
      </c>
      <c r="N358" s="9"/>
      <c r="O358" s="21">
        <v>1.6523699999999999</v>
      </c>
      <c r="P358" s="21">
        <v>12.2681</v>
      </c>
      <c r="Q358" s="21">
        <v>4.2938200000000003E-3</v>
      </c>
      <c r="R358" s="21">
        <v>348</v>
      </c>
      <c r="S358" s="21">
        <v>1.651</v>
      </c>
      <c r="T358">
        <f t="shared" si="62"/>
        <v>-5.3010123456790126</v>
      </c>
      <c r="U358">
        <f t="shared" si="63"/>
        <v>-8.7592337696296294</v>
      </c>
      <c r="X358" s="9"/>
      <c r="Y358" s="21">
        <v>-0.102386</v>
      </c>
      <c r="Z358" s="21">
        <v>17.510200000000001</v>
      </c>
      <c r="AA358" s="21">
        <v>-1.4065599999999999E-2</v>
      </c>
      <c r="AB358" s="21">
        <v>348</v>
      </c>
      <c r="AC358" s="21">
        <v>-0.102814</v>
      </c>
      <c r="AD358">
        <f t="shared" si="64"/>
        <v>17.364938271604938</v>
      </c>
      <c r="AE358">
        <f t="shared" si="65"/>
        <v>-1.7779265698765432</v>
      </c>
      <c r="AF358" s="9"/>
      <c r="AG358" s="21">
        <v>1.6523699999999999</v>
      </c>
      <c r="AH358" s="21">
        <v>21.0273</v>
      </c>
      <c r="AI358" s="21">
        <v>3.3383200000000001E-3</v>
      </c>
      <c r="AJ358" s="21">
        <v>348</v>
      </c>
      <c r="AK358" s="21">
        <v>1.651</v>
      </c>
      <c r="AL358">
        <f t="shared" si="66"/>
        <v>-4.121382716049383</v>
      </c>
      <c r="AM358">
        <f t="shared" si="67"/>
        <v>-6.8100491585185186</v>
      </c>
      <c r="AP358" s="9"/>
      <c r="AQ358" s="21">
        <v>-0.102386</v>
      </c>
      <c r="AR358" s="21">
        <v>26.2685</v>
      </c>
      <c r="AS358" s="21">
        <v>-1.3986200000000001E-2</v>
      </c>
      <c r="AT358" s="21">
        <v>348</v>
      </c>
      <c r="AU358" s="21">
        <v>-0.10287499999999999</v>
      </c>
      <c r="AV358">
        <f t="shared" si="68"/>
        <v>17.266913580246914</v>
      </c>
      <c r="AW358">
        <f t="shared" si="69"/>
        <v>-1.7678902138271606</v>
      </c>
      <c r="AX358" s="9"/>
      <c r="AY358" s="21">
        <v>1.6523699999999999</v>
      </c>
      <c r="AZ358" s="21">
        <v>29.785599999999999</v>
      </c>
      <c r="BA358" s="21">
        <v>3.29926E-3</v>
      </c>
      <c r="BB358" s="21">
        <v>348</v>
      </c>
      <c r="BC358" s="21">
        <v>1.65222</v>
      </c>
      <c r="BD358">
        <f t="shared" si="70"/>
        <v>-4.0731604938271602</v>
      </c>
      <c r="BE358">
        <f t="shared" si="71"/>
        <v>-6.7303682051851839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/>
  <dimension ref="A1:L4"/>
  <sheetViews>
    <sheetView tabSelected="1" workbookViewId="0">
      <selection activeCell="F44" sqref="F44"/>
    </sheetView>
  </sheetViews>
  <sheetFormatPr defaultRowHeight="14.4" x14ac:dyDescent="0.25"/>
  <sheetData>
    <row r="1" spans="1:12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 x14ac:dyDescent="0.25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 x14ac:dyDescent="0.25">
      <c r="A3" t="str" cm="1">
        <f t="array" aca="1" ref="A3" ca="1">IFERROR(INDEX(MID(sheetnames,FIND("]",sheetnames)+1,255),ROWS($A$2:A3)),"")</f>
        <v>20221210T210000</v>
      </c>
      <c r="B3">
        <f ca="1">INDEX(INDIRECT(A3&amp;"!A11"):INDIRECT(A3&amp;"!A21"),MATCH(E3,INDIRECT(A3&amp;"!D11"):INDIRECT(A3&amp;"!D21"),0))</f>
        <v>1.7405787143185367</v>
      </c>
      <c r="C3">
        <f ca="1">INDEX(INDIRECT(A3&amp;"!B11"):INDIRECT(A3&amp;"!B21"),MATCH(E3,INDIRECT(A3&amp;"!D11"):INDIRECT(A3&amp;"!D21"),0))</f>
        <v>18.587945543970726</v>
      </c>
      <c r="D3">
        <f ca="1">INDEX(INDIRECT(A3&amp;"!C11"):INDIRECT(A3&amp;"!C21"),MATCH(E3,INDIRECT(A3&amp;"!D11"):INDIRECT(A3&amp;"!D21"),0))</f>
        <v>0.72589213890304927</v>
      </c>
      <c r="E3">
        <f t="shared" ref="E3" ca="1" si="0">MAX(INDIRECT(A3&amp; "!D11"),INDIRECT(A3 &amp; "!D13"),INDIRECT(A3 &amp; "!D15"),INDIRECT(A3 &amp; "!D17"),INDIRECT(A3 &amp; "!D19"),INDIRECT(A3 &amp; "!D21"))</f>
        <v>23.485356276543211</v>
      </c>
      <c r="G3">
        <f ca="1">INDEX(INDIRECT(A3&amp;"!A12"):INDIRECT(A3&amp;"!A22"),MATCH(J3,INDIRECT(A3&amp;"!D12"):INDIRECT(A3&amp;"!D22"),0))</f>
        <v>1.7459550864310454</v>
      </c>
      <c r="H3">
        <f ca="1">INDEX(INDIRECT(A3&amp;"!B12"):INDIRECT(A3&amp;"!B22"),MATCH(J3,INDIRECT(A3&amp;"!D12"):INDIRECT(A3&amp;"!D22"),0))</f>
        <v>18.615889935633852</v>
      </c>
      <c r="I3">
        <f ca="1">INDEX(INDIRECT(A3&amp;"!C12"):INDIRECT(A3&amp;"!C22"),MATCH(J3,INDIRECT(A3&amp;"!D12"):INDIRECT(A3&amp;"!D22"),0))</f>
        <v>0.72396767777484383</v>
      </c>
      <c r="J3">
        <f t="shared" ref="J3" ca="1" si="1">MAX(INDIRECT(A3&amp; "!D12"),INDIRECT(A3 &amp; "!D14"),INDIRECT(A3 &amp; "!D16"),INDIRECT(A3 &amp; "!D18"),INDIRECT(A3 &amp; "!D20"),,INDIRECT(A3 &amp; "!D22"))</f>
        <v>23.530765037037035</v>
      </c>
      <c r="L3">
        <f ca="1">INDEX(INDIRECT(A3&amp;"!E11"):INDIRECT(A3&amp;"!E21"),MATCH(E3,INDIRECT(A3&amp;"!D11"):INDIRECT(A3&amp;"!D21"),0))</f>
        <v>5.1945844563829032E-3</v>
      </c>
    </row>
    <row r="4" spans="1:12" x14ac:dyDescent="0.25">
      <c r="A4" t="str" cm="1">
        <f t="array" aca="1" ref="A4" ca="1">IFERROR(INDEX(MID(sheetnames,FIND("]",sheetnames)+1,255),ROWS($A$2:A4)),"")</f>
        <v>20221211T090000</v>
      </c>
      <c r="B4">
        <f ca="1">INDEX(INDIRECT(A4&amp;"!A11"):INDIRECT(A4&amp;"!A21"),MATCH(E4,INDIRECT(A4&amp;"!D11"):INDIRECT(A4&amp;"!D21"),0))</f>
        <v>1.6311287284194587</v>
      </c>
      <c r="C4">
        <f ca="1">INDEX(INDIRECT(A4&amp;"!B11"):INDIRECT(A4&amp;"!B21"),MATCH(E4,INDIRECT(A4&amp;"!D11"):INDIRECT(A4&amp;"!D21"),0))</f>
        <v>17.200065907922429</v>
      </c>
      <c r="D4">
        <f ca="1">INDEX(INDIRECT(A4&amp;"!C11"):INDIRECT(A4&amp;"!C21"),MATCH(E4,INDIRECT(A4&amp;"!D11"):INDIRECT(A4&amp;"!D21"),0))</f>
        <v>0.75327226604145125</v>
      </c>
      <c r="E4">
        <f t="shared" ref="E4" ca="1" si="2">MAX(INDIRECT(A4&amp; "!D11"),INDIRECT(A4 &amp; "!D13"),INDIRECT(A4 &amp; "!D15"),INDIRECT(A4 &amp; "!D17"),INDIRECT(A4 &amp; "!D19"),INDIRECT(A4 &amp; "!D21"))</f>
        <v>21.133446355555556</v>
      </c>
      <c r="G4">
        <f ca="1">INDEX(INDIRECT(A4&amp;"!A12"):INDIRECT(A4&amp;"!A22"),MATCH(J4,INDIRECT(A4&amp;"!D12"):INDIRECT(A4&amp;"!D22"),0))</f>
        <v>1.6431887373092195</v>
      </c>
      <c r="H4">
        <f ca="1">INDEX(INDIRECT(A4&amp;"!B12"):INDIRECT(A4&amp;"!B22"),MATCH(J4,INDIRECT(A4&amp;"!D12"):INDIRECT(A4&amp;"!D22"),0))</f>
        <v>17.197323766556686</v>
      </c>
      <c r="I4">
        <f ca="1">INDEX(INDIRECT(A4&amp;"!C12"):INDIRECT(A4&amp;"!C22"),MATCH(J4,INDIRECT(A4&amp;"!D12"):INDIRECT(A4&amp;"!D22"),0))</f>
        <v>0.74405613683625271</v>
      </c>
      <c r="J4">
        <f t="shared" ref="J4" ca="1" si="3">MAX(INDIRECT(A4&amp; "!D12"),INDIRECT(A4 &amp; "!D14"),INDIRECT(A4 &amp; "!D16"),INDIRECT(A4 &amp; "!D18"),INDIRECT(A4 &amp; "!D20"),,INDIRECT(A4 &amp; "!D22"))</f>
        <v>21.025872191358022</v>
      </c>
      <c r="L4">
        <f ca="1">INDEX(INDIRECT(A4&amp;"!E11"):INDIRECT(A4&amp;"!E21"),MATCH(E4,INDIRECT(A4&amp;"!D11"):INDIRECT(A4&amp;"!D21"),0))</f>
        <v>0.56324630423691791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NEW</vt:lpstr>
      <vt:lpstr>20221210T210000</vt:lpstr>
      <vt:lpstr>20221211T090000</vt:lpstr>
      <vt:lpstr>Sheet2</vt:lpstr>
    </vt:vector>
  </TitlesOfParts>
  <Company>Australian National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Wei Wang</cp:lastModifiedBy>
  <dcterms:created xsi:type="dcterms:W3CDTF">2022-01-08T07:24:35Z</dcterms:created>
  <dcterms:modified xsi:type="dcterms:W3CDTF">2022-12-18T10:21:06Z</dcterms:modified>
</cp:coreProperties>
</file>